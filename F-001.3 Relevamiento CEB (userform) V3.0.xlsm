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4845" yWindow="-195" windowWidth="14085" windowHeight="8340" tabRatio="831"/>
  </bookViews>
  <sheets>
    <sheet name="Instructivo" sheetId="6" r:id="rId1"/>
    <sheet name="Auditoria CEB" sheetId="5" r:id="rId2"/>
    <sheet name="Cuadros para informe" sheetId="13" state="hidden" r:id="rId3"/>
    <sheet name="Resumen" sheetId="14" state="hidden" r:id="rId4"/>
    <sheet name="Cruce sistemas" sheetId="18" state="hidden" r:id="rId5"/>
    <sheet name="Requerimientos" sheetId="25" state="hidden" r:id="rId6"/>
    <sheet name="Prestaciones" sheetId="26" state="hidden" r:id="rId7"/>
    <sheet name="Base de datos" sheetId="15" state="hidden" r:id="rId8"/>
    <sheet name="Graficos para informe" sheetId="27" state="hidden" r:id="rId9"/>
  </sheets>
  <functionGroups builtInGroupCount="17"/>
  <externalReferences>
    <externalReference r:id="rId10"/>
  </externalReferences>
  <definedNames>
    <definedName name="_xlnm._FilterDatabase" localSheetId="1" hidden="1">'Auditoria CEB'!$B$10:$AR$414</definedName>
    <definedName name="_xlnm._FilterDatabase" localSheetId="6" hidden="1">Prestaciones!$A$1:$H$488</definedName>
    <definedName name="_xlnm._FilterDatabase" localSheetId="5" hidden="1">Requerimientos!$A$1:$AD$212</definedName>
  </definedNames>
  <calcPr calcId="145621"/>
  <fileRecoveryPr repairLoad="1"/>
</workbook>
</file>

<file path=xl/calcChain.xml><?xml version="1.0" encoding="utf-8"?>
<calcChain xmlns="http://schemas.openxmlformats.org/spreadsheetml/2006/main">
  <c r="K7" i="27" l="1"/>
  <c r="K6" i="27"/>
  <c r="K5" i="27"/>
  <c r="K4" i="27"/>
  <c r="K3" i="27"/>
  <c r="K2" i="27"/>
  <c r="F7" i="27" l="1"/>
  <c r="H7" i="27" s="1"/>
  <c r="H6" i="27"/>
  <c r="G6" i="27"/>
  <c r="F6" i="27"/>
  <c r="H5" i="27"/>
  <c r="G5" i="27"/>
  <c r="F5" i="27"/>
  <c r="F4" i="27"/>
  <c r="H4" i="27" s="1"/>
  <c r="F3" i="27"/>
  <c r="H3" i="27" s="1"/>
  <c r="F2" i="27"/>
  <c r="H2" i="27" s="1"/>
  <c r="K8" i="27" l="1"/>
  <c r="L5" i="27" s="1"/>
  <c r="G2" i="27"/>
  <c r="G3" i="27"/>
  <c r="G7" i="27"/>
  <c r="G4" i="27"/>
  <c r="L3" i="27" l="1"/>
  <c r="L4" i="27"/>
  <c r="L7" i="27"/>
  <c r="L6" i="27"/>
  <c r="J414" i="5"/>
  <c r="H414" i="5"/>
  <c r="J413" i="5"/>
  <c r="H413" i="5"/>
  <c r="J412" i="5"/>
  <c r="H412" i="5"/>
  <c r="J411" i="5"/>
  <c r="H411" i="5"/>
  <c r="J410" i="5"/>
  <c r="H410" i="5"/>
  <c r="J409" i="5"/>
  <c r="H409" i="5"/>
  <c r="J408" i="5"/>
  <c r="H408" i="5"/>
  <c r="J407" i="5"/>
  <c r="H407" i="5"/>
  <c r="J406" i="5"/>
  <c r="H406" i="5"/>
  <c r="J405" i="5"/>
  <c r="H405" i="5"/>
  <c r="J404" i="5"/>
  <c r="H404" i="5"/>
  <c r="J403" i="5"/>
  <c r="H403" i="5"/>
  <c r="J402" i="5"/>
  <c r="H402" i="5"/>
  <c r="J401" i="5"/>
  <c r="H401" i="5"/>
  <c r="J400" i="5"/>
  <c r="H400" i="5"/>
  <c r="J399" i="5"/>
  <c r="H399" i="5"/>
  <c r="J398" i="5"/>
  <c r="H398" i="5"/>
  <c r="J397" i="5"/>
  <c r="H397" i="5"/>
  <c r="J396" i="5"/>
  <c r="H396" i="5"/>
  <c r="J395" i="5"/>
  <c r="H395" i="5"/>
  <c r="J394" i="5"/>
  <c r="H394" i="5"/>
  <c r="J393" i="5"/>
  <c r="H393" i="5"/>
  <c r="J392" i="5"/>
  <c r="H392" i="5"/>
  <c r="J391" i="5"/>
  <c r="H391" i="5"/>
  <c r="J390" i="5"/>
  <c r="H390" i="5"/>
  <c r="J389" i="5"/>
  <c r="H389" i="5"/>
  <c r="J388" i="5"/>
  <c r="H388" i="5"/>
  <c r="J387" i="5"/>
  <c r="H387" i="5"/>
  <c r="J386" i="5"/>
  <c r="H386" i="5"/>
  <c r="J385" i="5"/>
  <c r="H385" i="5"/>
  <c r="J384" i="5"/>
  <c r="H384" i="5"/>
  <c r="J383" i="5"/>
  <c r="H383" i="5"/>
  <c r="J382" i="5"/>
  <c r="H382" i="5"/>
  <c r="J381" i="5"/>
  <c r="H381" i="5"/>
  <c r="J380" i="5"/>
  <c r="H380" i="5"/>
  <c r="J379" i="5"/>
  <c r="H379" i="5"/>
  <c r="J378" i="5"/>
  <c r="H378" i="5"/>
  <c r="J377" i="5"/>
  <c r="H377" i="5"/>
  <c r="J376" i="5"/>
  <c r="H376" i="5"/>
  <c r="J375" i="5"/>
  <c r="H375" i="5"/>
  <c r="J374" i="5"/>
  <c r="H374" i="5"/>
  <c r="J373" i="5"/>
  <c r="H373" i="5"/>
  <c r="J372" i="5"/>
  <c r="H372" i="5"/>
  <c r="J371" i="5"/>
  <c r="H371" i="5"/>
  <c r="J370" i="5"/>
  <c r="H370" i="5"/>
  <c r="J369" i="5"/>
  <c r="H369" i="5"/>
  <c r="J368" i="5"/>
  <c r="H368" i="5"/>
  <c r="J367" i="5"/>
  <c r="H367" i="5"/>
  <c r="J366" i="5"/>
  <c r="H366" i="5"/>
  <c r="J365" i="5"/>
  <c r="H365" i="5"/>
  <c r="J364" i="5"/>
  <c r="H364" i="5"/>
  <c r="J363" i="5"/>
  <c r="H363" i="5"/>
  <c r="J362" i="5"/>
  <c r="H362" i="5"/>
  <c r="J361" i="5"/>
  <c r="H361" i="5"/>
  <c r="J360" i="5"/>
  <c r="H360" i="5"/>
  <c r="J359" i="5"/>
  <c r="H359" i="5"/>
  <c r="J358" i="5"/>
  <c r="H358" i="5"/>
  <c r="J357" i="5"/>
  <c r="H357" i="5"/>
  <c r="J356" i="5"/>
  <c r="H356" i="5"/>
  <c r="J355" i="5"/>
  <c r="H355" i="5"/>
  <c r="J354" i="5"/>
  <c r="H354" i="5"/>
  <c r="J353" i="5"/>
  <c r="H353" i="5"/>
  <c r="J352" i="5"/>
  <c r="H352" i="5"/>
  <c r="J351" i="5"/>
  <c r="H351" i="5"/>
  <c r="J350" i="5"/>
  <c r="H350" i="5"/>
  <c r="J349" i="5"/>
  <c r="H349" i="5"/>
  <c r="J348" i="5"/>
  <c r="H348" i="5"/>
  <c r="J347" i="5"/>
  <c r="H347" i="5"/>
  <c r="J346" i="5"/>
  <c r="H346" i="5"/>
  <c r="J345" i="5"/>
  <c r="H345" i="5"/>
  <c r="J344" i="5"/>
  <c r="H344" i="5"/>
  <c r="J343" i="5"/>
  <c r="H343" i="5"/>
  <c r="J342" i="5"/>
  <c r="H342" i="5"/>
  <c r="J341" i="5"/>
  <c r="H341" i="5"/>
  <c r="J340" i="5"/>
  <c r="H340" i="5"/>
  <c r="J339" i="5"/>
  <c r="H339" i="5"/>
  <c r="J338" i="5"/>
  <c r="H338" i="5"/>
  <c r="J337" i="5"/>
  <c r="H337" i="5"/>
  <c r="J336" i="5"/>
  <c r="H336" i="5"/>
  <c r="J335" i="5"/>
  <c r="H335" i="5"/>
  <c r="J334" i="5"/>
  <c r="H334" i="5"/>
  <c r="J333" i="5"/>
  <c r="H333" i="5"/>
  <c r="J332" i="5"/>
  <c r="H332" i="5"/>
  <c r="J331" i="5"/>
  <c r="H331" i="5"/>
  <c r="J330" i="5"/>
  <c r="H330" i="5"/>
  <c r="J329" i="5"/>
  <c r="H329" i="5"/>
  <c r="J328" i="5"/>
  <c r="H328" i="5"/>
  <c r="J327" i="5"/>
  <c r="H327" i="5"/>
  <c r="J326" i="5"/>
  <c r="H326" i="5"/>
  <c r="J325" i="5"/>
  <c r="H325" i="5"/>
  <c r="J324" i="5"/>
  <c r="H324" i="5"/>
  <c r="J323" i="5"/>
  <c r="H323" i="5"/>
  <c r="J322" i="5"/>
  <c r="H322" i="5"/>
  <c r="J321" i="5"/>
  <c r="H321" i="5"/>
  <c r="J320" i="5"/>
  <c r="H320" i="5"/>
  <c r="J319" i="5"/>
  <c r="H319" i="5"/>
  <c r="J318" i="5"/>
  <c r="H318" i="5"/>
  <c r="J317" i="5"/>
  <c r="H317" i="5"/>
  <c r="J316" i="5"/>
  <c r="H316" i="5"/>
  <c r="J315" i="5"/>
  <c r="H315" i="5"/>
  <c r="J314" i="5"/>
  <c r="H314" i="5"/>
  <c r="J313" i="5"/>
  <c r="H313" i="5"/>
  <c r="J312" i="5"/>
  <c r="H312" i="5"/>
  <c r="J311" i="5"/>
  <c r="H311" i="5"/>
  <c r="J310" i="5"/>
  <c r="H310" i="5"/>
  <c r="J309" i="5"/>
  <c r="H309" i="5"/>
  <c r="J308" i="5"/>
  <c r="H308" i="5"/>
  <c r="J307" i="5"/>
  <c r="H307" i="5"/>
  <c r="J306" i="5"/>
  <c r="H306" i="5"/>
  <c r="J305" i="5"/>
  <c r="H305" i="5"/>
  <c r="J304" i="5"/>
  <c r="H304" i="5"/>
  <c r="J303" i="5"/>
  <c r="H303" i="5"/>
  <c r="J302" i="5"/>
  <c r="H302" i="5"/>
  <c r="J301" i="5"/>
  <c r="H301" i="5"/>
  <c r="J300" i="5"/>
  <c r="H300" i="5"/>
  <c r="J299" i="5"/>
  <c r="H299" i="5"/>
  <c r="J298" i="5"/>
  <c r="H298" i="5"/>
  <c r="J297" i="5"/>
  <c r="H297" i="5"/>
  <c r="J296" i="5"/>
  <c r="H296" i="5"/>
  <c r="J295" i="5"/>
  <c r="H295" i="5"/>
  <c r="J294" i="5"/>
  <c r="H294" i="5"/>
  <c r="J293" i="5"/>
  <c r="H293" i="5"/>
  <c r="J292" i="5"/>
  <c r="H292" i="5"/>
  <c r="J291" i="5"/>
  <c r="H291" i="5"/>
  <c r="J290" i="5"/>
  <c r="H290" i="5"/>
  <c r="J289" i="5"/>
  <c r="H289" i="5"/>
  <c r="J288" i="5"/>
  <c r="H288" i="5"/>
  <c r="J287" i="5"/>
  <c r="H287" i="5"/>
  <c r="J286" i="5"/>
  <c r="H286" i="5"/>
  <c r="J285" i="5"/>
  <c r="H285" i="5"/>
  <c r="J284" i="5"/>
  <c r="H284" i="5"/>
  <c r="J283" i="5"/>
  <c r="H283" i="5"/>
  <c r="J282" i="5"/>
  <c r="H282" i="5"/>
  <c r="J281" i="5"/>
  <c r="H281" i="5"/>
  <c r="J280" i="5"/>
  <c r="H280" i="5"/>
  <c r="J279" i="5"/>
  <c r="H279" i="5"/>
  <c r="J278" i="5"/>
  <c r="H278" i="5"/>
  <c r="J277" i="5"/>
  <c r="H277" i="5"/>
  <c r="J276" i="5"/>
  <c r="H276" i="5"/>
  <c r="J275" i="5"/>
  <c r="H275" i="5"/>
  <c r="J274" i="5"/>
  <c r="H274" i="5"/>
  <c r="J273" i="5"/>
  <c r="H273" i="5"/>
  <c r="J272" i="5"/>
  <c r="H272" i="5"/>
  <c r="J271" i="5"/>
  <c r="H271" i="5"/>
  <c r="J270" i="5"/>
  <c r="H270" i="5"/>
  <c r="J269" i="5"/>
  <c r="H269" i="5"/>
  <c r="J268" i="5"/>
  <c r="H268" i="5"/>
  <c r="J267" i="5"/>
  <c r="H267" i="5"/>
  <c r="J266" i="5"/>
  <c r="H266" i="5"/>
  <c r="J265" i="5"/>
  <c r="H265" i="5"/>
  <c r="J264" i="5"/>
  <c r="H264" i="5"/>
  <c r="J263" i="5"/>
  <c r="H263" i="5"/>
  <c r="J262" i="5"/>
  <c r="H262" i="5"/>
  <c r="J261" i="5"/>
  <c r="H261" i="5"/>
  <c r="J260" i="5"/>
  <c r="H260" i="5"/>
  <c r="J259" i="5"/>
  <c r="H259" i="5"/>
  <c r="J258" i="5"/>
  <c r="H258" i="5"/>
  <c r="J257" i="5"/>
  <c r="H257" i="5"/>
  <c r="J256" i="5"/>
  <c r="H256" i="5"/>
  <c r="J255" i="5"/>
  <c r="H255" i="5"/>
  <c r="J254" i="5"/>
  <c r="H254" i="5"/>
  <c r="J253" i="5"/>
  <c r="H253" i="5"/>
  <c r="J252" i="5"/>
  <c r="H252" i="5"/>
  <c r="J251" i="5"/>
  <c r="H251" i="5"/>
  <c r="J250" i="5"/>
  <c r="H250" i="5"/>
  <c r="J249" i="5"/>
  <c r="H249" i="5"/>
  <c r="J248" i="5"/>
  <c r="H248" i="5"/>
  <c r="J247" i="5"/>
  <c r="H247" i="5"/>
  <c r="J246" i="5"/>
  <c r="H246" i="5"/>
  <c r="J245" i="5"/>
  <c r="H245" i="5"/>
  <c r="J244" i="5"/>
  <c r="H244" i="5"/>
  <c r="J243" i="5"/>
  <c r="H243" i="5"/>
  <c r="J242" i="5"/>
  <c r="H242" i="5"/>
  <c r="J241" i="5"/>
  <c r="H241" i="5"/>
  <c r="J240" i="5"/>
  <c r="H240" i="5"/>
  <c r="J239" i="5"/>
  <c r="H239" i="5"/>
  <c r="J238" i="5"/>
  <c r="H238" i="5"/>
  <c r="J237" i="5"/>
  <c r="H237" i="5"/>
  <c r="J236" i="5"/>
  <c r="H236" i="5"/>
  <c r="J235" i="5"/>
  <c r="H235" i="5"/>
  <c r="J234" i="5"/>
  <c r="H234" i="5"/>
  <c r="J233" i="5"/>
  <c r="H233" i="5"/>
  <c r="J232" i="5"/>
  <c r="H232" i="5"/>
  <c r="J231" i="5"/>
  <c r="H231" i="5"/>
  <c r="J230" i="5"/>
  <c r="H230" i="5"/>
  <c r="J229" i="5"/>
  <c r="H229" i="5"/>
  <c r="J228" i="5"/>
  <c r="H228" i="5"/>
  <c r="J227" i="5"/>
  <c r="H227" i="5"/>
  <c r="J226" i="5"/>
  <c r="H226" i="5"/>
  <c r="J225" i="5"/>
  <c r="H225" i="5"/>
  <c r="J224" i="5"/>
  <c r="H224" i="5"/>
  <c r="J223" i="5"/>
  <c r="H223" i="5"/>
  <c r="J222" i="5"/>
  <c r="H222" i="5"/>
  <c r="J221" i="5"/>
  <c r="H221" i="5"/>
  <c r="J220" i="5"/>
  <c r="H220" i="5"/>
  <c r="J219" i="5"/>
  <c r="H219" i="5"/>
  <c r="J218" i="5"/>
  <c r="H218" i="5"/>
  <c r="J217" i="5"/>
  <c r="H217" i="5"/>
  <c r="J216" i="5"/>
  <c r="H216" i="5"/>
  <c r="J215" i="5"/>
  <c r="H215" i="5"/>
  <c r="J214" i="5"/>
  <c r="H214" i="5"/>
  <c r="J213" i="5"/>
  <c r="H213" i="5"/>
  <c r="J212" i="5"/>
  <c r="H212" i="5"/>
  <c r="J211" i="5"/>
  <c r="H211" i="5"/>
  <c r="J210" i="5"/>
  <c r="H210" i="5"/>
  <c r="J209" i="5"/>
  <c r="H209" i="5"/>
  <c r="J208" i="5"/>
  <c r="H208" i="5"/>
  <c r="J207" i="5"/>
  <c r="H207" i="5"/>
  <c r="J206" i="5"/>
  <c r="H206" i="5"/>
  <c r="J205" i="5"/>
  <c r="H205" i="5"/>
  <c r="J204" i="5"/>
  <c r="H204" i="5"/>
  <c r="J203" i="5"/>
  <c r="H203" i="5"/>
  <c r="J202" i="5"/>
  <c r="H202" i="5"/>
  <c r="J201" i="5"/>
  <c r="H201" i="5"/>
  <c r="J200" i="5"/>
  <c r="H200" i="5"/>
  <c r="J199" i="5"/>
  <c r="H199" i="5"/>
  <c r="J198" i="5"/>
  <c r="H198" i="5"/>
  <c r="J197" i="5"/>
  <c r="H197" i="5"/>
  <c r="J196" i="5"/>
  <c r="H196" i="5"/>
  <c r="J195" i="5"/>
  <c r="H195" i="5"/>
  <c r="J194" i="5"/>
  <c r="H194" i="5"/>
  <c r="J193" i="5"/>
  <c r="H193" i="5"/>
  <c r="J192" i="5"/>
  <c r="H192" i="5"/>
  <c r="J191" i="5"/>
  <c r="H191" i="5"/>
  <c r="J190" i="5"/>
  <c r="H190" i="5"/>
  <c r="J189" i="5"/>
  <c r="H189" i="5"/>
  <c r="J188" i="5"/>
  <c r="H188" i="5"/>
  <c r="J187" i="5"/>
  <c r="H187" i="5"/>
  <c r="J186" i="5"/>
  <c r="H186" i="5"/>
  <c r="J185" i="5"/>
  <c r="H185" i="5"/>
  <c r="J184" i="5"/>
  <c r="H184" i="5"/>
  <c r="J183" i="5"/>
  <c r="H183" i="5"/>
  <c r="J182" i="5"/>
  <c r="H182" i="5"/>
  <c r="J181" i="5"/>
  <c r="H181" i="5"/>
  <c r="J180" i="5"/>
  <c r="H180" i="5"/>
  <c r="J179" i="5"/>
  <c r="H179" i="5"/>
  <c r="J178" i="5"/>
  <c r="H178" i="5"/>
  <c r="J177" i="5"/>
  <c r="H177" i="5"/>
  <c r="J176" i="5"/>
  <c r="H176" i="5"/>
  <c r="J175" i="5"/>
  <c r="H175" i="5"/>
  <c r="J174" i="5"/>
  <c r="H174" i="5"/>
  <c r="J173" i="5"/>
  <c r="H173" i="5"/>
  <c r="J172" i="5"/>
  <c r="H172" i="5"/>
  <c r="J171" i="5"/>
  <c r="H171" i="5"/>
  <c r="J170" i="5"/>
  <c r="H170" i="5"/>
  <c r="J169" i="5"/>
  <c r="H169" i="5"/>
  <c r="J168" i="5"/>
  <c r="H168" i="5"/>
  <c r="J167" i="5"/>
  <c r="H167" i="5"/>
  <c r="J166" i="5"/>
  <c r="H166" i="5"/>
  <c r="J165" i="5"/>
  <c r="H165" i="5"/>
  <c r="J164" i="5"/>
  <c r="H164" i="5"/>
  <c r="J163" i="5"/>
  <c r="H163" i="5"/>
  <c r="J162" i="5"/>
  <c r="H162" i="5"/>
  <c r="J161" i="5"/>
  <c r="H161" i="5"/>
  <c r="J160" i="5"/>
  <c r="H160" i="5"/>
  <c r="J159" i="5"/>
  <c r="H159" i="5"/>
  <c r="J158" i="5"/>
  <c r="H158" i="5"/>
  <c r="J157" i="5"/>
  <c r="H157" i="5"/>
  <c r="J156" i="5"/>
  <c r="H156" i="5"/>
  <c r="J155" i="5"/>
  <c r="H155" i="5"/>
  <c r="J154" i="5"/>
  <c r="H154" i="5"/>
  <c r="J153" i="5"/>
  <c r="H153" i="5"/>
  <c r="J152" i="5"/>
  <c r="H152" i="5"/>
  <c r="J151" i="5"/>
  <c r="H151" i="5"/>
  <c r="J150" i="5"/>
  <c r="H150" i="5"/>
  <c r="J149" i="5"/>
  <c r="H149" i="5"/>
  <c r="J148" i="5"/>
  <c r="H148" i="5"/>
  <c r="J147" i="5"/>
  <c r="H147" i="5"/>
  <c r="J146" i="5"/>
  <c r="H146" i="5"/>
  <c r="J145" i="5"/>
  <c r="H145" i="5"/>
  <c r="J144" i="5"/>
  <c r="H144" i="5"/>
  <c r="J143" i="5"/>
  <c r="H143" i="5"/>
  <c r="J142" i="5"/>
  <c r="H142" i="5"/>
  <c r="J141" i="5"/>
  <c r="H141" i="5"/>
  <c r="J140" i="5"/>
  <c r="H140" i="5"/>
  <c r="J139" i="5"/>
  <c r="H139" i="5"/>
  <c r="J138" i="5"/>
  <c r="H138" i="5"/>
  <c r="J137" i="5"/>
  <c r="H137" i="5"/>
  <c r="J136" i="5"/>
  <c r="H136" i="5"/>
  <c r="J135" i="5"/>
  <c r="H135" i="5"/>
  <c r="J134" i="5"/>
  <c r="H134" i="5"/>
  <c r="J133" i="5"/>
  <c r="H133" i="5"/>
  <c r="J132" i="5"/>
  <c r="H132" i="5"/>
  <c r="J131" i="5"/>
  <c r="H131" i="5"/>
  <c r="J130" i="5"/>
  <c r="H130" i="5"/>
  <c r="J129" i="5"/>
  <c r="H129" i="5"/>
  <c r="J128" i="5"/>
  <c r="H128" i="5"/>
  <c r="J127" i="5"/>
  <c r="H127" i="5"/>
  <c r="J126" i="5"/>
  <c r="H126" i="5"/>
  <c r="J125" i="5"/>
  <c r="H125" i="5"/>
  <c r="J124" i="5"/>
  <c r="H124" i="5"/>
  <c r="J123" i="5"/>
  <c r="H123" i="5"/>
  <c r="J122" i="5"/>
  <c r="H122" i="5"/>
  <c r="J121" i="5"/>
  <c r="H121" i="5"/>
  <c r="J120" i="5"/>
  <c r="H120" i="5"/>
  <c r="J119" i="5"/>
  <c r="H119" i="5"/>
  <c r="J118" i="5"/>
  <c r="H118" i="5"/>
  <c r="J117" i="5"/>
  <c r="H117" i="5"/>
  <c r="J116" i="5"/>
  <c r="H116" i="5"/>
  <c r="J115" i="5"/>
  <c r="H115" i="5"/>
  <c r="J114" i="5"/>
  <c r="H114" i="5"/>
  <c r="J113" i="5"/>
  <c r="H113" i="5"/>
  <c r="J112" i="5"/>
  <c r="H112" i="5"/>
  <c r="J111" i="5"/>
  <c r="H111" i="5"/>
  <c r="J110" i="5"/>
  <c r="H110" i="5"/>
  <c r="J109" i="5"/>
  <c r="H109" i="5"/>
  <c r="J108" i="5"/>
  <c r="H108" i="5"/>
  <c r="J107" i="5"/>
  <c r="H107" i="5"/>
  <c r="J106" i="5"/>
  <c r="H106" i="5"/>
  <c r="J105" i="5"/>
  <c r="H105" i="5"/>
  <c r="J104" i="5"/>
  <c r="H104" i="5"/>
  <c r="J103" i="5"/>
  <c r="H103" i="5"/>
  <c r="J102" i="5"/>
  <c r="H102" i="5"/>
  <c r="J101" i="5"/>
  <c r="H101" i="5"/>
  <c r="J100" i="5"/>
  <c r="H100" i="5"/>
  <c r="J99" i="5"/>
  <c r="H99" i="5"/>
  <c r="J98" i="5"/>
  <c r="H98" i="5"/>
  <c r="J97" i="5"/>
  <c r="H97" i="5"/>
  <c r="J96" i="5"/>
  <c r="H96" i="5"/>
  <c r="J95" i="5"/>
  <c r="H95" i="5"/>
  <c r="J94" i="5"/>
  <c r="H94" i="5"/>
  <c r="J93" i="5"/>
  <c r="H93" i="5"/>
  <c r="J92" i="5"/>
  <c r="H92" i="5"/>
  <c r="J91" i="5"/>
  <c r="H91" i="5"/>
  <c r="J90" i="5"/>
  <c r="H90" i="5"/>
  <c r="J89" i="5"/>
  <c r="H89" i="5"/>
  <c r="J88" i="5"/>
  <c r="H88" i="5"/>
  <c r="J87" i="5"/>
  <c r="H87" i="5"/>
  <c r="J86" i="5"/>
  <c r="H86" i="5"/>
  <c r="J85" i="5"/>
  <c r="H85" i="5"/>
  <c r="J84" i="5"/>
  <c r="H84" i="5"/>
  <c r="J83" i="5"/>
  <c r="H83" i="5"/>
  <c r="J82" i="5"/>
  <c r="H82" i="5"/>
  <c r="J81" i="5"/>
  <c r="H81" i="5"/>
  <c r="J80" i="5"/>
  <c r="H80" i="5"/>
  <c r="J79" i="5"/>
  <c r="H79" i="5"/>
  <c r="J78" i="5"/>
  <c r="H78" i="5"/>
  <c r="J77" i="5"/>
  <c r="H77" i="5"/>
  <c r="J76" i="5"/>
  <c r="H76" i="5"/>
  <c r="J75" i="5"/>
  <c r="H75" i="5"/>
  <c r="J74" i="5"/>
  <c r="H74" i="5"/>
  <c r="J73" i="5"/>
  <c r="H73" i="5"/>
  <c r="J72" i="5"/>
  <c r="H72" i="5"/>
  <c r="J71" i="5"/>
  <c r="H71" i="5"/>
  <c r="J70" i="5"/>
  <c r="H70" i="5"/>
  <c r="J69" i="5"/>
  <c r="H69" i="5"/>
  <c r="J68" i="5"/>
  <c r="H68" i="5"/>
  <c r="J67" i="5"/>
  <c r="H67" i="5"/>
  <c r="J66" i="5"/>
  <c r="H66" i="5"/>
  <c r="J65" i="5"/>
  <c r="H65" i="5"/>
  <c r="J64" i="5"/>
  <c r="H64" i="5"/>
  <c r="J63" i="5"/>
  <c r="H63" i="5"/>
  <c r="J62" i="5"/>
  <c r="H62" i="5"/>
  <c r="J61" i="5"/>
  <c r="H61" i="5"/>
  <c r="J60" i="5"/>
  <c r="H60" i="5"/>
  <c r="J59" i="5"/>
  <c r="H59" i="5"/>
  <c r="J58" i="5"/>
  <c r="H58" i="5"/>
  <c r="J57" i="5"/>
  <c r="H57" i="5"/>
  <c r="J56" i="5"/>
  <c r="H56" i="5"/>
  <c r="J55" i="5"/>
  <c r="H55" i="5"/>
  <c r="J54" i="5"/>
  <c r="H54" i="5"/>
  <c r="J53" i="5"/>
  <c r="H53" i="5"/>
  <c r="J52" i="5"/>
  <c r="H52" i="5"/>
  <c r="J51" i="5"/>
  <c r="H51" i="5"/>
  <c r="J50" i="5"/>
  <c r="H50" i="5"/>
  <c r="J49" i="5"/>
  <c r="H49" i="5"/>
  <c r="J48" i="5"/>
  <c r="H48" i="5"/>
  <c r="J47" i="5"/>
  <c r="H47" i="5"/>
  <c r="J46" i="5"/>
  <c r="H46" i="5"/>
  <c r="J45" i="5"/>
  <c r="H45" i="5"/>
  <c r="J44" i="5"/>
  <c r="H44" i="5"/>
  <c r="J43" i="5"/>
  <c r="H43" i="5"/>
  <c r="J42" i="5"/>
  <c r="H42" i="5"/>
  <c r="J41" i="5"/>
  <c r="H41" i="5"/>
  <c r="J40" i="5"/>
  <c r="H40" i="5"/>
  <c r="J39" i="5"/>
  <c r="H39" i="5"/>
  <c r="J38" i="5"/>
  <c r="H38" i="5"/>
  <c r="J37" i="5"/>
  <c r="H37" i="5"/>
  <c r="J36" i="5"/>
  <c r="H36" i="5"/>
  <c r="J35" i="5"/>
  <c r="H35" i="5"/>
  <c r="J34" i="5"/>
  <c r="H34" i="5"/>
  <c r="J33" i="5"/>
  <c r="H33" i="5"/>
  <c r="J32" i="5"/>
  <c r="H32" i="5"/>
  <c r="J31" i="5"/>
  <c r="H31" i="5"/>
  <c r="J30" i="5"/>
  <c r="H30" i="5"/>
  <c r="J29" i="5"/>
  <c r="H29" i="5"/>
  <c r="J28" i="5"/>
  <c r="H28" i="5"/>
  <c r="J27" i="5"/>
  <c r="H27" i="5"/>
  <c r="J26" i="5"/>
  <c r="H26" i="5"/>
  <c r="J25" i="5"/>
  <c r="H25" i="5"/>
  <c r="J24" i="5"/>
  <c r="H24" i="5"/>
  <c r="J23" i="5"/>
  <c r="H23" i="5"/>
  <c r="J22" i="5"/>
  <c r="H22" i="5"/>
  <c r="J21" i="5"/>
  <c r="H21" i="5"/>
  <c r="J20" i="5"/>
  <c r="H20" i="5"/>
  <c r="J19" i="5"/>
  <c r="H19" i="5"/>
  <c r="J18" i="5"/>
  <c r="H18" i="5"/>
  <c r="J17" i="5"/>
  <c r="H17" i="5"/>
  <c r="J16" i="5"/>
  <c r="H16" i="5"/>
  <c r="J15" i="5"/>
  <c r="H15" i="5"/>
  <c r="J14" i="5"/>
  <c r="H14" i="5"/>
  <c r="J13" i="5"/>
  <c r="H13" i="5"/>
  <c r="J12" i="5"/>
  <c r="H12" i="5"/>
  <c r="J11" i="5" l="1"/>
  <c r="H11" i="5"/>
  <c r="F2" i="26" l="1"/>
  <c r="F492" i="26"/>
  <c r="F493" i="26"/>
  <c r="F494" i="26"/>
  <c r="F495" i="26"/>
  <c r="F496" i="26"/>
  <c r="F497" i="26"/>
  <c r="F498" i="26"/>
  <c r="F499" i="26"/>
  <c r="F500" i="26"/>
  <c r="F501" i="26"/>
  <c r="F502" i="26"/>
  <c r="F503" i="26"/>
  <c r="F504" i="26"/>
  <c r="F505" i="26"/>
  <c r="F506" i="26"/>
  <c r="F507" i="26"/>
  <c r="F508" i="26"/>
  <c r="F509" i="26"/>
  <c r="F510" i="26"/>
  <c r="F511" i="26"/>
  <c r="F512" i="26"/>
  <c r="F513" i="26"/>
  <c r="F514" i="26"/>
  <c r="F515" i="26"/>
  <c r="F516" i="26"/>
  <c r="F517" i="26"/>
  <c r="F518" i="26"/>
  <c r="F519" i="26"/>
  <c r="F520" i="26"/>
  <c r="F521" i="26"/>
  <c r="F522" i="26"/>
  <c r="F523" i="26"/>
  <c r="F524" i="26"/>
  <c r="F525" i="26"/>
  <c r="F526" i="26"/>
  <c r="F527" i="26"/>
  <c r="F528" i="26"/>
  <c r="F529" i="26"/>
  <c r="F530" i="26"/>
  <c r="F531" i="26"/>
  <c r="F532" i="26"/>
  <c r="F533" i="26"/>
  <c r="F534" i="26"/>
  <c r="F535" i="26"/>
  <c r="F536" i="26"/>
  <c r="F537" i="26"/>
  <c r="F538" i="26"/>
  <c r="F539" i="26"/>
  <c r="F540" i="26"/>
  <c r="F541" i="26"/>
  <c r="F542" i="26"/>
  <c r="F543" i="26"/>
  <c r="F544" i="26"/>
  <c r="F545" i="26"/>
  <c r="F546" i="26"/>
  <c r="F547" i="26"/>
  <c r="F548" i="26"/>
  <c r="F549" i="26"/>
  <c r="F550" i="26"/>
  <c r="F551" i="26"/>
  <c r="F552" i="26"/>
  <c r="F553" i="26"/>
  <c r="F554" i="26"/>
  <c r="F555" i="26"/>
  <c r="F556" i="26"/>
  <c r="F557" i="26"/>
  <c r="F558" i="26"/>
  <c r="F559" i="26"/>
  <c r="F560" i="26"/>
  <c r="F561" i="26"/>
  <c r="F562" i="26"/>
  <c r="F563" i="26"/>
  <c r="F564" i="26"/>
  <c r="F565" i="26"/>
  <c r="F566" i="26"/>
  <c r="F567" i="26"/>
  <c r="F568" i="26"/>
  <c r="F569" i="26"/>
  <c r="F570" i="26"/>
  <c r="F571" i="26"/>
  <c r="F572" i="26"/>
  <c r="F573" i="26"/>
  <c r="F574" i="26"/>
  <c r="F575" i="26"/>
  <c r="F576" i="26"/>
  <c r="F577" i="26"/>
  <c r="F578" i="26"/>
  <c r="F579" i="26"/>
  <c r="F580" i="26"/>
  <c r="F581" i="26"/>
  <c r="F582" i="26"/>
  <c r="F583" i="26"/>
  <c r="F584" i="26"/>
  <c r="F585" i="26"/>
  <c r="F586" i="26"/>
  <c r="F587" i="26"/>
  <c r="F588" i="26"/>
  <c r="F589" i="26"/>
  <c r="F590" i="26"/>
  <c r="F591" i="26"/>
  <c r="F592" i="26"/>
  <c r="F593" i="26"/>
  <c r="F594" i="26"/>
  <c r="F595" i="26"/>
  <c r="F596" i="26"/>
  <c r="F597" i="26"/>
  <c r="F598" i="26"/>
  <c r="F599" i="26"/>
  <c r="F600" i="26"/>
  <c r="F601" i="26"/>
  <c r="F602" i="26"/>
  <c r="F603" i="26"/>
  <c r="F604" i="26"/>
  <c r="F605" i="26"/>
  <c r="F606" i="26"/>
  <c r="F607" i="26"/>
  <c r="F608" i="26"/>
  <c r="F609" i="26"/>
  <c r="F610" i="26"/>
  <c r="F611" i="26"/>
  <c r="F612" i="26"/>
  <c r="F613" i="26"/>
  <c r="F614" i="26"/>
  <c r="F615" i="26"/>
  <c r="F616" i="26"/>
  <c r="F617" i="26"/>
  <c r="F618" i="26"/>
  <c r="F619" i="26"/>
  <c r="F620" i="26"/>
  <c r="F621" i="26"/>
  <c r="F622" i="26"/>
  <c r="F623" i="26"/>
  <c r="F624" i="26"/>
  <c r="F625" i="26"/>
  <c r="F626" i="26"/>
  <c r="F627" i="26"/>
  <c r="F628" i="26"/>
  <c r="F629" i="26"/>
  <c r="F630" i="26"/>
  <c r="F631" i="26"/>
  <c r="F632" i="26"/>
  <c r="F633" i="26"/>
  <c r="F634" i="26"/>
  <c r="F635" i="26"/>
  <c r="F636" i="26"/>
  <c r="F637" i="26"/>
  <c r="F638" i="26"/>
  <c r="F639" i="26"/>
  <c r="F640" i="26"/>
  <c r="F641" i="26"/>
  <c r="F642" i="26"/>
  <c r="F643" i="26"/>
  <c r="F644" i="26"/>
  <c r="F645" i="26"/>
  <c r="F646" i="26"/>
  <c r="F647" i="26"/>
  <c r="F648" i="26"/>
  <c r="F649" i="26"/>
  <c r="F650" i="26"/>
  <c r="F651" i="26"/>
  <c r="F652" i="26"/>
  <c r="F653" i="26"/>
  <c r="F654" i="26"/>
  <c r="F655" i="26"/>
  <c r="F656" i="26"/>
  <c r="F657" i="26"/>
  <c r="F658" i="26"/>
  <c r="F659" i="26"/>
  <c r="F660" i="26"/>
  <c r="F661" i="26"/>
  <c r="F662" i="26"/>
  <c r="F663" i="26"/>
  <c r="F664" i="26"/>
  <c r="F665" i="26"/>
  <c r="F666" i="26"/>
  <c r="F667" i="26"/>
  <c r="F668" i="26"/>
  <c r="F669" i="26"/>
  <c r="F670" i="26"/>
  <c r="F671" i="26"/>
  <c r="F672" i="26"/>
  <c r="F673" i="26"/>
  <c r="F674" i="26"/>
  <c r="F675" i="26"/>
  <c r="F676" i="26"/>
  <c r="F677" i="26"/>
  <c r="F678" i="26"/>
  <c r="F679" i="26"/>
  <c r="F680" i="26"/>
  <c r="F681" i="26"/>
  <c r="F682" i="26"/>
  <c r="F683" i="26"/>
  <c r="F684" i="26"/>
  <c r="F685" i="26"/>
  <c r="F686" i="26"/>
  <c r="F687" i="26"/>
  <c r="F688" i="26"/>
  <c r="F689" i="26"/>
  <c r="F690" i="26"/>
  <c r="F691" i="26"/>
  <c r="F692" i="26"/>
  <c r="F693" i="26"/>
  <c r="F694" i="26"/>
  <c r="F695" i="26"/>
  <c r="F696" i="26"/>
  <c r="F697" i="26"/>
  <c r="F698" i="26"/>
  <c r="F699" i="26"/>
  <c r="F700" i="26"/>
  <c r="F701" i="26"/>
  <c r="F702" i="26"/>
  <c r="F703" i="26"/>
  <c r="F704" i="26"/>
  <c r="F705" i="26"/>
  <c r="F706" i="26"/>
  <c r="F707" i="26"/>
  <c r="F708" i="26"/>
  <c r="F709" i="26"/>
  <c r="F710" i="26"/>
  <c r="F711" i="26"/>
  <c r="F712" i="26"/>
  <c r="F713" i="26"/>
  <c r="F714" i="26"/>
  <c r="F715" i="26"/>
  <c r="F716" i="26"/>
  <c r="F717" i="26"/>
  <c r="F718" i="26"/>
  <c r="F719" i="26"/>
  <c r="F720" i="26"/>
  <c r="F721" i="26"/>
  <c r="F722" i="26"/>
  <c r="F723" i="26"/>
  <c r="F724" i="26"/>
  <c r="F725" i="26"/>
  <c r="F726" i="26"/>
  <c r="F727" i="26"/>
  <c r="F728" i="26"/>
  <c r="F729" i="26"/>
  <c r="F730" i="26"/>
  <c r="F731" i="26"/>
  <c r="F732" i="26"/>
  <c r="F733" i="26"/>
  <c r="F734" i="26"/>
  <c r="F735" i="26"/>
  <c r="F736" i="26"/>
  <c r="F737" i="26"/>
  <c r="F738" i="26"/>
  <c r="F739" i="26"/>
  <c r="F740" i="26"/>
  <c r="F741" i="26"/>
  <c r="F742" i="26"/>
  <c r="F743" i="26"/>
  <c r="F744" i="26"/>
  <c r="F745" i="26"/>
  <c r="F746" i="26"/>
  <c r="F747" i="26"/>
  <c r="F748" i="26"/>
  <c r="F749" i="26"/>
  <c r="F750" i="26"/>
  <c r="F751" i="26"/>
  <c r="F752" i="26"/>
  <c r="F753" i="26"/>
  <c r="F754" i="26"/>
  <c r="F755" i="26"/>
  <c r="F756" i="26"/>
  <c r="F757" i="26"/>
  <c r="F758" i="26"/>
  <c r="F759" i="26"/>
  <c r="F760" i="26"/>
  <c r="F761" i="26"/>
  <c r="F762" i="26"/>
  <c r="F763" i="26"/>
  <c r="F764" i="26"/>
  <c r="F765" i="26"/>
  <c r="F766" i="26"/>
  <c r="F767" i="26"/>
  <c r="F768" i="26"/>
  <c r="F769" i="26"/>
  <c r="F770" i="26"/>
  <c r="F771" i="26"/>
  <c r="F772" i="26"/>
  <c r="F773" i="26"/>
  <c r="F774" i="26"/>
  <c r="F775" i="26"/>
  <c r="F776" i="26"/>
  <c r="F777" i="26"/>
  <c r="F778" i="26"/>
  <c r="F779" i="26"/>
  <c r="F780" i="26"/>
  <c r="F781" i="26"/>
  <c r="F782" i="26"/>
  <c r="F783" i="26"/>
  <c r="F784" i="26"/>
  <c r="F785" i="26"/>
  <c r="F786" i="26"/>
  <c r="F787" i="26"/>
  <c r="F788" i="26"/>
  <c r="F789" i="26"/>
  <c r="F790" i="26"/>
  <c r="F791" i="26"/>
  <c r="F792" i="26"/>
  <c r="F793" i="26"/>
  <c r="F794" i="26"/>
  <c r="F795" i="26"/>
  <c r="F796" i="26"/>
  <c r="F797" i="26"/>
  <c r="F798" i="26"/>
  <c r="F799" i="26"/>
  <c r="F800" i="26"/>
  <c r="F801" i="26"/>
  <c r="F802" i="26"/>
  <c r="F803" i="26"/>
  <c r="F804" i="26"/>
  <c r="F805" i="26"/>
  <c r="F806" i="26"/>
  <c r="F807" i="26"/>
  <c r="F808" i="26"/>
  <c r="F809" i="26"/>
  <c r="F810" i="26"/>
  <c r="F811" i="26"/>
  <c r="F812" i="26"/>
  <c r="F813" i="26"/>
  <c r="F814" i="26"/>
  <c r="F815" i="26"/>
  <c r="F816" i="26"/>
  <c r="F817" i="26"/>
  <c r="F818" i="26"/>
  <c r="F819" i="26"/>
  <c r="F820" i="26"/>
  <c r="F821" i="26"/>
  <c r="F822" i="26"/>
  <c r="F823" i="26"/>
  <c r="F824" i="26"/>
  <c r="F825" i="26"/>
  <c r="F826" i="26"/>
  <c r="F827" i="26"/>
  <c r="F828" i="26"/>
  <c r="F829" i="26"/>
  <c r="F830" i="26"/>
  <c r="F831" i="26"/>
  <c r="F832" i="26"/>
  <c r="F833" i="26"/>
  <c r="F834" i="26"/>
  <c r="F835" i="26"/>
  <c r="F836" i="26"/>
  <c r="F491" i="26"/>
  <c r="F3" i="26"/>
  <c r="F4" i="26"/>
  <c r="F5" i="26"/>
  <c r="F6" i="26"/>
  <c r="F7" i="26"/>
  <c r="F8" i="26"/>
  <c r="F9" i="26"/>
  <c r="F10" i="26"/>
  <c r="F11" i="26"/>
  <c r="F12" i="26"/>
  <c r="F13" i="26"/>
  <c r="F14" i="26"/>
  <c r="F15" i="26"/>
  <c r="F16" i="26"/>
  <c r="F17" i="26"/>
  <c r="F18" i="26"/>
  <c r="F19" i="26"/>
  <c r="F20" i="26"/>
  <c r="F21" i="26"/>
  <c r="F22" i="26"/>
  <c r="F23" i="26"/>
  <c r="F24" i="26"/>
  <c r="F25" i="26"/>
  <c r="F26" i="26"/>
  <c r="F27" i="26"/>
  <c r="F28" i="26"/>
  <c r="F29" i="26"/>
  <c r="F30" i="26"/>
  <c r="F31" i="26"/>
  <c r="F32" i="26"/>
  <c r="F33" i="26"/>
  <c r="F34" i="26"/>
  <c r="F35" i="26"/>
  <c r="F36" i="26"/>
  <c r="F37" i="26"/>
  <c r="F38" i="26"/>
  <c r="F39" i="26"/>
  <c r="F40" i="26"/>
  <c r="F41" i="26"/>
  <c r="F42" i="26"/>
  <c r="F43" i="26"/>
  <c r="F44" i="26"/>
  <c r="F45" i="26"/>
  <c r="F46" i="26"/>
  <c r="F47" i="26"/>
  <c r="F48" i="26"/>
  <c r="F49" i="26"/>
  <c r="F50" i="26"/>
  <c r="F51" i="26"/>
  <c r="F52" i="26"/>
  <c r="F53" i="26"/>
  <c r="F54" i="26"/>
  <c r="F55" i="26"/>
  <c r="F56" i="26"/>
  <c r="F57" i="26"/>
  <c r="F58" i="26"/>
  <c r="F59" i="26"/>
  <c r="F60" i="26"/>
  <c r="F61" i="26"/>
  <c r="F62" i="26"/>
  <c r="F63" i="26"/>
  <c r="F64" i="26"/>
  <c r="F65" i="26"/>
  <c r="F66" i="26"/>
  <c r="F67" i="26"/>
  <c r="F68" i="26"/>
  <c r="F69" i="26"/>
  <c r="F70" i="26"/>
  <c r="F71" i="26"/>
  <c r="F72" i="26"/>
  <c r="F73" i="26"/>
  <c r="F74" i="26"/>
  <c r="F75" i="26"/>
  <c r="F76" i="26"/>
  <c r="F77" i="26"/>
  <c r="F78" i="26"/>
  <c r="F79" i="26"/>
  <c r="F80" i="26"/>
  <c r="F81" i="26"/>
  <c r="F82" i="26"/>
  <c r="F83" i="26"/>
  <c r="F84" i="26"/>
  <c r="F85" i="26"/>
  <c r="F86" i="26"/>
  <c r="F87" i="26"/>
  <c r="F88" i="26"/>
  <c r="F89" i="26"/>
  <c r="F90" i="26"/>
  <c r="F91" i="26"/>
  <c r="F92" i="26"/>
  <c r="F93" i="26"/>
  <c r="F94" i="26"/>
  <c r="F95" i="26"/>
  <c r="F96" i="26"/>
  <c r="F97" i="26"/>
  <c r="F98" i="26"/>
  <c r="F99" i="26"/>
  <c r="F100" i="26"/>
  <c r="F101" i="26"/>
  <c r="F102" i="26"/>
  <c r="F103" i="26"/>
  <c r="F104" i="26"/>
  <c r="F105" i="26"/>
  <c r="F106" i="26"/>
  <c r="F107" i="26"/>
  <c r="F108" i="26"/>
  <c r="F109" i="26"/>
  <c r="F110" i="26"/>
  <c r="F111" i="26"/>
  <c r="F112" i="26"/>
  <c r="F113" i="26"/>
  <c r="F114" i="26"/>
  <c r="F115" i="26"/>
  <c r="F116" i="26"/>
  <c r="F117" i="26"/>
  <c r="F118" i="26"/>
  <c r="F119" i="26"/>
  <c r="F120" i="26"/>
  <c r="F121" i="26"/>
  <c r="F122" i="26"/>
  <c r="F123" i="26"/>
  <c r="F124" i="26"/>
  <c r="F125" i="26"/>
  <c r="F126" i="26"/>
  <c r="F127" i="26"/>
  <c r="F128" i="26"/>
  <c r="F129" i="26"/>
  <c r="F130" i="26"/>
  <c r="F131" i="26"/>
  <c r="F132" i="26"/>
  <c r="F133" i="26"/>
  <c r="F134" i="26"/>
  <c r="F135" i="26"/>
  <c r="F136" i="26"/>
  <c r="F137" i="26"/>
  <c r="F138" i="26"/>
  <c r="F139" i="26"/>
  <c r="F140" i="26"/>
  <c r="F141" i="26"/>
  <c r="F142" i="26"/>
  <c r="F143" i="26"/>
  <c r="F144" i="26"/>
  <c r="F145" i="26"/>
  <c r="F146" i="26"/>
  <c r="F147" i="26"/>
  <c r="F148" i="26"/>
  <c r="F149" i="26"/>
  <c r="F150" i="26"/>
  <c r="F151" i="26"/>
  <c r="F152" i="26"/>
  <c r="F153" i="26"/>
  <c r="F154" i="26"/>
  <c r="F155" i="26"/>
  <c r="F156" i="26"/>
  <c r="F157" i="26"/>
  <c r="F158" i="26"/>
  <c r="F159" i="26"/>
  <c r="F160" i="26"/>
  <c r="F161" i="26"/>
  <c r="F162" i="26"/>
  <c r="F163" i="26"/>
  <c r="F164" i="26"/>
  <c r="F165" i="26"/>
  <c r="F166" i="26"/>
  <c r="F167" i="26"/>
  <c r="F168" i="26"/>
  <c r="F169" i="26"/>
  <c r="F170" i="26"/>
  <c r="F171" i="26"/>
  <c r="F172" i="26"/>
  <c r="F173" i="26"/>
  <c r="F174" i="26"/>
  <c r="F175" i="26"/>
  <c r="F176" i="26"/>
  <c r="F177" i="26"/>
  <c r="F178" i="26"/>
  <c r="F179" i="26"/>
  <c r="F180" i="26"/>
  <c r="F181" i="26"/>
  <c r="F182" i="26"/>
  <c r="F183" i="26"/>
  <c r="F184" i="26"/>
  <c r="F185" i="26"/>
  <c r="F186" i="26"/>
  <c r="F187" i="26"/>
  <c r="F188" i="26"/>
  <c r="F189" i="26"/>
  <c r="F190" i="26"/>
  <c r="F191" i="26"/>
  <c r="F192" i="26"/>
  <c r="F193" i="26"/>
  <c r="F194" i="26"/>
  <c r="F195" i="26"/>
  <c r="F196" i="26"/>
  <c r="F197" i="26"/>
  <c r="F198" i="26"/>
  <c r="F199" i="26"/>
  <c r="F200" i="26"/>
  <c r="F201" i="26"/>
  <c r="F202" i="26"/>
  <c r="F203" i="26"/>
  <c r="F204" i="26"/>
  <c r="F205" i="26"/>
  <c r="F206" i="26"/>
  <c r="F207" i="26"/>
  <c r="F208" i="26"/>
  <c r="F209" i="26"/>
  <c r="F210" i="26"/>
  <c r="F211" i="26"/>
  <c r="F212" i="26"/>
  <c r="F213" i="26"/>
  <c r="F214" i="26"/>
  <c r="F215" i="26"/>
  <c r="F216" i="26"/>
  <c r="F217" i="26"/>
  <c r="F218" i="26"/>
  <c r="F219" i="26"/>
  <c r="F220" i="26"/>
  <c r="F221" i="26"/>
  <c r="F222" i="26"/>
  <c r="F223" i="26"/>
  <c r="F224" i="26"/>
  <c r="F225" i="26"/>
  <c r="F226" i="26"/>
  <c r="F227" i="26"/>
  <c r="F228" i="26"/>
  <c r="F229" i="26"/>
  <c r="F230" i="26"/>
  <c r="F231" i="26"/>
  <c r="F232" i="26"/>
  <c r="F233" i="26"/>
  <c r="F234" i="26"/>
  <c r="F235" i="26"/>
  <c r="F236" i="26"/>
  <c r="F237" i="26"/>
  <c r="F238" i="26"/>
  <c r="F239" i="26"/>
  <c r="F240" i="26"/>
  <c r="F241" i="26"/>
  <c r="F242" i="26"/>
  <c r="F243" i="26"/>
  <c r="F244" i="26"/>
  <c r="F245" i="26"/>
  <c r="F246" i="26"/>
  <c r="F247" i="26"/>
  <c r="F248" i="26"/>
  <c r="F249" i="26"/>
  <c r="F250" i="26"/>
  <c r="F251" i="26"/>
  <c r="F252" i="26"/>
  <c r="F253" i="26"/>
  <c r="F254" i="26"/>
  <c r="F255" i="26"/>
  <c r="F256" i="26"/>
  <c r="F257" i="26"/>
  <c r="F258" i="26"/>
  <c r="F259" i="26"/>
  <c r="F260" i="26"/>
  <c r="F261" i="26"/>
  <c r="F262" i="26"/>
  <c r="F263" i="26"/>
  <c r="F264" i="26"/>
  <c r="F265" i="26"/>
  <c r="F266" i="26"/>
  <c r="F267" i="26"/>
  <c r="F268" i="26"/>
  <c r="F269" i="26"/>
  <c r="F270" i="26"/>
  <c r="F271" i="26"/>
  <c r="F272" i="26"/>
  <c r="F273" i="26"/>
  <c r="F274" i="26"/>
  <c r="F275" i="26"/>
  <c r="F276" i="26"/>
  <c r="F277" i="26"/>
  <c r="F278" i="26"/>
  <c r="F279" i="26"/>
  <c r="F280" i="26"/>
  <c r="F281" i="26"/>
  <c r="F282" i="26"/>
  <c r="F283" i="26"/>
  <c r="F284" i="26"/>
  <c r="F285" i="26"/>
  <c r="F286" i="26"/>
  <c r="F287" i="26"/>
  <c r="F288" i="26"/>
  <c r="F289" i="26"/>
  <c r="F290" i="26"/>
  <c r="F291" i="26"/>
  <c r="F292" i="26"/>
  <c r="F293" i="26"/>
  <c r="F294" i="26"/>
  <c r="F295" i="26"/>
  <c r="F296" i="26"/>
  <c r="F297" i="26"/>
  <c r="F298" i="26"/>
  <c r="F299" i="26"/>
  <c r="F300" i="26"/>
  <c r="F301" i="26"/>
  <c r="F302" i="26"/>
  <c r="F303" i="26"/>
  <c r="F304" i="26"/>
  <c r="F305" i="26"/>
  <c r="F306" i="26"/>
  <c r="F307" i="26"/>
  <c r="F308" i="26"/>
  <c r="F309" i="26"/>
  <c r="F310" i="26"/>
  <c r="F311" i="26"/>
  <c r="F312" i="26"/>
  <c r="F313" i="26"/>
  <c r="F314" i="26"/>
  <c r="F315" i="26"/>
  <c r="F316" i="26"/>
  <c r="F317" i="26"/>
  <c r="F318" i="26"/>
  <c r="F319" i="26"/>
  <c r="F320" i="26"/>
  <c r="F321" i="26"/>
  <c r="F322" i="26"/>
  <c r="F323" i="26"/>
  <c r="F324" i="26"/>
  <c r="F325" i="26"/>
  <c r="F326" i="26"/>
  <c r="F327" i="26"/>
  <c r="F328" i="26"/>
  <c r="F329" i="26"/>
  <c r="F330" i="26"/>
  <c r="F331" i="26"/>
  <c r="F332" i="26"/>
  <c r="F333" i="26"/>
  <c r="F334" i="26"/>
  <c r="F335" i="26"/>
  <c r="F336" i="26"/>
  <c r="F337" i="26"/>
  <c r="F338" i="26"/>
  <c r="F339" i="26"/>
  <c r="F340" i="26"/>
  <c r="F341" i="26"/>
  <c r="F342" i="26"/>
  <c r="F343" i="26"/>
  <c r="F344" i="26"/>
  <c r="F345" i="26"/>
  <c r="F346" i="26"/>
  <c r="F347" i="26"/>
  <c r="F348" i="26"/>
  <c r="F349" i="26"/>
  <c r="F350" i="26"/>
  <c r="F351" i="26"/>
  <c r="F352" i="26"/>
  <c r="F353" i="26"/>
  <c r="F354" i="26"/>
  <c r="F355" i="26"/>
  <c r="F356" i="26"/>
  <c r="F357" i="26"/>
  <c r="F358" i="26"/>
  <c r="F359" i="26"/>
  <c r="F360" i="26"/>
  <c r="F361" i="26"/>
  <c r="F362" i="26"/>
  <c r="F363" i="26"/>
  <c r="F364" i="26"/>
  <c r="F365" i="26"/>
  <c r="F366" i="26"/>
  <c r="F367" i="26"/>
  <c r="F368" i="26"/>
  <c r="F369" i="26"/>
  <c r="F370" i="26"/>
  <c r="F371" i="26"/>
  <c r="F372" i="26"/>
  <c r="F373" i="26"/>
  <c r="F374" i="26"/>
  <c r="F375" i="26"/>
  <c r="F376" i="26"/>
  <c r="F377" i="26"/>
  <c r="F378" i="26"/>
  <c r="F379" i="26"/>
  <c r="F380" i="26"/>
  <c r="F381" i="26"/>
  <c r="F382" i="26"/>
  <c r="F383" i="26"/>
  <c r="F384" i="26"/>
  <c r="F385" i="26"/>
  <c r="F386" i="26"/>
  <c r="F387" i="26"/>
  <c r="F388" i="26"/>
  <c r="F389" i="26"/>
  <c r="F390" i="26"/>
  <c r="F391" i="26"/>
  <c r="F392" i="26"/>
  <c r="F393" i="26"/>
  <c r="F394" i="26"/>
  <c r="F395" i="26"/>
  <c r="F396" i="26"/>
  <c r="F397" i="26"/>
  <c r="F398" i="26"/>
  <c r="F399" i="26"/>
  <c r="F400" i="26"/>
  <c r="F401" i="26"/>
  <c r="F402" i="26"/>
  <c r="F403" i="26"/>
  <c r="F404" i="26"/>
  <c r="F405" i="26"/>
  <c r="F406" i="26"/>
  <c r="F407" i="26"/>
  <c r="F408" i="26"/>
  <c r="F409" i="26"/>
  <c r="F410" i="26"/>
  <c r="F411" i="26"/>
  <c r="F412" i="26"/>
  <c r="F413" i="26"/>
  <c r="F414" i="26"/>
  <c r="F415" i="26"/>
  <c r="F416" i="26"/>
  <c r="F417" i="26"/>
  <c r="F418" i="26"/>
  <c r="F419" i="26"/>
  <c r="F420" i="26"/>
  <c r="F421" i="26"/>
  <c r="F422" i="26"/>
  <c r="F423" i="26"/>
  <c r="F424" i="26"/>
  <c r="F425" i="26"/>
  <c r="F426" i="26"/>
  <c r="F427" i="26"/>
  <c r="F428" i="26"/>
  <c r="F429" i="26"/>
  <c r="F430" i="26"/>
  <c r="F431" i="26"/>
  <c r="F432" i="26"/>
  <c r="F433" i="26"/>
  <c r="F434" i="26"/>
  <c r="F435" i="26"/>
  <c r="F436" i="26"/>
  <c r="F437" i="26"/>
  <c r="F438" i="26"/>
  <c r="F439" i="26"/>
  <c r="F440" i="26"/>
  <c r="F441" i="26"/>
  <c r="F442" i="26"/>
  <c r="F443" i="26"/>
  <c r="F444" i="26"/>
  <c r="F445" i="26"/>
  <c r="F446" i="26"/>
  <c r="F447" i="26"/>
  <c r="F448" i="26"/>
  <c r="F449" i="26"/>
  <c r="F450" i="26"/>
  <c r="F451" i="26"/>
  <c r="F452" i="26"/>
  <c r="F453" i="26"/>
  <c r="F454" i="26"/>
  <c r="F455" i="26"/>
  <c r="F456" i="26"/>
  <c r="F457" i="26"/>
  <c r="F458" i="26"/>
  <c r="F459" i="26"/>
  <c r="F460" i="26"/>
  <c r="F461" i="26"/>
  <c r="F462" i="26"/>
  <c r="F463" i="26"/>
  <c r="F464" i="26"/>
  <c r="F465" i="26"/>
  <c r="F466" i="26"/>
  <c r="F467" i="26"/>
  <c r="F468" i="26"/>
  <c r="F469" i="26"/>
  <c r="F470" i="26"/>
  <c r="F471" i="26"/>
  <c r="F472" i="26"/>
  <c r="F473" i="26"/>
  <c r="F474" i="26"/>
  <c r="F475" i="26"/>
  <c r="F476" i="26"/>
  <c r="F477" i="26"/>
  <c r="F478" i="26"/>
  <c r="F479" i="26"/>
  <c r="F480" i="26"/>
  <c r="F481" i="26"/>
  <c r="F482" i="26"/>
  <c r="F483" i="26"/>
  <c r="F484" i="26"/>
  <c r="F485" i="26"/>
  <c r="F486" i="26"/>
  <c r="F487" i="26"/>
  <c r="F488" i="26"/>
  <c r="E836" i="26"/>
  <c r="D836" i="26"/>
  <c r="E835" i="26"/>
  <c r="D835" i="26"/>
  <c r="E834" i="26"/>
  <c r="D834" i="26"/>
  <c r="E833" i="26"/>
  <c r="D833" i="26"/>
  <c r="E832" i="26"/>
  <c r="D832" i="26"/>
  <c r="E831" i="26"/>
  <c r="D831" i="26"/>
  <c r="E830" i="26"/>
  <c r="D830" i="26"/>
  <c r="E829" i="26"/>
  <c r="D829" i="26"/>
  <c r="E828" i="26"/>
  <c r="D828" i="26"/>
  <c r="E827" i="26"/>
  <c r="D827" i="26"/>
  <c r="E826" i="26"/>
  <c r="D826" i="26"/>
  <c r="E825" i="26"/>
  <c r="D825" i="26"/>
  <c r="E824" i="26"/>
  <c r="D824" i="26"/>
  <c r="E823" i="26"/>
  <c r="D823" i="26"/>
  <c r="E822" i="26"/>
  <c r="D822" i="26"/>
  <c r="E821" i="26"/>
  <c r="D821" i="26"/>
  <c r="E820" i="26"/>
  <c r="D820" i="26"/>
  <c r="E819" i="26"/>
  <c r="D819" i="26"/>
  <c r="E818" i="26"/>
  <c r="D818" i="26"/>
  <c r="E817" i="26"/>
  <c r="D817" i="26"/>
  <c r="E816" i="26"/>
  <c r="D816" i="26"/>
  <c r="E815" i="26"/>
  <c r="D815" i="26"/>
  <c r="E814" i="26"/>
  <c r="D814" i="26"/>
  <c r="E813" i="26"/>
  <c r="D813" i="26"/>
  <c r="E812" i="26"/>
  <c r="D812" i="26"/>
  <c r="E811" i="26"/>
  <c r="D811" i="26"/>
  <c r="E810" i="26"/>
  <c r="D810" i="26"/>
  <c r="E809" i="26"/>
  <c r="D809" i="26"/>
  <c r="E808" i="26"/>
  <c r="D808" i="26"/>
  <c r="E807" i="26"/>
  <c r="D807" i="26"/>
  <c r="E806" i="26"/>
  <c r="D806" i="26"/>
  <c r="E805" i="26"/>
  <c r="D805" i="26"/>
  <c r="E804" i="26"/>
  <c r="D804" i="26"/>
  <c r="E803" i="26"/>
  <c r="D803" i="26"/>
  <c r="E802" i="26"/>
  <c r="D802" i="26"/>
  <c r="E801" i="26"/>
  <c r="D801" i="26"/>
  <c r="E800" i="26"/>
  <c r="D800" i="26"/>
  <c r="E799" i="26"/>
  <c r="D799" i="26"/>
  <c r="E798" i="26"/>
  <c r="D798" i="26"/>
  <c r="E797" i="26"/>
  <c r="D797" i="26"/>
  <c r="E796" i="26"/>
  <c r="D796" i="26"/>
  <c r="E795" i="26"/>
  <c r="D795" i="26"/>
  <c r="E794" i="26"/>
  <c r="D794" i="26"/>
  <c r="E793" i="26"/>
  <c r="D793" i="26"/>
  <c r="E792" i="26"/>
  <c r="D792" i="26"/>
  <c r="E791" i="26"/>
  <c r="D791" i="26"/>
  <c r="E790" i="26"/>
  <c r="D790" i="26"/>
  <c r="E789" i="26"/>
  <c r="D789" i="26"/>
  <c r="E788" i="26"/>
  <c r="D788" i="26"/>
  <c r="E787" i="26"/>
  <c r="D787" i="26"/>
  <c r="E786" i="26"/>
  <c r="D786" i="26"/>
  <c r="E785" i="26"/>
  <c r="D785" i="26"/>
  <c r="E784" i="26"/>
  <c r="D784" i="26"/>
  <c r="E783" i="26"/>
  <c r="D783" i="26"/>
  <c r="E782" i="26"/>
  <c r="D782" i="26"/>
  <c r="E781" i="26"/>
  <c r="D781" i="26"/>
  <c r="E780" i="26"/>
  <c r="D780" i="26"/>
  <c r="E779" i="26"/>
  <c r="D779" i="26"/>
  <c r="E778" i="26"/>
  <c r="D778" i="26"/>
  <c r="E777" i="26"/>
  <c r="D777" i="26"/>
  <c r="E776" i="26"/>
  <c r="D776" i="26"/>
  <c r="E775" i="26"/>
  <c r="D775" i="26"/>
  <c r="E774" i="26"/>
  <c r="D774" i="26"/>
  <c r="E773" i="26"/>
  <c r="D773" i="26"/>
  <c r="E772" i="26"/>
  <c r="D772" i="26"/>
  <c r="E771" i="26"/>
  <c r="D771" i="26"/>
  <c r="E770" i="26"/>
  <c r="D770" i="26"/>
  <c r="E769" i="26"/>
  <c r="D769" i="26"/>
  <c r="E768" i="26"/>
  <c r="D768" i="26"/>
  <c r="E767" i="26"/>
  <c r="D767" i="26"/>
  <c r="E766" i="26"/>
  <c r="D766" i="26"/>
  <c r="E765" i="26"/>
  <c r="D765" i="26"/>
  <c r="E764" i="26"/>
  <c r="D764" i="26"/>
  <c r="E763" i="26"/>
  <c r="D763" i="26"/>
  <c r="E762" i="26"/>
  <c r="D762" i="26"/>
  <c r="E761" i="26"/>
  <c r="D761" i="26"/>
  <c r="E760" i="26"/>
  <c r="D760" i="26"/>
  <c r="E759" i="26"/>
  <c r="D759" i="26"/>
  <c r="E758" i="26"/>
  <c r="D758" i="26"/>
  <c r="E757" i="26"/>
  <c r="D757" i="26"/>
  <c r="E756" i="26"/>
  <c r="D756" i="26"/>
  <c r="E755" i="26"/>
  <c r="D755" i="26"/>
  <c r="E754" i="26"/>
  <c r="D754" i="26"/>
  <c r="E753" i="26"/>
  <c r="D753" i="26"/>
  <c r="E752" i="26"/>
  <c r="D752" i="26"/>
  <c r="E751" i="26"/>
  <c r="D751" i="26"/>
  <c r="E750" i="26"/>
  <c r="D750" i="26"/>
  <c r="E749" i="26"/>
  <c r="D749" i="26"/>
  <c r="E748" i="26"/>
  <c r="D748" i="26"/>
  <c r="E747" i="26"/>
  <c r="D747" i="26"/>
  <c r="E746" i="26"/>
  <c r="D746" i="26"/>
  <c r="E745" i="26"/>
  <c r="D745" i="26"/>
  <c r="E744" i="26"/>
  <c r="D744" i="26"/>
  <c r="E743" i="26"/>
  <c r="D743" i="26"/>
  <c r="E742" i="26"/>
  <c r="D742" i="26"/>
  <c r="E741" i="26"/>
  <c r="D741" i="26"/>
  <c r="E740" i="26"/>
  <c r="D740" i="26"/>
  <c r="E739" i="26"/>
  <c r="D739" i="26"/>
  <c r="E738" i="26"/>
  <c r="D738" i="26"/>
  <c r="E737" i="26"/>
  <c r="D737" i="26"/>
  <c r="E736" i="26"/>
  <c r="D736" i="26"/>
  <c r="E735" i="26"/>
  <c r="D735" i="26"/>
  <c r="E734" i="26"/>
  <c r="D734" i="26"/>
  <c r="E733" i="26"/>
  <c r="D733" i="26"/>
  <c r="E732" i="26"/>
  <c r="D732" i="26"/>
  <c r="E731" i="26"/>
  <c r="D731" i="26"/>
  <c r="E730" i="26"/>
  <c r="D730" i="26"/>
  <c r="E729" i="26"/>
  <c r="D729" i="26"/>
  <c r="E728" i="26"/>
  <c r="D728" i="26"/>
  <c r="E727" i="26"/>
  <c r="D727" i="26"/>
  <c r="E726" i="26"/>
  <c r="D726" i="26"/>
  <c r="E725" i="26"/>
  <c r="D725" i="26"/>
  <c r="E724" i="26"/>
  <c r="D724" i="26"/>
  <c r="E723" i="26"/>
  <c r="D723" i="26"/>
  <c r="E722" i="26"/>
  <c r="D722" i="26"/>
  <c r="E721" i="26"/>
  <c r="D721" i="26"/>
  <c r="E720" i="26"/>
  <c r="D720" i="26"/>
  <c r="E719" i="26"/>
  <c r="D719" i="26"/>
  <c r="E718" i="26"/>
  <c r="D718" i="26"/>
  <c r="E717" i="26"/>
  <c r="D717" i="26"/>
  <c r="E716" i="26"/>
  <c r="D716" i="26"/>
  <c r="E715" i="26"/>
  <c r="D715" i="26"/>
  <c r="E714" i="26"/>
  <c r="D714" i="26"/>
  <c r="E713" i="26"/>
  <c r="D713" i="26"/>
  <c r="E712" i="26"/>
  <c r="D712" i="26"/>
  <c r="E711" i="26"/>
  <c r="D711" i="26"/>
  <c r="E710" i="26"/>
  <c r="D710" i="26"/>
  <c r="E709" i="26"/>
  <c r="D709" i="26"/>
  <c r="E708" i="26"/>
  <c r="D708" i="26"/>
  <c r="E707" i="26"/>
  <c r="D707" i="26"/>
  <c r="E706" i="26"/>
  <c r="D706" i="26"/>
  <c r="E705" i="26"/>
  <c r="D705" i="26"/>
  <c r="E704" i="26"/>
  <c r="D704" i="26"/>
  <c r="E703" i="26"/>
  <c r="D703" i="26"/>
  <c r="E702" i="26"/>
  <c r="D702" i="26"/>
  <c r="E701" i="26"/>
  <c r="D701" i="26"/>
  <c r="E700" i="26"/>
  <c r="D700" i="26"/>
  <c r="E699" i="26"/>
  <c r="D699" i="26"/>
  <c r="E698" i="26"/>
  <c r="D698" i="26"/>
  <c r="E697" i="26"/>
  <c r="D697" i="26"/>
  <c r="E696" i="26"/>
  <c r="D696" i="26"/>
  <c r="E695" i="26"/>
  <c r="D695" i="26"/>
  <c r="E694" i="26"/>
  <c r="D694" i="26"/>
  <c r="E693" i="26"/>
  <c r="D693" i="26"/>
  <c r="E692" i="26"/>
  <c r="D692" i="26"/>
  <c r="E691" i="26"/>
  <c r="D691" i="26"/>
  <c r="E690" i="26"/>
  <c r="D690" i="26"/>
  <c r="E689" i="26"/>
  <c r="D689" i="26"/>
  <c r="E688" i="26"/>
  <c r="D688" i="26"/>
  <c r="E687" i="26"/>
  <c r="D687" i="26"/>
  <c r="E686" i="26"/>
  <c r="D686" i="26"/>
  <c r="E685" i="26"/>
  <c r="D685" i="26"/>
  <c r="E684" i="26"/>
  <c r="D684" i="26"/>
  <c r="E683" i="26"/>
  <c r="D683" i="26"/>
  <c r="E682" i="26"/>
  <c r="D682" i="26"/>
  <c r="E681" i="26"/>
  <c r="D681" i="26"/>
  <c r="E680" i="26"/>
  <c r="D680" i="26"/>
  <c r="E679" i="26"/>
  <c r="D679" i="26"/>
  <c r="E678" i="26"/>
  <c r="D678" i="26"/>
  <c r="E677" i="26"/>
  <c r="D677" i="26"/>
  <c r="E676" i="26"/>
  <c r="D676" i="26"/>
  <c r="E675" i="26"/>
  <c r="D675" i="26"/>
  <c r="E674" i="26"/>
  <c r="D674" i="26"/>
  <c r="E673" i="26"/>
  <c r="D673" i="26"/>
  <c r="E672" i="26"/>
  <c r="D672" i="26"/>
  <c r="E671" i="26"/>
  <c r="D671" i="26"/>
  <c r="E670" i="26"/>
  <c r="D670" i="26"/>
  <c r="E669" i="26"/>
  <c r="D669" i="26"/>
  <c r="E668" i="26"/>
  <c r="D668" i="26"/>
  <c r="E667" i="26"/>
  <c r="D667" i="26"/>
  <c r="E666" i="26"/>
  <c r="D666" i="26"/>
  <c r="E665" i="26"/>
  <c r="D665" i="26"/>
  <c r="E664" i="26"/>
  <c r="D664" i="26"/>
  <c r="E663" i="26"/>
  <c r="D663" i="26"/>
  <c r="E662" i="26"/>
  <c r="D662" i="26"/>
  <c r="E661" i="26"/>
  <c r="D661" i="26"/>
  <c r="E660" i="26"/>
  <c r="D660" i="26"/>
  <c r="E659" i="26"/>
  <c r="D659" i="26"/>
  <c r="E658" i="26"/>
  <c r="D658" i="26"/>
  <c r="E657" i="26"/>
  <c r="D657" i="26"/>
  <c r="E656" i="26"/>
  <c r="D656" i="26"/>
  <c r="E655" i="26"/>
  <c r="D655" i="26"/>
  <c r="E654" i="26"/>
  <c r="D654" i="26"/>
  <c r="E653" i="26"/>
  <c r="D653" i="26"/>
  <c r="E652" i="26"/>
  <c r="D652" i="26"/>
  <c r="E651" i="26"/>
  <c r="D651" i="26"/>
  <c r="E650" i="26"/>
  <c r="D650" i="26"/>
  <c r="E649" i="26"/>
  <c r="D649" i="26"/>
  <c r="E648" i="26"/>
  <c r="D648" i="26"/>
  <c r="E647" i="26"/>
  <c r="D647" i="26"/>
  <c r="E646" i="26"/>
  <c r="D646" i="26"/>
  <c r="E645" i="26"/>
  <c r="D645" i="26"/>
  <c r="E644" i="26"/>
  <c r="D644" i="26"/>
  <c r="E643" i="26"/>
  <c r="D643" i="26"/>
  <c r="E642" i="26"/>
  <c r="D642" i="26"/>
  <c r="E641" i="26"/>
  <c r="D641" i="26"/>
  <c r="E640" i="26"/>
  <c r="D640" i="26"/>
  <c r="E639" i="26"/>
  <c r="D639" i="26"/>
  <c r="E638" i="26"/>
  <c r="D638" i="26"/>
  <c r="E637" i="26"/>
  <c r="D637" i="26"/>
  <c r="E636" i="26"/>
  <c r="D636" i="26"/>
  <c r="E635" i="26"/>
  <c r="D635" i="26"/>
  <c r="E634" i="26"/>
  <c r="D634" i="26"/>
  <c r="E633" i="26"/>
  <c r="D633" i="26"/>
  <c r="E632" i="26"/>
  <c r="D632" i="26"/>
  <c r="E631" i="26"/>
  <c r="D631" i="26"/>
  <c r="E630" i="26"/>
  <c r="D630" i="26"/>
  <c r="E629" i="26"/>
  <c r="D629" i="26"/>
  <c r="E628" i="26"/>
  <c r="D628" i="26"/>
  <c r="E627" i="26"/>
  <c r="D627" i="26"/>
  <c r="E626" i="26"/>
  <c r="D626" i="26"/>
  <c r="E625" i="26"/>
  <c r="D625" i="26"/>
  <c r="E624" i="26"/>
  <c r="D624" i="26"/>
  <c r="E623" i="26"/>
  <c r="D623" i="26"/>
  <c r="E622" i="26"/>
  <c r="D622" i="26"/>
  <c r="E621" i="26"/>
  <c r="D621" i="26"/>
  <c r="E620" i="26"/>
  <c r="D620" i="26"/>
  <c r="E619" i="26"/>
  <c r="D619" i="26"/>
  <c r="E618" i="26"/>
  <c r="D618" i="26"/>
  <c r="E617" i="26"/>
  <c r="D617" i="26"/>
  <c r="E616" i="26"/>
  <c r="D616" i="26"/>
  <c r="E615" i="26"/>
  <c r="D615" i="26"/>
  <c r="E614" i="26"/>
  <c r="D614" i="26"/>
  <c r="E613" i="26"/>
  <c r="D613" i="26"/>
  <c r="E612" i="26"/>
  <c r="D612" i="26"/>
  <c r="E611" i="26"/>
  <c r="D611" i="26"/>
  <c r="E610" i="26"/>
  <c r="D610" i="26"/>
  <c r="E609" i="26"/>
  <c r="D609" i="26"/>
  <c r="E608" i="26"/>
  <c r="D608" i="26"/>
  <c r="E607" i="26"/>
  <c r="D607" i="26"/>
  <c r="E606" i="26"/>
  <c r="D606" i="26"/>
  <c r="E605" i="26"/>
  <c r="D605" i="26"/>
  <c r="E604" i="26"/>
  <c r="D604" i="26"/>
  <c r="E603" i="26"/>
  <c r="D603" i="26"/>
  <c r="E602" i="26"/>
  <c r="D602" i="26"/>
  <c r="E601" i="26"/>
  <c r="D601" i="26"/>
  <c r="E600" i="26"/>
  <c r="D600" i="26"/>
  <c r="E599" i="26"/>
  <c r="D599" i="26"/>
  <c r="E598" i="26"/>
  <c r="D598" i="26"/>
  <c r="E597" i="26"/>
  <c r="D597" i="26"/>
  <c r="E596" i="26"/>
  <c r="D596" i="26"/>
  <c r="E595" i="26"/>
  <c r="D595" i="26"/>
  <c r="E594" i="26"/>
  <c r="D594" i="26"/>
  <c r="E593" i="26"/>
  <c r="D593" i="26"/>
  <c r="E592" i="26"/>
  <c r="D592" i="26"/>
  <c r="E591" i="26"/>
  <c r="D591" i="26"/>
  <c r="E590" i="26"/>
  <c r="D590" i="26"/>
  <c r="E589" i="26"/>
  <c r="D589" i="26"/>
  <c r="E588" i="26"/>
  <c r="D588" i="26"/>
  <c r="E587" i="26"/>
  <c r="D587" i="26"/>
  <c r="E586" i="26"/>
  <c r="D586" i="26"/>
  <c r="E585" i="26"/>
  <c r="D585" i="26"/>
  <c r="E584" i="26"/>
  <c r="D584" i="26"/>
  <c r="E583" i="26"/>
  <c r="D583" i="26"/>
  <c r="E582" i="26"/>
  <c r="D582" i="26"/>
  <c r="E581" i="26"/>
  <c r="D581" i="26"/>
  <c r="E580" i="26"/>
  <c r="D580" i="26"/>
  <c r="E579" i="26"/>
  <c r="D579" i="26"/>
  <c r="E578" i="26"/>
  <c r="D578" i="26"/>
  <c r="E577" i="26"/>
  <c r="D577" i="26"/>
  <c r="E576" i="26"/>
  <c r="D576" i="26"/>
  <c r="E575" i="26"/>
  <c r="D575" i="26"/>
  <c r="E574" i="26"/>
  <c r="D574" i="26"/>
  <c r="E573" i="26"/>
  <c r="D573" i="26"/>
  <c r="E572" i="26"/>
  <c r="D572" i="26"/>
  <c r="E571" i="26"/>
  <c r="D571" i="26"/>
  <c r="E570" i="26"/>
  <c r="D570" i="26"/>
  <c r="E569" i="26"/>
  <c r="D569" i="26"/>
  <c r="E568" i="26"/>
  <c r="D568" i="26"/>
  <c r="E567" i="26"/>
  <c r="D567" i="26"/>
  <c r="E566" i="26"/>
  <c r="D566" i="26"/>
  <c r="E565" i="26"/>
  <c r="D565" i="26"/>
  <c r="E564" i="26"/>
  <c r="D564" i="26"/>
  <c r="E563" i="26"/>
  <c r="D563" i="26"/>
  <c r="E562" i="26"/>
  <c r="D562" i="26"/>
  <c r="E561" i="26"/>
  <c r="D561" i="26"/>
  <c r="E560" i="26"/>
  <c r="D560" i="26"/>
  <c r="E559" i="26"/>
  <c r="D559" i="26"/>
  <c r="E558" i="26"/>
  <c r="D558" i="26"/>
  <c r="E557" i="26"/>
  <c r="D557" i="26"/>
  <c r="E556" i="26"/>
  <c r="D556" i="26"/>
  <c r="E555" i="26"/>
  <c r="D555" i="26"/>
  <c r="E554" i="26"/>
  <c r="D554" i="26"/>
  <c r="E553" i="26"/>
  <c r="D553" i="26"/>
  <c r="E552" i="26"/>
  <c r="D552" i="26"/>
  <c r="E551" i="26"/>
  <c r="D551" i="26"/>
  <c r="E550" i="26"/>
  <c r="D550" i="26"/>
  <c r="E549" i="26"/>
  <c r="D549" i="26"/>
  <c r="E548" i="26"/>
  <c r="D548" i="26"/>
  <c r="E547" i="26"/>
  <c r="D547" i="26"/>
  <c r="E546" i="26"/>
  <c r="D546" i="26"/>
  <c r="E545" i="26"/>
  <c r="D545" i="26"/>
  <c r="E544" i="26"/>
  <c r="D544" i="26"/>
  <c r="E543" i="26"/>
  <c r="D543" i="26"/>
  <c r="E542" i="26"/>
  <c r="D542" i="26"/>
  <c r="E541" i="26"/>
  <c r="D541" i="26"/>
  <c r="E540" i="26"/>
  <c r="D540" i="26"/>
  <c r="E539" i="26"/>
  <c r="D539" i="26"/>
  <c r="E538" i="26"/>
  <c r="D538" i="26"/>
  <c r="E537" i="26"/>
  <c r="D537" i="26"/>
  <c r="E536" i="26"/>
  <c r="D536" i="26"/>
  <c r="E535" i="26"/>
  <c r="D535" i="26"/>
  <c r="E534" i="26"/>
  <c r="D534" i="26"/>
  <c r="E533" i="26"/>
  <c r="D533" i="26"/>
  <c r="E532" i="26"/>
  <c r="D532" i="26"/>
  <c r="E531" i="26"/>
  <c r="D531" i="26"/>
  <c r="E530" i="26"/>
  <c r="D530" i="26"/>
  <c r="E529" i="26"/>
  <c r="D529" i="26"/>
  <c r="E528" i="26"/>
  <c r="D528" i="26"/>
  <c r="E527" i="26"/>
  <c r="D527" i="26"/>
  <c r="E526" i="26"/>
  <c r="D526" i="26"/>
  <c r="E525" i="26"/>
  <c r="D525" i="26"/>
  <c r="E524" i="26"/>
  <c r="D524" i="26"/>
  <c r="E523" i="26"/>
  <c r="D523" i="26"/>
  <c r="E522" i="26"/>
  <c r="D522" i="26"/>
  <c r="E521" i="26"/>
  <c r="D521" i="26"/>
  <c r="E520" i="26"/>
  <c r="D520" i="26"/>
  <c r="E519" i="26"/>
  <c r="D519" i="26"/>
  <c r="E518" i="26"/>
  <c r="D518" i="26"/>
  <c r="E517" i="26"/>
  <c r="D517" i="26"/>
  <c r="E516" i="26"/>
  <c r="D516" i="26"/>
  <c r="E515" i="26"/>
  <c r="D515" i="26"/>
  <c r="E514" i="26"/>
  <c r="D514" i="26"/>
  <c r="E513" i="26"/>
  <c r="D513" i="26"/>
  <c r="E512" i="26"/>
  <c r="D512" i="26"/>
  <c r="E511" i="26"/>
  <c r="D511" i="26"/>
  <c r="E510" i="26"/>
  <c r="D510" i="26"/>
  <c r="E509" i="26"/>
  <c r="D509" i="26"/>
  <c r="E508" i="26"/>
  <c r="D508" i="26"/>
  <c r="E507" i="26"/>
  <c r="D507" i="26"/>
  <c r="E506" i="26"/>
  <c r="D506" i="26"/>
  <c r="E505" i="26"/>
  <c r="D505" i="26"/>
  <c r="E504" i="26"/>
  <c r="D504" i="26"/>
  <c r="E503" i="26"/>
  <c r="D503" i="26"/>
  <c r="E502" i="26"/>
  <c r="D502" i="26"/>
  <c r="E501" i="26"/>
  <c r="D501" i="26"/>
  <c r="E500" i="26"/>
  <c r="D500" i="26"/>
  <c r="E499" i="26"/>
  <c r="D499" i="26"/>
  <c r="E498" i="26"/>
  <c r="D498" i="26"/>
  <c r="E497" i="26"/>
  <c r="D497" i="26"/>
  <c r="E496" i="26"/>
  <c r="D496" i="26"/>
  <c r="E495" i="26"/>
  <c r="D495" i="26"/>
  <c r="E494" i="26"/>
  <c r="D494" i="26"/>
  <c r="E493" i="26"/>
  <c r="D493" i="26"/>
  <c r="E492" i="26"/>
  <c r="D492" i="26"/>
  <c r="E491" i="26"/>
  <c r="D491" i="26"/>
  <c r="E488" i="26"/>
  <c r="D488" i="26"/>
  <c r="E487" i="26"/>
  <c r="D487" i="26"/>
  <c r="E486" i="26"/>
  <c r="D486" i="26"/>
  <c r="E485" i="26"/>
  <c r="D485" i="26"/>
  <c r="E484" i="26"/>
  <c r="D484" i="26"/>
  <c r="E483" i="26"/>
  <c r="D483" i="26"/>
  <c r="E482" i="26"/>
  <c r="D482" i="26"/>
  <c r="E481" i="26"/>
  <c r="D481" i="26"/>
  <c r="E480" i="26"/>
  <c r="D480" i="26"/>
  <c r="E479" i="26"/>
  <c r="D479" i="26"/>
  <c r="E478" i="26"/>
  <c r="D478" i="26"/>
  <c r="E477" i="26"/>
  <c r="D477" i="26"/>
  <c r="E476" i="26"/>
  <c r="D476" i="26"/>
  <c r="E475" i="26"/>
  <c r="D475" i="26"/>
  <c r="E474" i="26"/>
  <c r="D474" i="26"/>
  <c r="E473" i="26"/>
  <c r="D473" i="26"/>
  <c r="E472" i="26"/>
  <c r="D472" i="26"/>
  <c r="E471" i="26"/>
  <c r="D471" i="26"/>
  <c r="E470" i="26"/>
  <c r="D470" i="26"/>
  <c r="E469" i="26"/>
  <c r="D469" i="26"/>
  <c r="E468" i="26"/>
  <c r="D468" i="26"/>
  <c r="E467" i="26"/>
  <c r="D467" i="26"/>
  <c r="E466" i="26"/>
  <c r="D466" i="26"/>
  <c r="E465" i="26"/>
  <c r="D465" i="26"/>
  <c r="E464" i="26"/>
  <c r="D464" i="26"/>
  <c r="E463" i="26"/>
  <c r="D463" i="26"/>
  <c r="E462" i="26"/>
  <c r="D462" i="26"/>
  <c r="E461" i="26"/>
  <c r="D461" i="26"/>
  <c r="E460" i="26"/>
  <c r="D460" i="26"/>
  <c r="E459" i="26"/>
  <c r="D459" i="26"/>
  <c r="E458" i="26"/>
  <c r="D458" i="26"/>
  <c r="E457" i="26"/>
  <c r="D457" i="26"/>
  <c r="E456" i="26"/>
  <c r="D456" i="26"/>
  <c r="E455" i="26"/>
  <c r="D455" i="26"/>
  <c r="E454" i="26"/>
  <c r="D454" i="26"/>
  <c r="E453" i="26"/>
  <c r="D453" i="26"/>
  <c r="E452" i="26"/>
  <c r="D452" i="26"/>
  <c r="E451" i="26"/>
  <c r="D451" i="26"/>
  <c r="E450" i="26"/>
  <c r="D450" i="26"/>
  <c r="E449" i="26"/>
  <c r="D449" i="26"/>
  <c r="E448" i="26"/>
  <c r="D448" i="26"/>
  <c r="E447" i="26"/>
  <c r="D447" i="26"/>
  <c r="E446" i="26"/>
  <c r="D446" i="26"/>
  <c r="E445" i="26"/>
  <c r="D445" i="26"/>
  <c r="E444" i="26"/>
  <c r="D444" i="26"/>
  <c r="E443" i="26"/>
  <c r="D443" i="26"/>
  <c r="E442" i="26"/>
  <c r="D442" i="26"/>
  <c r="E441" i="26"/>
  <c r="D441" i="26"/>
  <c r="E440" i="26"/>
  <c r="D440" i="26"/>
  <c r="E439" i="26"/>
  <c r="D439" i="26"/>
  <c r="E438" i="26"/>
  <c r="D438" i="26"/>
  <c r="E437" i="26"/>
  <c r="D437" i="26"/>
  <c r="E436" i="26"/>
  <c r="D436" i="26"/>
  <c r="E435" i="26"/>
  <c r="D435" i="26"/>
  <c r="E434" i="26"/>
  <c r="D434" i="26"/>
  <c r="E433" i="26"/>
  <c r="D433" i="26"/>
  <c r="E432" i="26"/>
  <c r="D432" i="26"/>
  <c r="E431" i="26"/>
  <c r="D431" i="26"/>
  <c r="E430" i="26"/>
  <c r="D430" i="26"/>
  <c r="E429" i="26"/>
  <c r="D429" i="26"/>
  <c r="E428" i="26"/>
  <c r="D428" i="26"/>
  <c r="E427" i="26"/>
  <c r="D427" i="26"/>
  <c r="E426" i="26"/>
  <c r="D426" i="26"/>
  <c r="E425" i="26"/>
  <c r="D425" i="26"/>
  <c r="E424" i="26"/>
  <c r="D424" i="26"/>
  <c r="E423" i="26"/>
  <c r="D423" i="26"/>
  <c r="E422" i="26"/>
  <c r="D422" i="26"/>
  <c r="E421" i="26"/>
  <c r="D421" i="26"/>
  <c r="E420" i="26"/>
  <c r="D420" i="26"/>
  <c r="E419" i="26"/>
  <c r="D419" i="26"/>
  <c r="E418" i="26"/>
  <c r="D418" i="26"/>
  <c r="E417" i="26"/>
  <c r="D417" i="26"/>
  <c r="E416" i="26"/>
  <c r="D416" i="26"/>
  <c r="E415" i="26"/>
  <c r="D415" i="26"/>
  <c r="E414" i="26"/>
  <c r="D414" i="26"/>
  <c r="E413" i="26"/>
  <c r="D413" i="26"/>
  <c r="E412" i="26"/>
  <c r="D412" i="26"/>
  <c r="E411" i="26"/>
  <c r="D411" i="26"/>
  <c r="E410" i="26"/>
  <c r="D410" i="26"/>
  <c r="E409" i="26"/>
  <c r="D409" i="26"/>
  <c r="E408" i="26"/>
  <c r="D408" i="26"/>
  <c r="E407" i="26"/>
  <c r="D407" i="26"/>
  <c r="E406" i="26"/>
  <c r="D406" i="26"/>
  <c r="E405" i="26"/>
  <c r="D405" i="26"/>
  <c r="E404" i="26"/>
  <c r="D404" i="26"/>
  <c r="E403" i="26"/>
  <c r="D403" i="26"/>
  <c r="E402" i="26"/>
  <c r="D402" i="26"/>
  <c r="E401" i="26"/>
  <c r="D401" i="26"/>
  <c r="E400" i="26"/>
  <c r="D400" i="26"/>
  <c r="E399" i="26"/>
  <c r="D399" i="26"/>
  <c r="E398" i="26"/>
  <c r="D398" i="26"/>
  <c r="E397" i="26"/>
  <c r="D397" i="26"/>
  <c r="E396" i="26"/>
  <c r="D396" i="26"/>
  <c r="E395" i="26"/>
  <c r="D395" i="26"/>
  <c r="E394" i="26"/>
  <c r="D394" i="26"/>
  <c r="E393" i="26"/>
  <c r="D393" i="26"/>
  <c r="E392" i="26"/>
  <c r="D392" i="26"/>
  <c r="E391" i="26"/>
  <c r="D391" i="26"/>
  <c r="E390" i="26"/>
  <c r="D390" i="26"/>
  <c r="E389" i="26"/>
  <c r="D389" i="26"/>
  <c r="E388" i="26"/>
  <c r="D388" i="26"/>
  <c r="E387" i="26"/>
  <c r="D387" i="26"/>
  <c r="E386" i="26"/>
  <c r="D386" i="26"/>
  <c r="E385" i="26"/>
  <c r="D385" i="26"/>
  <c r="E384" i="26"/>
  <c r="D384" i="26"/>
  <c r="E383" i="26"/>
  <c r="D383" i="26"/>
  <c r="E382" i="26"/>
  <c r="D382" i="26"/>
  <c r="E381" i="26"/>
  <c r="D381" i="26"/>
  <c r="E380" i="26"/>
  <c r="D380" i="26"/>
  <c r="E379" i="26"/>
  <c r="D379" i="26"/>
  <c r="E378" i="26"/>
  <c r="D378" i="26"/>
  <c r="E377" i="26"/>
  <c r="D377" i="26"/>
  <c r="E376" i="26"/>
  <c r="D376" i="26"/>
  <c r="E375" i="26"/>
  <c r="D375" i="26"/>
  <c r="E374" i="26"/>
  <c r="D374" i="26"/>
  <c r="E373" i="26"/>
  <c r="D373" i="26"/>
  <c r="E372" i="26"/>
  <c r="D372" i="26"/>
  <c r="E371" i="26"/>
  <c r="D371" i="26"/>
  <c r="E370" i="26"/>
  <c r="D370" i="26"/>
  <c r="E369" i="26"/>
  <c r="D369" i="26"/>
  <c r="E368" i="26"/>
  <c r="D368" i="26"/>
  <c r="E367" i="26"/>
  <c r="D367" i="26"/>
  <c r="E366" i="26"/>
  <c r="D366" i="26"/>
  <c r="E365" i="26"/>
  <c r="D365" i="26"/>
  <c r="E364" i="26"/>
  <c r="D364" i="26"/>
  <c r="E363" i="26"/>
  <c r="D363" i="26"/>
  <c r="E362" i="26"/>
  <c r="D362" i="26"/>
  <c r="E361" i="26"/>
  <c r="D361" i="26"/>
  <c r="E360" i="26"/>
  <c r="D360" i="26"/>
  <c r="E359" i="26"/>
  <c r="D359" i="26"/>
  <c r="E358" i="26"/>
  <c r="D358" i="26"/>
  <c r="E357" i="26"/>
  <c r="D357" i="26"/>
  <c r="E356" i="26"/>
  <c r="D356" i="26"/>
  <c r="E355" i="26"/>
  <c r="D355" i="26"/>
  <c r="E354" i="26"/>
  <c r="D354" i="26"/>
  <c r="E353" i="26"/>
  <c r="D353" i="26"/>
  <c r="E352" i="26"/>
  <c r="D352" i="26"/>
  <c r="E351" i="26"/>
  <c r="D351" i="26"/>
  <c r="E350" i="26"/>
  <c r="D350" i="26"/>
  <c r="E349" i="26"/>
  <c r="D349" i="26"/>
  <c r="E348" i="26"/>
  <c r="D348" i="26"/>
  <c r="E347" i="26"/>
  <c r="D347" i="26"/>
  <c r="E346" i="26"/>
  <c r="D346" i="26"/>
  <c r="E345" i="26"/>
  <c r="D345" i="26"/>
  <c r="E344" i="26"/>
  <c r="D344" i="26"/>
  <c r="E343" i="26"/>
  <c r="D343" i="26"/>
  <c r="E342" i="26"/>
  <c r="D342" i="26"/>
  <c r="E341" i="26"/>
  <c r="D341" i="26"/>
  <c r="E340" i="26"/>
  <c r="D340" i="26"/>
  <c r="E339" i="26"/>
  <c r="D339" i="26"/>
  <c r="E338" i="26"/>
  <c r="D338" i="26"/>
  <c r="E337" i="26"/>
  <c r="D337" i="26"/>
  <c r="E336" i="26"/>
  <c r="D336" i="26"/>
  <c r="E335" i="26"/>
  <c r="D335" i="26"/>
  <c r="E334" i="26"/>
  <c r="D334" i="26"/>
  <c r="E333" i="26"/>
  <c r="D333" i="26"/>
  <c r="E332" i="26"/>
  <c r="D332" i="26"/>
  <c r="E331" i="26"/>
  <c r="D331" i="26"/>
  <c r="E330" i="26"/>
  <c r="D330" i="26"/>
  <c r="E329" i="26"/>
  <c r="D329" i="26"/>
  <c r="E328" i="26"/>
  <c r="D328" i="26"/>
  <c r="E327" i="26"/>
  <c r="D327" i="26"/>
  <c r="E326" i="26"/>
  <c r="D326" i="26"/>
  <c r="E325" i="26"/>
  <c r="D325" i="26"/>
  <c r="E324" i="26"/>
  <c r="D324" i="26"/>
  <c r="E323" i="26"/>
  <c r="D323" i="26"/>
  <c r="E322" i="26"/>
  <c r="D322" i="26"/>
  <c r="E321" i="26"/>
  <c r="D321" i="26"/>
  <c r="E320" i="26"/>
  <c r="D320" i="26"/>
  <c r="E319" i="26"/>
  <c r="D319" i="26"/>
  <c r="E318" i="26"/>
  <c r="D318" i="26"/>
  <c r="E317" i="26"/>
  <c r="D317" i="26"/>
  <c r="E316" i="26"/>
  <c r="D316" i="26"/>
  <c r="E315" i="26"/>
  <c r="D315" i="26"/>
  <c r="E314" i="26"/>
  <c r="D314" i="26"/>
  <c r="E313" i="26"/>
  <c r="D313" i="26"/>
  <c r="E312" i="26"/>
  <c r="D312" i="26"/>
  <c r="E311" i="26"/>
  <c r="D311" i="26"/>
  <c r="E310" i="26"/>
  <c r="D310" i="26"/>
  <c r="E309" i="26"/>
  <c r="D309" i="26"/>
  <c r="E308" i="26"/>
  <c r="D308" i="26"/>
  <c r="E307" i="26"/>
  <c r="D307" i="26"/>
  <c r="E306" i="26"/>
  <c r="D306" i="26"/>
  <c r="E305" i="26"/>
  <c r="D305" i="26"/>
  <c r="E304" i="26"/>
  <c r="D304" i="26"/>
  <c r="E303" i="26"/>
  <c r="D303" i="26"/>
  <c r="E302" i="26"/>
  <c r="D302" i="26"/>
  <c r="E301" i="26"/>
  <c r="D301" i="26"/>
  <c r="E300" i="26"/>
  <c r="D300" i="26"/>
  <c r="E299" i="26"/>
  <c r="D299" i="26"/>
  <c r="E298" i="26"/>
  <c r="D298" i="26"/>
  <c r="E297" i="26"/>
  <c r="D297" i="26"/>
  <c r="E296" i="26"/>
  <c r="D296" i="26"/>
  <c r="E295" i="26"/>
  <c r="D295" i="26"/>
  <c r="E294" i="26"/>
  <c r="D294" i="26"/>
  <c r="E293" i="26"/>
  <c r="D293" i="26"/>
  <c r="E292" i="26"/>
  <c r="D292" i="26"/>
  <c r="E291" i="26"/>
  <c r="D291" i="26"/>
  <c r="E290" i="26"/>
  <c r="D290" i="26"/>
  <c r="E289" i="26"/>
  <c r="D289" i="26"/>
  <c r="E288" i="26"/>
  <c r="D288" i="26"/>
  <c r="E287" i="26"/>
  <c r="D287" i="26"/>
  <c r="E286" i="26"/>
  <c r="D286" i="26"/>
  <c r="E285" i="26"/>
  <c r="D285" i="26"/>
  <c r="E284" i="26"/>
  <c r="D284" i="26"/>
  <c r="E283" i="26"/>
  <c r="D283" i="26"/>
  <c r="E282" i="26"/>
  <c r="D282" i="26"/>
  <c r="E281" i="26"/>
  <c r="D281" i="26"/>
  <c r="E280" i="26"/>
  <c r="D280" i="26"/>
  <c r="E279" i="26"/>
  <c r="D279" i="26"/>
  <c r="E278" i="26"/>
  <c r="D278" i="26"/>
  <c r="E277" i="26"/>
  <c r="D277" i="26"/>
  <c r="E276" i="26"/>
  <c r="D276" i="26"/>
  <c r="E275" i="26"/>
  <c r="D275" i="26"/>
  <c r="E274" i="26"/>
  <c r="D274" i="26"/>
  <c r="E273" i="26"/>
  <c r="D273" i="26"/>
  <c r="E272" i="26"/>
  <c r="D272" i="26"/>
  <c r="E271" i="26"/>
  <c r="D271" i="26"/>
  <c r="E270" i="26"/>
  <c r="D270" i="26"/>
  <c r="E269" i="26"/>
  <c r="D269" i="26"/>
  <c r="E268" i="26"/>
  <c r="D268" i="26"/>
  <c r="E267" i="26"/>
  <c r="D267" i="26"/>
  <c r="E266" i="26"/>
  <c r="D266" i="26"/>
  <c r="E265" i="26"/>
  <c r="D265" i="26"/>
  <c r="E264" i="26"/>
  <c r="D264" i="26"/>
  <c r="E263" i="26"/>
  <c r="D263" i="26"/>
  <c r="E262" i="26"/>
  <c r="D262" i="26"/>
  <c r="E261" i="26"/>
  <c r="D261" i="26"/>
  <c r="E260" i="26"/>
  <c r="D260" i="26"/>
  <c r="E259" i="26"/>
  <c r="D259" i="26"/>
  <c r="E258" i="26"/>
  <c r="D258" i="26"/>
  <c r="E257" i="26"/>
  <c r="D257" i="26"/>
  <c r="E256" i="26"/>
  <c r="D256" i="26"/>
  <c r="E255" i="26"/>
  <c r="D255" i="26"/>
  <c r="E254" i="26"/>
  <c r="D254" i="26"/>
  <c r="E253" i="26"/>
  <c r="D253" i="26"/>
  <c r="E252" i="26"/>
  <c r="D252" i="26"/>
  <c r="E251" i="26"/>
  <c r="D251" i="26"/>
  <c r="E250" i="26"/>
  <c r="D250" i="26"/>
  <c r="E249" i="26"/>
  <c r="D249" i="26"/>
  <c r="E248" i="26"/>
  <c r="D248" i="26"/>
  <c r="E247" i="26"/>
  <c r="D247" i="26"/>
  <c r="E246" i="26"/>
  <c r="D246" i="26"/>
  <c r="E245" i="26"/>
  <c r="D245" i="26"/>
  <c r="E244" i="26"/>
  <c r="D244" i="26"/>
  <c r="E243" i="26"/>
  <c r="D243" i="26"/>
  <c r="E242" i="26"/>
  <c r="D242" i="26"/>
  <c r="E241" i="26"/>
  <c r="D241" i="26"/>
  <c r="E240" i="26"/>
  <c r="D240" i="26"/>
  <c r="E239" i="26"/>
  <c r="D239" i="26"/>
  <c r="E238" i="26"/>
  <c r="D238" i="26"/>
  <c r="E237" i="26"/>
  <c r="D237" i="26"/>
  <c r="E236" i="26"/>
  <c r="D236" i="26"/>
  <c r="E235" i="26"/>
  <c r="D235" i="26"/>
  <c r="E234" i="26"/>
  <c r="D234" i="26"/>
  <c r="E233" i="26"/>
  <c r="D233" i="26"/>
  <c r="E232" i="26"/>
  <c r="D232" i="26"/>
  <c r="E231" i="26"/>
  <c r="D231" i="26"/>
  <c r="E230" i="26"/>
  <c r="D230" i="26"/>
  <c r="E229" i="26"/>
  <c r="D229" i="26"/>
  <c r="E228" i="26"/>
  <c r="D228" i="26"/>
  <c r="E227" i="26"/>
  <c r="D227" i="26"/>
  <c r="E226" i="26"/>
  <c r="D226" i="26"/>
  <c r="E225" i="26"/>
  <c r="D225" i="26"/>
  <c r="E224" i="26"/>
  <c r="D224" i="26"/>
  <c r="E223" i="26"/>
  <c r="D223" i="26"/>
  <c r="E222" i="26"/>
  <c r="D222" i="26"/>
  <c r="E221" i="26"/>
  <c r="D221" i="26"/>
  <c r="E220" i="26"/>
  <c r="D220" i="26"/>
  <c r="E219" i="26"/>
  <c r="D219" i="26"/>
  <c r="E218" i="26"/>
  <c r="D218" i="26"/>
  <c r="E217" i="26"/>
  <c r="D217" i="26"/>
  <c r="E216" i="26"/>
  <c r="D216" i="26"/>
  <c r="E215" i="26"/>
  <c r="D215" i="26"/>
  <c r="E214" i="26"/>
  <c r="D214" i="26"/>
  <c r="E213" i="26"/>
  <c r="D213" i="26"/>
  <c r="E212" i="26"/>
  <c r="D212" i="26"/>
  <c r="E211" i="26"/>
  <c r="D211" i="26"/>
  <c r="E210" i="26"/>
  <c r="D210" i="26"/>
  <c r="E209" i="26"/>
  <c r="D209" i="26"/>
  <c r="E208" i="26"/>
  <c r="D208" i="26"/>
  <c r="E207" i="26"/>
  <c r="D207" i="26"/>
  <c r="E206" i="26"/>
  <c r="D206" i="26"/>
  <c r="E205" i="26"/>
  <c r="D205" i="26"/>
  <c r="E204" i="26"/>
  <c r="D204" i="26"/>
  <c r="E203" i="26"/>
  <c r="D203" i="26"/>
  <c r="E202" i="26"/>
  <c r="D202" i="26"/>
  <c r="E201" i="26"/>
  <c r="D201" i="26"/>
  <c r="E200" i="26"/>
  <c r="D200" i="26"/>
  <c r="E199" i="26"/>
  <c r="D199" i="26"/>
  <c r="E198" i="26"/>
  <c r="D198" i="26"/>
  <c r="E197" i="26"/>
  <c r="D197" i="26"/>
  <c r="E196" i="26"/>
  <c r="D196" i="26"/>
  <c r="E195" i="26"/>
  <c r="D195" i="26"/>
  <c r="E194" i="26"/>
  <c r="D194" i="26"/>
  <c r="E193" i="26"/>
  <c r="D193" i="26"/>
  <c r="E192" i="26"/>
  <c r="D192" i="26"/>
  <c r="E191" i="26"/>
  <c r="D191" i="26"/>
  <c r="E190" i="26"/>
  <c r="D190" i="26"/>
  <c r="E189" i="26"/>
  <c r="D189" i="26"/>
  <c r="E188" i="26"/>
  <c r="D188" i="26"/>
  <c r="E187" i="26"/>
  <c r="D187" i="26"/>
  <c r="E186" i="26"/>
  <c r="D186" i="26"/>
  <c r="E185" i="26"/>
  <c r="D185" i="26"/>
  <c r="E184" i="26"/>
  <c r="D184" i="26"/>
  <c r="E183" i="26"/>
  <c r="D183" i="26"/>
  <c r="E182" i="26"/>
  <c r="D182" i="26"/>
  <c r="E181" i="26"/>
  <c r="D181" i="26"/>
  <c r="E180" i="26"/>
  <c r="D180" i="26"/>
  <c r="E179" i="26"/>
  <c r="D179" i="26"/>
  <c r="E178" i="26"/>
  <c r="D178" i="26"/>
  <c r="E177" i="26"/>
  <c r="D177" i="26"/>
  <c r="E176" i="26"/>
  <c r="D176" i="26"/>
  <c r="E175" i="26"/>
  <c r="D175" i="26"/>
  <c r="E174" i="26"/>
  <c r="D174" i="26"/>
  <c r="E173" i="26"/>
  <c r="D173" i="26"/>
  <c r="E172" i="26"/>
  <c r="D172" i="26"/>
  <c r="E171" i="26"/>
  <c r="D171" i="26"/>
  <c r="E170" i="26"/>
  <c r="D170" i="26"/>
  <c r="E169" i="26"/>
  <c r="D169" i="26"/>
  <c r="E168" i="26"/>
  <c r="D168" i="26"/>
  <c r="E167" i="26"/>
  <c r="D167" i="26"/>
  <c r="E166" i="26"/>
  <c r="D166" i="26"/>
  <c r="E165" i="26"/>
  <c r="D165" i="26"/>
  <c r="E164" i="26"/>
  <c r="D164" i="26"/>
  <c r="E163" i="26"/>
  <c r="D163" i="26"/>
  <c r="E162" i="26"/>
  <c r="D162" i="26"/>
  <c r="E161" i="26"/>
  <c r="D161" i="26"/>
  <c r="E160" i="26"/>
  <c r="D160" i="26"/>
  <c r="E159" i="26"/>
  <c r="D159" i="26"/>
  <c r="E158" i="26"/>
  <c r="D158" i="26"/>
  <c r="E157" i="26"/>
  <c r="D157" i="26"/>
  <c r="E156" i="26"/>
  <c r="D156" i="26"/>
  <c r="E155" i="26"/>
  <c r="D155" i="26"/>
  <c r="E154" i="26"/>
  <c r="D154" i="26"/>
  <c r="E153" i="26"/>
  <c r="D153" i="26"/>
  <c r="E152" i="26"/>
  <c r="D152" i="26"/>
  <c r="E151" i="26"/>
  <c r="D151" i="26"/>
  <c r="E150" i="26"/>
  <c r="D150" i="26"/>
  <c r="E149" i="26"/>
  <c r="D149" i="26"/>
  <c r="E148" i="26"/>
  <c r="D148" i="26"/>
  <c r="E147" i="26"/>
  <c r="D147" i="26"/>
  <c r="E146" i="26"/>
  <c r="D146" i="26"/>
  <c r="E145" i="26"/>
  <c r="D145" i="26"/>
  <c r="E144" i="26"/>
  <c r="D144" i="26"/>
  <c r="E143" i="26"/>
  <c r="D143" i="26"/>
  <c r="E142" i="26"/>
  <c r="D142" i="26"/>
  <c r="E141" i="26"/>
  <c r="D141" i="26"/>
  <c r="E140" i="26"/>
  <c r="D140" i="26"/>
  <c r="E139" i="26"/>
  <c r="D139" i="26"/>
  <c r="E138" i="26"/>
  <c r="D138" i="26"/>
  <c r="E137" i="26"/>
  <c r="D137" i="26"/>
  <c r="E136" i="26"/>
  <c r="D136" i="26"/>
  <c r="E135" i="26"/>
  <c r="D135" i="26"/>
  <c r="E134" i="26"/>
  <c r="D134" i="26"/>
  <c r="E133" i="26"/>
  <c r="D133" i="26"/>
  <c r="E132" i="26"/>
  <c r="D132" i="26"/>
  <c r="E131" i="26"/>
  <c r="D131" i="26"/>
  <c r="E130" i="26"/>
  <c r="D130" i="26"/>
  <c r="E129" i="26"/>
  <c r="D129" i="26"/>
  <c r="E128" i="26"/>
  <c r="D128" i="26"/>
  <c r="E127" i="26"/>
  <c r="D127" i="26"/>
  <c r="E126" i="26"/>
  <c r="D126" i="26"/>
  <c r="E125" i="26"/>
  <c r="D125" i="26"/>
  <c r="E124" i="26"/>
  <c r="D124" i="26"/>
  <c r="E123" i="26"/>
  <c r="D123" i="26"/>
  <c r="E122" i="26"/>
  <c r="D122" i="26"/>
  <c r="E121" i="26"/>
  <c r="D121" i="26"/>
  <c r="E120" i="26"/>
  <c r="D120" i="26"/>
  <c r="E119" i="26"/>
  <c r="D119" i="26"/>
  <c r="E118" i="26"/>
  <c r="D118" i="26"/>
  <c r="E117" i="26"/>
  <c r="D117" i="26"/>
  <c r="E116" i="26"/>
  <c r="D116" i="26"/>
  <c r="E115" i="26"/>
  <c r="D115" i="26"/>
  <c r="E114" i="26"/>
  <c r="D114" i="26"/>
  <c r="E113" i="26"/>
  <c r="D113" i="26"/>
  <c r="E112" i="26"/>
  <c r="D112" i="26"/>
  <c r="E111" i="26"/>
  <c r="D111" i="26"/>
  <c r="E110" i="26"/>
  <c r="D110" i="26"/>
  <c r="E109" i="26"/>
  <c r="D109" i="26"/>
  <c r="E108" i="26"/>
  <c r="D108" i="26"/>
  <c r="E107" i="26"/>
  <c r="D107" i="26"/>
  <c r="E106" i="26"/>
  <c r="D106" i="26"/>
  <c r="E105" i="26"/>
  <c r="D105" i="26"/>
  <c r="E104" i="26"/>
  <c r="D104" i="26"/>
  <c r="E103" i="26"/>
  <c r="D103" i="26"/>
  <c r="E102" i="26"/>
  <c r="D102" i="26"/>
  <c r="E101" i="26"/>
  <c r="D101" i="26"/>
  <c r="E100" i="26"/>
  <c r="D100" i="26"/>
  <c r="E99" i="26"/>
  <c r="D99" i="26"/>
  <c r="E98" i="26"/>
  <c r="D98" i="26"/>
  <c r="E97" i="26"/>
  <c r="D97" i="26"/>
  <c r="E96" i="26"/>
  <c r="D96" i="26"/>
  <c r="E95" i="26"/>
  <c r="D95" i="26"/>
  <c r="E94" i="26"/>
  <c r="D94" i="26"/>
  <c r="E93" i="26"/>
  <c r="D93" i="26"/>
  <c r="E92" i="26"/>
  <c r="D92" i="26"/>
  <c r="E91" i="26"/>
  <c r="D91" i="26"/>
  <c r="E90" i="26"/>
  <c r="D90" i="26"/>
  <c r="E89" i="26"/>
  <c r="D89" i="26"/>
  <c r="E88" i="26"/>
  <c r="D88" i="26"/>
  <c r="E87" i="26"/>
  <c r="D87" i="26"/>
  <c r="E86" i="26"/>
  <c r="D86" i="26"/>
  <c r="E85" i="26"/>
  <c r="D85" i="26"/>
  <c r="E84" i="26"/>
  <c r="D84" i="26"/>
  <c r="E83" i="26"/>
  <c r="D83" i="26"/>
  <c r="E82" i="26"/>
  <c r="D82" i="26"/>
  <c r="E81" i="26"/>
  <c r="D81" i="26"/>
  <c r="E80" i="26"/>
  <c r="D80" i="26"/>
  <c r="E79" i="26"/>
  <c r="D79" i="26"/>
  <c r="E78" i="26"/>
  <c r="D78" i="26"/>
  <c r="E77" i="26"/>
  <c r="D77" i="26"/>
  <c r="E76" i="26"/>
  <c r="D76" i="26"/>
  <c r="E75" i="26"/>
  <c r="D75" i="26"/>
  <c r="E74" i="26"/>
  <c r="D74" i="26"/>
  <c r="E73" i="26"/>
  <c r="D73" i="26"/>
  <c r="E72" i="26"/>
  <c r="D72" i="26"/>
  <c r="E71" i="26"/>
  <c r="D71" i="26"/>
  <c r="E70" i="26"/>
  <c r="D70" i="26"/>
  <c r="E69" i="26"/>
  <c r="D69" i="26"/>
  <c r="E68" i="26"/>
  <c r="D68" i="26"/>
  <c r="E67" i="26"/>
  <c r="D67" i="26"/>
  <c r="E66" i="26"/>
  <c r="D66" i="26"/>
  <c r="E65" i="26"/>
  <c r="D65" i="26"/>
  <c r="E64" i="26"/>
  <c r="D64" i="26"/>
  <c r="E63" i="26"/>
  <c r="D63" i="26"/>
  <c r="E62" i="26"/>
  <c r="D62" i="26"/>
  <c r="E61" i="26"/>
  <c r="D61" i="26"/>
  <c r="E60" i="26"/>
  <c r="D60" i="26"/>
  <c r="E59" i="26"/>
  <c r="D59" i="26"/>
  <c r="E58" i="26"/>
  <c r="D58" i="26"/>
  <c r="E57" i="26"/>
  <c r="D57" i="26"/>
  <c r="E56" i="26"/>
  <c r="D56" i="26"/>
  <c r="E55" i="26"/>
  <c r="D55" i="26"/>
  <c r="E54" i="26"/>
  <c r="D54" i="26"/>
  <c r="E53" i="26"/>
  <c r="D53" i="26"/>
  <c r="E52" i="26"/>
  <c r="D52" i="26"/>
  <c r="E51" i="26"/>
  <c r="D51" i="26"/>
  <c r="E50" i="26"/>
  <c r="D50" i="26"/>
  <c r="E49" i="26"/>
  <c r="D49" i="26"/>
  <c r="E48" i="26"/>
  <c r="D48" i="26"/>
  <c r="E47" i="26"/>
  <c r="D47" i="26"/>
  <c r="E46" i="26"/>
  <c r="D46" i="26"/>
  <c r="E45" i="26"/>
  <c r="D45" i="26"/>
  <c r="E44" i="26"/>
  <c r="D44" i="26"/>
  <c r="E43" i="26"/>
  <c r="D43" i="26"/>
  <c r="E42" i="26"/>
  <c r="D42" i="26"/>
  <c r="E41" i="26"/>
  <c r="D41" i="26"/>
  <c r="E40" i="26"/>
  <c r="D40" i="26"/>
  <c r="E39" i="26"/>
  <c r="D39" i="26"/>
  <c r="E38" i="26"/>
  <c r="D38" i="26"/>
  <c r="E37" i="26"/>
  <c r="D37" i="26"/>
  <c r="E36" i="26"/>
  <c r="D36" i="26"/>
  <c r="E35" i="26"/>
  <c r="D35" i="26"/>
  <c r="E34" i="26"/>
  <c r="D34" i="26"/>
  <c r="E33" i="26"/>
  <c r="D33" i="26"/>
  <c r="E32" i="26"/>
  <c r="D32" i="26"/>
  <c r="E31" i="26"/>
  <c r="D31" i="26"/>
  <c r="E30" i="26"/>
  <c r="D30" i="26"/>
  <c r="E29" i="26"/>
  <c r="D29" i="26"/>
  <c r="E28" i="26"/>
  <c r="D28" i="26"/>
  <c r="E27" i="26"/>
  <c r="D27" i="26"/>
  <c r="E26" i="26"/>
  <c r="D26" i="26"/>
  <c r="E25" i="26"/>
  <c r="D25" i="26"/>
  <c r="E24" i="26"/>
  <c r="D24" i="26"/>
  <c r="E23" i="26"/>
  <c r="D23" i="26"/>
  <c r="E22" i="26"/>
  <c r="D22" i="26"/>
  <c r="E21" i="26"/>
  <c r="D21" i="26"/>
  <c r="E20" i="26"/>
  <c r="D20" i="26"/>
  <c r="E19" i="26"/>
  <c r="D19" i="26"/>
  <c r="E18" i="26"/>
  <c r="D18" i="26"/>
  <c r="E17" i="26"/>
  <c r="D17" i="26"/>
  <c r="E16" i="26"/>
  <c r="D16" i="26"/>
  <c r="E15" i="26"/>
  <c r="D15" i="26"/>
  <c r="E14" i="26"/>
  <c r="D14" i="26"/>
  <c r="E13" i="26"/>
  <c r="D13" i="26"/>
  <c r="E12" i="26"/>
  <c r="D12" i="26"/>
  <c r="E11" i="26"/>
  <c r="D11" i="26"/>
  <c r="E10" i="26"/>
  <c r="D10" i="26"/>
  <c r="E9" i="26"/>
  <c r="D9" i="26"/>
  <c r="E8" i="26"/>
  <c r="D8" i="26"/>
  <c r="E7" i="26"/>
  <c r="D7" i="26"/>
  <c r="E6" i="26"/>
  <c r="D6" i="26"/>
  <c r="E5" i="26"/>
  <c r="D5" i="26"/>
  <c r="E4" i="26"/>
  <c r="D4" i="26"/>
  <c r="E3" i="26"/>
  <c r="D3" i="26"/>
  <c r="E2" i="26"/>
  <c r="D2" i="26"/>
  <c r="AR25" i="5" l="1"/>
  <c r="AR24" i="5"/>
  <c r="AR23" i="5"/>
  <c r="AR22" i="5"/>
  <c r="AR21" i="5"/>
  <c r="AR20" i="5"/>
  <c r="AR19" i="5"/>
  <c r="AR18" i="5"/>
  <c r="AR17" i="5"/>
  <c r="AR16" i="5"/>
  <c r="AR15" i="5"/>
  <c r="AR14" i="5"/>
  <c r="AR13" i="5"/>
  <c r="AR12" i="5"/>
  <c r="AR11" i="5"/>
  <c r="AF11" i="5" l="1"/>
  <c r="AN414" i="5" l="1"/>
  <c r="AN413" i="5"/>
  <c r="AN412" i="5"/>
  <c r="AN411" i="5"/>
  <c r="AN410" i="5"/>
  <c r="AN409" i="5"/>
  <c r="AN408" i="5"/>
  <c r="AN407" i="5"/>
  <c r="AN406" i="5"/>
  <c r="AN405" i="5"/>
  <c r="AN404" i="5"/>
  <c r="AN403" i="5"/>
  <c r="AN402" i="5"/>
  <c r="AN401" i="5"/>
  <c r="AN400" i="5"/>
  <c r="AN399" i="5"/>
  <c r="AN398" i="5"/>
  <c r="AN397" i="5"/>
  <c r="AN396" i="5"/>
  <c r="AN395" i="5"/>
  <c r="AN394" i="5"/>
  <c r="AN393" i="5"/>
  <c r="AN392" i="5"/>
  <c r="AN391" i="5"/>
  <c r="AN390" i="5"/>
  <c r="AN389" i="5"/>
  <c r="AN388" i="5"/>
  <c r="AN387" i="5"/>
  <c r="AN386" i="5"/>
  <c r="AN385" i="5"/>
  <c r="AN384" i="5"/>
  <c r="AN383" i="5"/>
  <c r="AN382" i="5"/>
  <c r="AN381" i="5"/>
  <c r="AN380" i="5"/>
  <c r="AN379" i="5"/>
  <c r="AN378" i="5"/>
  <c r="AN377" i="5"/>
  <c r="AN376" i="5"/>
  <c r="AN375" i="5"/>
  <c r="AN374" i="5"/>
  <c r="AN373" i="5"/>
  <c r="AN372" i="5"/>
  <c r="AN371" i="5"/>
  <c r="AN370" i="5"/>
  <c r="AN369" i="5"/>
  <c r="AN368" i="5"/>
  <c r="AN367" i="5"/>
  <c r="AN366" i="5"/>
  <c r="AN365" i="5"/>
  <c r="AN364" i="5"/>
  <c r="AN363" i="5"/>
  <c r="AN362" i="5"/>
  <c r="AN361" i="5"/>
  <c r="AN360" i="5"/>
  <c r="AN359" i="5"/>
  <c r="AN358" i="5"/>
  <c r="AN357" i="5"/>
  <c r="AN356" i="5"/>
  <c r="AN355" i="5"/>
  <c r="AN354" i="5"/>
  <c r="AN353" i="5"/>
  <c r="AN352" i="5"/>
  <c r="AN351" i="5"/>
  <c r="AN350" i="5"/>
  <c r="AN349" i="5"/>
  <c r="AN348" i="5"/>
  <c r="AN347" i="5"/>
  <c r="AN346" i="5"/>
  <c r="AN345" i="5"/>
  <c r="AN344" i="5"/>
  <c r="AN343" i="5"/>
  <c r="AN342" i="5"/>
  <c r="AN341" i="5"/>
  <c r="AN340" i="5"/>
  <c r="AN339" i="5"/>
  <c r="AN338" i="5"/>
  <c r="AN337" i="5"/>
  <c r="AN336" i="5"/>
  <c r="AN335" i="5"/>
  <c r="AN334" i="5"/>
  <c r="AN333" i="5"/>
  <c r="AN332" i="5"/>
  <c r="AN331" i="5"/>
  <c r="AN330" i="5"/>
  <c r="AN329" i="5"/>
  <c r="AN328" i="5"/>
  <c r="AN327" i="5"/>
  <c r="AN326" i="5"/>
  <c r="AN325" i="5"/>
  <c r="AN324" i="5"/>
  <c r="AN323" i="5"/>
  <c r="AN322" i="5"/>
  <c r="AN321" i="5"/>
  <c r="AN320" i="5"/>
  <c r="AN319" i="5"/>
  <c r="AN318" i="5"/>
  <c r="AN317" i="5"/>
  <c r="AN316" i="5"/>
  <c r="AN315" i="5"/>
  <c r="AN314" i="5"/>
  <c r="AN313" i="5"/>
  <c r="AN312" i="5"/>
  <c r="AN311" i="5"/>
  <c r="AN310" i="5"/>
  <c r="AN309" i="5"/>
  <c r="AN308" i="5"/>
  <c r="AN307" i="5"/>
  <c r="AN306" i="5"/>
  <c r="AN305" i="5"/>
  <c r="AN304" i="5"/>
  <c r="AN303" i="5"/>
  <c r="AN302" i="5"/>
  <c r="AN301" i="5"/>
  <c r="AN300" i="5"/>
  <c r="AN299" i="5"/>
  <c r="AN298" i="5"/>
  <c r="AN297" i="5"/>
  <c r="AN296" i="5"/>
  <c r="AN295" i="5"/>
  <c r="AN294" i="5"/>
  <c r="AN293" i="5"/>
  <c r="AN292" i="5"/>
  <c r="AN291" i="5"/>
  <c r="AN290" i="5"/>
  <c r="AN289" i="5"/>
  <c r="AN288" i="5"/>
  <c r="AN287" i="5"/>
  <c r="AN286" i="5"/>
  <c r="AN285" i="5"/>
  <c r="AN284" i="5"/>
  <c r="AN283" i="5"/>
  <c r="AN282" i="5"/>
  <c r="AN281" i="5"/>
  <c r="AN280" i="5"/>
  <c r="AN279" i="5"/>
  <c r="AN278" i="5"/>
  <c r="AN277" i="5"/>
  <c r="AN276" i="5"/>
  <c r="AN275" i="5"/>
  <c r="AN274" i="5"/>
  <c r="AN273" i="5"/>
  <c r="AN272" i="5"/>
  <c r="AN271" i="5"/>
  <c r="AN270" i="5"/>
  <c r="AN269" i="5"/>
  <c r="AN268" i="5"/>
  <c r="AN267" i="5"/>
  <c r="AN266" i="5"/>
  <c r="AN265" i="5"/>
  <c r="AN264" i="5"/>
  <c r="AN263" i="5"/>
  <c r="AN262" i="5"/>
  <c r="AN261" i="5"/>
  <c r="AN260" i="5"/>
  <c r="AN259" i="5"/>
  <c r="AN258" i="5"/>
  <c r="AN257" i="5"/>
  <c r="AN256" i="5"/>
  <c r="AN255" i="5"/>
  <c r="AN254" i="5"/>
  <c r="AN253" i="5"/>
  <c r="AN252" i="5"/>
  <c r="AN251" i="5"/>
  <c r="AN250" i="5"/>
  <c r="AN249" i="5"/>
  <c r="AN248" i="5"/>
  <c r="AN247" i="5"/>
  <c r="AN246" i="5"/>
  <c r="AN245" i="5"/>
  <c r="AN244" i="5"/>
  <c r="AN243" i="5"/>
  <c r="AN242" i="5"/>
  <c r="AN241" i="5"/>
  <c r="AN240" i="5"/>
  <c r="AN239" i="5"/>
  <c r="AN238" i="5"/>
  <c r="AN237" i="5"/>
  <c r="AN236" i="5"/>
  <c r="AN235" i="5"/>
  <c r="AN234" i="5"/>
  <c r="AN233" i="5"/>
  <c r="AN232" i="5"/>
  <c r="AN231" i="5"/>
  <c r="AN230" i="5"/>
  <c r="AN229" i="5"/>
  <c r="AN228" i="5"/>
  <c r="AN227" i="5"/>
  <c r="AN226" i="5"/>
  <c r="AN225" i="5"/>
  <c r="AN224" i="5"/>
  <c r="AN223" i="5"/>
  <c r="AN222" i="5"/>
  <c r="AN221" i="5"/>
  <c r="AN220" i="5"/>
  <c r="AN219" i="5"/>
  <c r="AN218" i="5"/>
  <c r="AN217" i="5"/>
  <c r="AN216" i="5"/>
  <c r="AN215" i="5"/>
  <c r="AN214" i="5"/>
  <c r="AN213" i="5"/>
  <c r="AN212" i="5"/>
  <c r="AN211" i="5"/>
  <c r="AN210" i="5"/>
  <c r="AN209" i="5"/>
  <c r="AN208" i="5"/>
  <c r="AN207" i="5"/>
  <c r="AN206" i="5"/>
  <c r="AN205" i="5"/>
  <c r="AN204" i="5"/>
  <c r="AN203" i="5"/>
  <c r="AN202" i="5"/>
  <c r="AN201" i="5"/>
  <c r="AN200" i="5"/>
  <c r="AN199" i="5"/>
  <c r="AN198" i="5"/>
  <c r="AN197" i="5"/>
  <c r="AN196" i="5"/>
  <c r="AN195" i="5"/>
  <c r="AN194" i="5"/>
  <c r="AN193" i="5"/>
  <c r="AN192" i="5"/>
  <c r="AN191" i="5"/>
  <c r="AN190" i="5"/>
  <c r="AN189" i="5"/>
  <c r="AN188" i="5"/>
  <c r="AN187" i="5"/>
  <c r="AN186" i="5"/>
  <c r="AN185" i="5"/>
  <c r="AN184" i="5"/>
  <c r="AN183" i="5"/>
  <c r="AN182" i="5"/>
  <c r="AN181" i="5"/>
  <c r="AN180" i="5"/>
  <c r="AN179" i="5"/>
  <c r="AN178" i="5"/>
  <c r="AN177" i="5"/>
  <c r="AN176" i="5"/>
  <c r="AN175" i="5"/>
  <c r="AN174" i="5"/>
  <c r="AN173" i="5"/>
  <c r="AN172" i="5"/>
  <c r="AN171" i="5"/>
  <c r="AN170" i="5"/>
  <c r="AN169" i="5"/>
  <c r="AN168" i="5"/>
  <c r="AN167" i="5"/>
  <c r="AN166" i="5"/>
  <c r="AN165" i="5"/>
  <c r="AN164" i="5"/>
  <c r="AN163" i="5"/>
  <c r="AN162" i="5"/>
  <c r="AN161" i="5"/>
  <c r="AN160" i="5"/>
  <c r="AN159" i="5"/>
  <c r="AN158" i="5"/>
  <c r="AN157" i="5"/>
  <c r="AN156" i="5"/>
  <c r="AN155" i="5"/>
  <c r="AN154" i="5"/>
  <c r="AN153" i="5"/>
  <c r="AN152" i="5"/>
  <c r="AN151" i="5"/>
  <c r="AN150" i="5"/>
  <c r="AN149" i="5"/>
  <c r="AN148" i="5"/>
  <c r="AN147" i="5"/>
  <c r="AN146" i="5"/>
  <c r="AN145" i="5"/>
  <c r="AN144" i="5"/>
  <c r="AN143" i="5"/>
  <c r="AN142" i="5"/>
  <c r="AN141" i="5"/>
  <c r="AN140" i="5"/>
  <c r="AN139" i="5"/>
  <c r="AN138" i="5"/>
  <c r="AN137" i="5"/>
  <c r="AN136" i="5"/>
  <c r="AN135" i="5"/>
  <c r="AN134" i="5"/>
  <c r="AN133" i="5"/>
  <c r="AN132" i="5"/>
  <c r="AN131" i="5"/>
  <c r="AN130" i="5"/>
  <c r="AN129" i="5"/>
  <c r="AN128" i="5"/>
  <c r="AN127" i="5"/>
  <c r="AN126" i="5"/>
  <c r="AN125" i="5"/>
  <c r="AN124" i="5"/>
  <c r="AN123" i="5"/>
  <c r="AN122" i="5"/>
  <c r="AN121" i="5"/>
  <c r="AN120" i="5"/>
  <c r="AN119" i="5"/>
  <c r="AN118" i="5"/>
  <c r="AN117" i="5"/>
  <c r="AN116" i="5"/>
  <c r="AN115" i="5"/>
  <c r="AN114" i="5"/>
  <c r="AN113" i="5"/>
  <c r="AN112" i="5"/>
  <c r="AN111" i="5"/>
  <c r="AN110" i="5"/>
  <c r="AN109" i="5"/>
  <c r="AN108" i="5"/>
  <c r="AN107" i="5"/>
  <c r="AN106" i="5"/>
  <c r="AN105" i="5"/>
  <c r="AN104" i="5"/>
  <c r="AN103" i="5"/>
  <c r="AN102" i="5"/>
  <c r="AN101" i="5"/>
  <c r="AN100" i="5"/>
  <c r="AN99" i="5"/>
  <c r="AN98" i="5"/>
  <c r="AN97" i="5"/>
  <c r="AN96" i="5"/>
  <c r="AN95" i="5"/>
  <c r="AN94" i="5"/>
  <c r="AN93" i="5"/>
  <c r="AN92" i="5"/>
  <c r="AN91" i="5"/>
  <c r="AN90" i="5"/>
  <c r="AN89" i="5"/>
  <c r="AN88" i="5"/>
  <c r="AN87" i="5"/>
  <c r="AN86" i="5"/>
  <c r="AN85" i="5"/>
  <c r="AN84" i="5"/>
  <c r="AN83" i="5"/>
  <c r="AN82" i="5"/>
  <c r="AN81" i="5"/>
  <c r="AN80" i="5"/>
  <c r="AN79" i="5"/>
  <c r="AN78" i="5"/>
  <c r="AN77" i="5"/>
  <c r="AN76" i="5"/>
  <c r="AN75" i="5"/>
  <c r="AN74" i="5"/>
  <c r="AN73" i="5"/>
  <c r="AN72" i="5"/>
  <c r="AN71" i="5"/>
  <c r="AN70" i="5"/>
  <c r="AN69" i="5"/>
  <c r="AN68" i="5"/>
  <c r="AN67" i="5"/>
  <c r="AN66" i="5"/>
  <c r="AN65" i="5"/>
  <c r="AN64" i="5"/>
  <c r="AN63" i="5"/>
  <c r="AN62" i="5"/>
  <c r="AN61" i="5"/>
  <c r="AN60" i="5"/>
  <c r="AN59" i="5"/>
  <c r="AN58" i="5"/>
  <c r="AN57" i="5"/>
  <c r="AN56" i="5"/>
  <c r="AN55" i="5"/>
  <c r="AN54" i="5"/>
  <c r="AN53" i="5"/>
  <c r="AN52" i="5"/>
  <c r="AN51" i="5"/>
  <c r="AN50" i="5"/>
  <c r="AN49" i="5"/>
  <c r="AN48" i="5"/>
  <c r="AN47" i="5"/>
  <c r="AN46" i="5"/>
  <c r="AN45" i="5"/>
  <c r="AN44" i="5"/>
  <c r="AN43" i="5"/>
  <c r="AN42" i="5"/>
  <c r="AN41" i="5"/>
  <c r="AN40" i="5"/>
  <c r="AN39" i="5"/>
  <c r="AN38" i="5"/>
  <c r="AN37" i="5"/>
  <c r="AN36" i="5"/>
  <c r="AN35" i="5"/>
  <c r="AN34" i="5"/>
  <c r="AN33" i="5"/>
  <c r="AN32" i="5"/>
  <c r="AN31" i="5"/>
  <c r="AN30" i="5"/>
  <c r="AN29" i="5"/>
  <c r="AN28" i="5"/>
  <c r="AN27" i="5"/>
  <c r="AN26" i="5"/>
  <c r="AN25" i="5"/>
  <c r="AN24" i="5"/>
  <c r="AN23" i="5"/>
  <c r="AN22" i="5"/>
  <c r="AN21" i="5"/>
  <c r="AN20" i="5"/>
  <c r="AN19" i="5"/>
  <c r="AN18" i="5"/>
  <c r="AN17" i="5"/>
  <c r="AN16" i="5"/>
  <c r="AN15" i="5"/>
  <c r="AN14" i="5"/>
  <c r="AN13" i="5"/>
  <c r="AN12" i="5"/>
  <c r="AN11" i="5" l="1"/>
  <c r="F385" i="15" l="1"/>
  <c r="F384" i="15"/>
  <c r="F383" i="15"/>
  <c r="F382" i="15"/>
  <c r="F381" i="15"/>
  <c r="F380" i="15"/>
  <c r="F379" i="15"/>
  <c r="F378" i="15"/>
  <c r="F377" i="15"/>
  <c r="F376" i="15"/>
  <c r="F375" i="15"/>
  <c r="F374" i="15"/>
  <c r="F373" i="15"/>
  <c r="F372" i="15"/>
  <c r="F371" i="15"/>
  <c r="F370" i="15"/>
  <c r="F369" i="15"/>
  <c r="F368" i="15"/>
  <c r="F367" i="15"/>
  <c r="F366" i="15"/>
  <c r="F365" i="15"/>
  <c r="F364" i="15"/>
  <c r="F363" i="15"/>
  <c r="F362" i="15"/>
  <c r="F361" i="15"/>
  <c r="F360" i="15"/>
  <c r="F359" i="15"/>
  <c r="F358" i="15"/>
  <c r="F357" i="15"/>
  <c r="F356" i="15"/>
  <c r="F355" i="15"/>
  <c r="F354" i="15"/>
  <c r="F353" i="15"/>
  <c r="F352" i="15"/>
  <c r="F351" i="15"/>
  <c r="F350" i="15"/>
  <c r="F349" i="15"/>
  <c r="F348" i="15"/>
  <c r="F347" i="15"/>
  <c r="F346" i="15"/>
  <c r="F345" i="15"/>
  <c r="F344" i="15"/>
  <c r="F343" i="15"/>
  <c r="F342" i="15"/>
  <c r="F341" i="15"/>
  <c r="F340" i="15"/>
  <c r="F339" i="15"/>
  <c r="F338" i="15"/>
  <c r="F337" i="15"/>
  <c r="F336" i="15"/>
  <c r="F335" i="15"/>
  <c r="F334" i="15"/>
  <c r="F333" i="15"/>
  <c r="F332" i="15"/>
  <c r="F331" i="15"/>
  <c r="F330" i="15"/>
  <c r="F329" i="15"/>
  <c r="F328" i="15"/>
  <c r="F327" i="15"/>
  <c r="F326" i="15"/>
  <c r="F325" i="15"/>
  <c r="F324" i="15"/>
  <c r="F323" i="15"/>
  <c r="F322" i="15"/>
  <c r="F321" i="15"/>
  <c r="F320" i="15"/>
  <c r="F319" i="15"/>
  <c r="F318" i="15"/>
  <c r="F317" i="15"/>
  <c r="F316" i="15"/>
  <c r="F315" i="15"/>
  <c r="F314" i="15"/>
  <c r="F313" i="15"/>
  <c r="F312" i="15"/>
  <c r="F311" i="15"/>
  <c r="F310" i="15"/>
  <c r="F309" i="15"/>
  <c r="F308" i="15"/>
  <c r="F307" i="15"/>
  <c r="F306" i="15"/>
  <c r="F305" i="15"/>
  <c r="F304" i="15"/>
  <c r="F303" i="15"/>
  <c r="F302" i="15"/>
  <c r="F301" i="15"/>
  <c r="F300" i="15"/>
  <c r="F299" i="15"/>
  <c r="F298" i="15"/>
  <c r="F297" i="15"/>
  <c r="F296" i="15"/>
  <c r="F295" i="15"/>
  <c r="F294" i="15"/>
  <c r="F293" i="15"/>
  <c r="F292" i="15"/>
  <c r="F291" i="15"/>
  <c r="F290" i="15"/>
  <c r="F289" i="15"/>
  <c r="F288" i="15"/>
  <c r="F287" i="15"/>
  <c r="F286" i="15"/>
  <c r="F285" i="15"/>
  <c r="F284" i="15"/>
  <c r="F283" i="15"/>
  <c r="F282" i="15"/>
  <c r="F281" i="15"/>
  <c r="F280" i="15"/>
  <c r="F279" i="15"/>
  <c r="F278" i="15"/>
  <c r="F277" i="15"/>
  <c r="F276" i="15"/>
  <c r="F275" i="15"/>
  <c r="F274" i="15"/>
  <c r="F273" i="15"/>
  <c r="F272" i="15"/>
  <c r="F271" i="15"/>
  <c r="F270" i="15"/>
  <c r="F269" i="15"/>
  <c r="F268" i="15"/>
  <c r="F267" i="15"/>
  <c r="F266" i="15"/>
  <c r="F265" i="15"/>
  <c r="F264" i="15"/>
  <c r="F263" i="15"/>
  <c r="F262" i="15"/>
  <c r="F261" i="15"/>
  <c r="F260" i="15"/>
  <c r="F259" i="15"/>
  <c r="F258" i="15"/>
  <c r="F257" i="15"/>
  <c r="F256" i="15"/>
  <c r="F255" i="15"/>
  <c r="F254" i="15"/>
  <c r="F253" i="15"/>
  <c r="F252" i="15"/>
  <c r="F251" i="15"/>
  <c r="F250" i="15"/>
  <c r="F249" i="15"/>
  <c r="F248" i="15"/>
  <c r="F247" i="15"/>
  <c r="F246" i="15"/>
  <c r="F245" i="15"/>
  <c r="F244" i="15"/>
  <c r="F243" i="15"/>
  <c r="F242" i="15"/>
  <c r="F241" i="15"/>
  <c r="F240" i="15"/>
  <c r="F239" i="15"/>
  <c r="F238" i="15"/>
  <c r="F237" i="15"/>
  <c r="F236" i="15"/>
  <c r="F235" i="15"/>
  <c r="F234" i="15"/>
  <c r="F233" i="15"/>
  <c r="F232" i="15"/>
  <c r="F231" i="15"/>
  <c r="F230" i="15"/>
  <c r="F229" i="15"/>
  <c r="F228" i="15"/>
  <c r="F227" i="15"/>
  <c r="F226" i="15"/>
  <c r="F225" i="15"/>
  <c r="F224" i="15"/>
  <c r="F223" i="15"/>
  <c r="F222" i="15"/>
  <c r="F221" i="15"/>
  <c r="F220" i="15"/>
  <c r="F219" i="15"/>
  <c r="F218" i="15"/>
  <c r="F217" i="15"/>
  <c r="F216" i="15"/>
  <c r="F215" i="15"/>
  <c r="F214" i="15"/>
  <c r="F213" i="15"/>
  <c r="F212" i="15"/>
  <c r="F211" i="15"/>
  <c r="F210" i="15"/>
  <c r="F209" i="15"/>
  <c r="F208" i="15"/>
  <c r="F207" i="15"/>
  <c r="F206" i="15"/>
  <c r="F205" i="15"/>
  <c r="F204" i="15"/>
  <c r="F203" i="15"/>
  <c r="F202" i="15"/>
  <c r="F201" i="15"/>
  <c r="F200" i="15"/>
  <c r="F199" i="15"/>
  <c r="F198" i="15"/>
  <c r="F197" i="15"/>
  <c r="F196" i="15"/>
  <c r="F195" i="15"/>
  <c r="F194" i="15"/>
  <c r="F193" i="15"/>
  <c r="F192" i="15"/>
  <c r="F191" i="15"/>
  <c r="F190" i="15"/>
  <c r="F189" i="15"/>
  <c r="F188" i="15"/>
  <c r="F187" i="15"/>
  <c r="F186" i="15"/>
  <c r="F185" i="15"/>
  <c r="F184" i="15"/>
  <c r="F183" i="15"/>
  <c r="F182" i="15"/>
  <c r="F181" i="15"/>
  <c r="F180" i="15"/>
  <c r="F179" i="15"/>
  <c r="F178" i="15"/>
  <c r="F177" i="15"/>
  <c r="F176" i="15"/>
  <c r="F175" i="15"/>
  <c r="F174" i="15"/>
  <c r="F173" i="15"/>
  <c r="F172" i="15"/>
  <c r="F171" i="15"/>
  <c r="F170" i="15"/>
  <c r="F169" i="15"/>
  <c r="F168" i="15"/>
  <c r="F167" i="15"/>
  <c r="F166" i="15"/>
  <c r="F165" i="15"/>
  <c r="F164" i="15"/>
  <c r="F163" i="15"/>
  <c r="F162" i="15"/>
  <c r="F161" i="15"/>
  <c r="F160" i="15"/>
  <c r="F159" i="15"/>
  <c r="F158" i="15"/>
  <c r="F157" i="15"/>
  <c r="F156" i="15"/>
  <c r="F155" i="15"/>
  <c r="F154" i="15"/>
  <c r="F153" i="15"/>
  <c r="F152" i="15"/>
  <c r="F151" i="15"/>
  <c r="F150" i="15"/>
  <c r="F149" i="15"/>
  <c r="F148" i="15"/>
  <c r="F147" i="15"/>
  <c r="F146" i="15"/>
  <c r="F145" i="15"/>
  <c r="F144" i="15"/>
  <c r="F143" i="15"/>
  <c r="F142" i="15"/>
  <c r="F141" i="15"/>
  <c r="F140" i="15"/>
  <c r="F139" i="15"/>
  <c r="F138" i="15"/>
  <c r="F137" i="15"/>
  <c r="F136" i="15"/>
  <c r="F135" i="15"/>
  <c r="F134" i="15"/>
  <c r="F133" i="15"/>
  <c r="F132" i="15"/>
  <c r="F131" i="15"/>
  <c r="F130" i="15"/>
  <c r="F129" i="15"/>
  <c r="F128" i="15"/>
  <c r="F127" i="15"/>
  <c r="F126" i="15"/>
  <c r="F125" i="15"/>
  <c r="F124" i="15"/>
  <c r="F123" i="15"/>
  <c r="F122" i="15"/>
  <c r="F121" i="15"/>
  <c r="F120" i="15"/>
  <c r="F119" i="15"/>
  <c r="F118" i="15"/>
  <c r="F117" i="15"/>
  <c r="F116" i="15"/>
  <c r="F115" i="15"/>
  <c r="F114" i="15"/>
  <c r="F113" i="15"/>
  <c r="F112" i="15"/>
  <c r="F111" i="15"/>
  <c r="F110" i="15"/>
  <c r="F109" i="15"/>
  <c r="F108" i="15"/>
  <c r="F107" i="15"/>
  <c r="F106" i="15"/>
  <c r="F105" i="15"/>
  <c r="F104" i="15"/>
  <c r="F103" i="15"/>
  <c r="F102" i="15"/>
  <c r="F101" i="15"/>
  <c r="F100" i="15"/>
  <c r="F99" i="15"/>
  <c r="F98" i="15"/>
  <c r="F97" i="15"/>
  <c r="F96" i="15"/>
  <c r="F95" i="15"/>
  <c r="F94" i="15"/>
  <c r="F93" i="15"/>
  <c r="F92" i="15"/>
  <c r="F91" i="15"/>
  <c r="F90" i="15"/>
  <c r="F89" i="15"/>
  <c r="F88" i="15"/>
  <c r="F87" i="15"/>
  <c r="F86" i="15"/>
  <c r="F85" i="15"/>
  <c r="F84" i="15"/>
  <c r="F83" i="15"/>
  <c r="F82" i="15"/>
  <c r="F81" i="15"/>
  <c r="F80" i="15"/>
  <c r="F79" i="15"/>
  <c r="F78" i="15"/>
  <c r="F77" i="15"/>
  <c r="F76" i="15"/>
  <c r="F75" i="15"/>
  <c r="F74" i="15"/>
  <c r="F73" i="15"/>
  <c r="F72" i="15"/>
  <c r="F71" i="15"/>
  <c r="F70" i="15"/>
  <c r="F69" i="15"/>
  <c r="F68" i="15"/>
  <c r="F67" i="15"/>
  <c r="F66" i="15"/>
  <c r="F65" i="15"/>
  <c r="F64" i="15"/>
  <c r="F63" i="15"/>
  <c r="F62" i="15"/>
  <c r="F61" i="15"/>
  <c r="F60" i="15"/>
  <c r="F59" i="15"/>
  <c r="F58" i="15"/>
  <c r="F57" i="15"/>
  <c r="F56" i="15"/>
  <c r="F55" i="15"/>
  <c r="F54" i="15"/>
  <c r="F53" i="15"/>
  <c r="F52" i="15"/>
  <c r="F51" i="15"/>
  <c r="F50" i="15"/>
  <c r="F49" i="15"/>
  <c r="F48" i="15"/>
  <c r="F47" i="15"/>
  <c r="F46" i="15"/>
  <c r="F45" i="15"/>
  <c r="F44" i="15"/>
  <c r="F43" i="15"/>
  <c r="F42" i="15"/>
  <c r="F41" i="15"/>
  <c r="F40" i="15"/>
  <c r="F39" i="15"/>
  <c r="F38" i="15"/>
  <c r="F37" i="15"/>
  <c r="F36" i="15"/>
  <c r="F35" i="15"/>
  <c r="F34" i="15"/>
  <c r="F33" i="15"/>
  <c r="F32" i="15"/>
  <c r="F31" i="15"/>
  <c r="F30" i="15"/>
  <c r="F29" i="15"/>
  <c r="F28" i="15"/>
  <c r="F27" i="15"/>
  <c r="F26" i="15"/>
  <c r="F25" i="15"/>
  <c r="F24" i="15"/>
  <c r="F23" i="15"/>
  <c r="F22" i="15"/>
  <c r="F21" i="15"/>
  <c r="F20" i="15"/>
  <c r="F19" i="15"/>
  <c r="F18" i="15"/>
  <c r="F17" i="15"/>
  <c r="F16" i="15"/>
  <c r="F15" i="15"/>
  <c r="F14" i="15"/>
  <c r="F13" i="15"/>
  <c r="F12" i="15"/>
  <c r="F11" i="15"/>
  <c r="F10" i="15"/>
  <c r="F9" i="15"/>
  <c r="F8" i="15"/>
  <c r="F7" i="15"/>
  <c r="F6" i="15"/>
  <c r="F5" i="15"/>
  <c r="F4" i="15"/>
  <c r="F3" i="15"/>
  <c r="F2" i="15"/>
  <c r="AF12" i="5" l="1"/>
  <c r="AG11" i="5" l="1"/>
  <c r="AG286" i="5"/>
  <c r="AG414" i="5"/>
  <c r="AF13" i="5" l="1"/>
  <c r="AF14" i="5"/>
  <c r="AF15" i="5"/>
  <c r="AF16" i="5"/>
  <c r="AF17" i="5"/>
  <c r="AF18" i="5"/>
  <c r="AF19" i="5"/>
  <c r="AF20" i="5"/>
  <c r="AF21" i="5"/>
  <c r="AF22" i="5"/>
  <c r="AF23" i="5"/>
  <c r="AF24" i="5"/>
  <c r="AF25" i="5"/>
  <c r="AF26" i="5"/>
  <c r="AF27" i="5"/>
  <c r="AR27" i="5" s="1"/>
  <c r="AF28" i="5"/>
  <c r="AR28" i="5" s="1"/>
  <c r="AF29" i="5"/>
  <c r="AF30" i="5"/>
  <c r="AF31" i="5"/>
  <c r="AR31" i="5" s="1"/>
  <c r="AF32" i="5"/>
  <c r="AR32" i="5" s="1"/>
  <c r="AF33" i="5"/>
  <c r="AF34" i="5"/>
  <c r="AF35" i="5"/>
  <c r="AF36" i="5"/>
  <c r="AF37" i="5"/>
  <c r="AF38" i="5"/>
  <c r="AF39" i="5"/>
  <c r="AF40" i="5"/>
  <c r="AF41" i="5"/>
  <c r="AF42" i="5"/>
  <c r="AF43" i="5"/>
  <c r="AF44" i="5"/>
  <c r="AF45" i="5"/>
  <c r="AF46" i="5"/>
  <c r="AF47" i="5"/>
  <c r="AF48" i="5"/>
  <c r="AF49" i="5"/>
  <c r="AF50" i="5"/>
  <c r="AF51" i="5"/>
  <c r="AF52" i="5"/>
  <c r="AF53" i="5"/>
  <c r="AF54" i="5"/>
  <c r="AF55" i="5"/>
  <c r="AF56" i="5"/>
  <c r="AF57" i="5"/>
  <c r="AF58" i="5"/>
  <c r="AF59" i="5"/>
  <c r="AF60" i="5"/>
  <c r="AF61" i="5"/>
  <c r="AF62" i="5"/>
  <c r="AF63" i="5"/>
  <c r="AF64" i="5"/>
  <c r="AF65" i="5"/>
  <c r="AF66" i="5"/>
  <c r="AF67" i="5"/>
  <c r="AF68" i="5"/>
  <c r="AF69" i="5"/>
  <c r="AF70" i="5"/>
  <c r="AF71" i="5"/>
  <c r="AF72" i="5"/>
  <c r="AF73" i="5"/>
  <c r="AF74" i="5"/>
  <c r="AF75" i="5"/>
  <c r="AF76" i="5"/>
  <c r="AF77" i="5"/>
  <c r="AF78" i="5"/>
  <c r="AF79" i="5"/>
  <c r="AF80" i="5"/>
  <c r="AF81" i="5"/>
  <c r="AF82" i="5"/>
  <c r="AF83" i="5"/>
  <c r="AF84" i="5"/>
  <c r="AF85" i="5"/>
  <c r="AF86" i="5"/>
  <c r="AF87" i="5"/>
  <c r="AF88" i="5"/>
  <c r="AF89" i="5"/>
  <c r="AF90" i="5"/>
  <c r="AF91" i="5"/>
  <c r="AF92" i="5"/>
  <c r="AF93" i="5"/>
  <c r="AF94" i="5"/>
  <c r="AF95" i="5"/>
  <c r="AF96" i="5"/>
  <c r="AF97" i="5"/>
  <c r="AF98" i="5"/>
  <c r="AF99" i="5"/>
  <c r="AF100" i="5"/>
  <c r="AF101" i="5"/>
  <c r="AF102" i="5"/>
  <c r="AF103" i="5"/>
  <c r="AF104" i="5"/>
  <c r="AF105" i="5"/>
  <c r="AF106" i="5"/>
  <c r="AF107" i="5"/>
  <c r="AF108" i="5"/>
  <c r="AF109" i="5"/>
  <c r="AF110" i="5"/>
  <c r="AF111" i="5"/>
  <c r="AF112" i="5"/>
  <c r="AF113" i="5"/>
  <c r="AF114" i="5"/>
  <c r="AF115" i="5"/>
  <c r="AF116" i="5"/>
  <c r="AF117" i="5"/>
  <c r="AF118" i="5"/>
  <c r="AF119" i="5"/>
  <c r="AF120" i="5"/>
  <c r="AF121" i="5"/>
  <c r="AF122" i="5"/>
  <c r="AF123" i="5"/>
  <c r="AF124" i="5"/>
  <c r="AF125" i="5"/>
  <c r="AF126" i="5"/>
  <c r="AF127" i="5"/>
  <c r="AF128" i="5"/>
  <c r="AF129" i="5"/>
  <c r="AF130" i="5"/>
  <c r="AF131" i="5"/>
  <c r="AF132" i="5"/>
  <c r="AF133" i="5"/>
  <c r="AF134" i="5"/>
  <c r="AF135" i="5"/>
  <c r="AF136" i="5"/>
  <c r="AF137" i="5"/>
  <c r="AF138" i="5"/>
  <c r="AF139" i="5"/>
  <c r="AF140" i="5"/>
  <c r="AF141" i="5"/>
  <c r="AF142" i="5"/>
  <c r="AF143" i="5"/>
  <c r="AF144" i="5"/>
  <c r="AF145" i="5"/>
  <c r="AF146" i="5"/>
  <c r="AF147" i="5"/>
  <c r="AF148" i="5"/>
  <c r="AF149" i="5"/>
  <c r="AF150" i="5"/>
  <c r="AF151" i="5"/>
  <c r="AF152" i="5"/>
  <c r="AF153" i="5"/>
  <c r="AF154" i="5"/>
  <c r="AF155" i="5"/>
  <c r="AF156" i="5"/>
  <c r="AF157" i="5"/>
  <c r="AF158" i="5"/>
  <c r="AF159" i="5"/>
  <c r="AF160" i="5"/>
  <c r="AF161" i="5"/>
  <c r="AF162" i="5"/>
  <c r="AF163" i="5"/>
  <c r="AF164" i="5"/>
  <c r="AF165" i="5"/>
  <c r="AF166" i="5"/>
  <c r="AF167" i="5"/>
  <c r="AF168" i="5"/>
  <c r="AF169" i="5"/>
  <c r="AF170" i="5"/>
  <c r="AF171" i="5"/>
  <c r="AF172" i="5"/>
  <c r="AF173" i="5"/>
  <c r="AR173" i="5" s="1"/>
  <c r="AF174" i="5"/>
  <c r="AF175" i="5"/>
  <c r="AF176" i="5"/>
  <c r="AF177" i="5"/>
  <c r="AR177" i="5" s="1"/>
  <c r="AF178" i="5"/>
  <c r="AF179" i="5"/>
  <c r="AF180" i="5"/>
  <c r="AF181" i="5"/>
  <c r="AR181" i="5" s="1"/>
  <c r="AF182" i="5"/>
  <c r="AF183" i="5"/>
  <c r="AF184" i="5"/>
  <c r="AF185" i="5"/>
  <c r="AR185" i="5" s="1"/>
  <c r="AF186" i="5"/>
  <c r="AF187" i="5"/>
  <c r="AF188" i="5"/>
  <c r="AF189" i="5"/>
  <c r="AR189" i="5" s="1"/>
  <c r="AF190" i="5"/>
  <c r="AF191" i="5"/>
  <c r="AF192" i="5"/>
  <c r="AF193" i="5"/>
  <c r="AR193" i="5" s="1"/>
  <c r="AF194" i="5"/>
  <c r="AF195" i="5"/>
  <c r="AF196" i="5"/>
  <c r="AF197" i="5"/>
  <c r="AR197" i="5" s="1"/>
  <c r="AF198" i="5"/>
  <c r="AF199" i="5"/>
  <c r="AF200" i="5"/>
  <c r="AF201" i="5"/>
  <c r="AR201" i="5" s="1"/>
  <c r="AF202" i="5"/>
  <c r="AF203" i="5"/>
  <c r="AF204" i="5"/>
  <c r="AF205" i="5"/>
  <c r="AR205" i="5" s="1"/>
  <c r="AF206" i="5"/>
  <c r="AF207" i="5"/>
  <c r="AF208" i="5"/>
  <c r="AF209" i="5"/>
  <c r="AR209" i="5" s="1"/>
  <c r="AF210" i="5"/>
  <c r="AF211" i="5"/>
  <c r="AF212" i="5"/>
  <c r="AF213" i="5"/>
  <c r="AR213" i="5" s="1"/>
  <c r="AF214" i="5"/>
  <c r="AF215" i="5"/>
  <c r="AF216" i="5"/>
  <c r="AF217" i="5"/>
  <c r="AR217" i="5" s="1"/>
  <c r="AF218" i="5"/>
  <c r="AF219" i="5"/>
  <c r="AF220" i="5"/>
  <c r="AF221" i="5"/>
  <c r="AR221" i="5" s="1"/>
  <c r="AF222" i="5"/>
  <c r="AF223" i="5"/>
  <c r="AF224" i="5"/>
  <c r="AF225" i="5"/>
  <c r="AR225" i="5" s="1"/>
  <c r="AF226" i="5"/>
  <c r="AF227" i="5"/>
  <c r="AF228" i="5"/>
  <c r="AF229" i="5"/>
  <c r="AR229" i="5" s="1"/>
  <c r="AF230" i="5"/>
  <c r="AF231" i="5"/>
  <c r="AF232" i="5"/>
  <c r="AF233" i="5"/>
  <c r="AR233" i="5" s="1"/>
  <c r="AF234" i="5"/>
  <c r="AF235" i="5"/>
  <c r="AF236" i="5"/>
  <c r="AF237" i="5"/>
  <c r="AR237" i="5" s="1"/>
  <c r="AF238" i="5"/>
  <c r="AF239" i="5"/>
  <c r="AF240" i="5"/>
  <c r="AF241" i="5"/>
  <c r="AR241" i="5" s="1"/>
  <c r="AF242" i="5"/>
  <c r="AF243" i="5"/>
  <c r="AF244" i="5"/>
  <c r="AF245" i="5"/>
  <c r="AR245" i="5" s="1"/>
  <c r="AF246" i="5"/>
  <c r="AF247" i="5"/>
  <c r="AF248" i="5"/>
  <c r="AF249" i="5"/>
  <c r="AR249" i="5" s="1"/>
  <c r="AF250" i="5"/>
  <c r="AF251" i="5"/>
  <c r="AF252" i="5"/>
  <c r="AF253" i="5"/>
  <c r="AR253" i="5" s="1"/>
  <c r="AF254" i="5"/>
  <c r="AF255" i="5"/>
  <c r="AF256" i="5"/>
  <c r="AF257" i="5"/>
  <c r="AR257" i="5" s="1"/>
  <c r="AF258" i="5"/>
  <c r="AF259" i="5"/>
  <c r="AF260" i="5"/>
  <c r="AF261" i="5"/>
  <c r="AR261" i="5" s="1"/>
  <c r="AF262" i="5"/>
  <c r="AF263" i="5"/>
  <c r="AF264" i="5"/>
  <c r="AF265" i="5"/>
  <c r="AR265" i="5" s="1"/>
  <c r="AF266" i="5"/>
  <c r="AF267" i="5"/>
  <c r="AF268" i="5"/>
  <c r="AF269" i="5"/>
  <c r="AR269" i="5" s="1"/>
  <c r="AF270" i="5"/>
  <c r="AF271" i="5"/>
  <c r="AF272" i="5"/>
  <c r="AF273" i="5"/>
  <c r="AR273" i="5" s="1"/>
  <c r="AF274" i="5"/>
  <c r="AF275" i="5"/>
  <c r="AF276" i="5"/>
  <c r="AF277" i="5"/>
  <c r="AR277" i="5" s="1"/>
  <c r="AF278" i="5"/>
  <c r="AF279" i="5"/>
  <c r="AF280" i="5"/>
  <c r="AF281" i="5"/>
  <c r="AR281" i="5" s="1"/>
  <c r="AF282" i="5"/>
  <c r="AF283" i="5"/>
  <c r="AF284" i="5"/>
  <c r="AF285" i="5"/>
  <c r="AR285" i="5" s="1"/>
  <c r="AF286" i="5"/>
  <c r="AF287" i="5"/>
  <c r="AF288" i="5"/>
  <c r="AF289" i="5"/>
  <c r="AR289" i="5" s="1"/>
  <c r="AF290" i="5"/>
  <c r="AF291" i="5"/>
  <c r="AF292" i="5"/>
  <c r="AF293" i="5"/>
  <c r="AR293" i="5" s="1"/>
  <c r="AF294" i="5"/>
  <c r="AF295" i="5"/>
  <c r="AF296" i="5"/>
  <c r="AF297" i="5"/>
  <c r="AR297" i="5" s="1"/>
  <c r="AF298" i="5"/>
  <c r="AF299" i="5"/>
  <c r="AF300" i="5"/>
  <c r="AF301" i="5"/>
  <c r="AR301" i="5" s="1"/>
  <c r="AF302" i="5"/>
  <c r="AF303" i="5"/>
  <c r="AF304" i="5"/>
  <c r="AF305" i="5"/>
  <c r="AR305" i="5" s="1"/>
  <c r="AF306" i="5"/>
  <c r="AF307" i="5"/>
  <c r="AF308" i="5"/>
  <c r="AF309" i="5"/>
  <c r="AR309" i="5" s="1"/>
  <c r="AF310" i="5"/>
  <c r="AF311" i="5"/>
  <c r="AF312" i="5"/>
  <c r="AF313" i="5"/>
  <c r="AR313" i="5" s="1"/>
  <c r="AF314" i="5"/>
  <c r="AF315" i="5"/>
  <c r="AF316" i="5"/>
  <c r="AF317" i="5"/>
  <c r="AR317" i="5" s="1"/>
  <c r="AF318" i="5"/>
  <c r="AF319" i="5"/>
  <c r="AF320" i="5"/>
  <c r="AF321" i="5"/>
  <c r="AR321" i="5" s="1"/>
  <c r="AF322" i="5"/>
  <c r="AF323" i="5"/>
  <c r="AF324" i="5"/>
  <c r="AF325" i="5"/>
  <c r="AR325" i="5" s="1"/>
  <c r="AF326" i="5"/>
  <c r="AF327" i="5"/>
  <c r="AF328" i="5"/>
  <c r="AF329" i="5"/>
  <c r="AR329" i="5" s="1"/>
  <c r="AF330" i="5"/>
  <c r="AF331" i="5"/>
  <c r="AF332" i="5"/>
  <c r="AF333" i="5"/>
  <c r="AR333" i="5" s="1"/>
  <c r="AF334" i="5"/>
  <c r="AF335" i="5"/>
  <c r="AF336" i="5"/>
  <c r="AF337" i="5"/>
  <c r="AR337" i="5" s="1"/>
  <c r="AF338" i="5"/>
  <c r="AF339" i="5"/>
  <c r="AF340" i="5"/>
  <c r="AF341" i="5"/>
  <c r="AR341" i="5" s="1"/>
  <c r="AF342" i="5"/>
  <c r="AF343" i="5"/>
  <c r="AF344" i="5"/>
  <c r="AF345" i="5"/>
  <c r="AR345" i="5" s="1"/>
  <c r="AF346" i="5"/>
  <c r="AF347" i="5"/>
  <c r="AF348" i="5"/>
  <c r="AF349" i="5"/>
  <c r="AR349" i="5" s="1"/>
  <c r="AF350" i="5"/>
  <c r="AF351" i="5"/>
  <c r="AF352" i="5"/>
  <c r="AF353" i="5"/>
  <c r="AR353" i="5" s="1"/>
  <c r="AF354" i="5"/>
  <c r="AF355" i="5"/>
  <c r="AF356" i="5"/>
  <c r="AF357" i="5"/>
  <c r="AR357" i="5" s="1"/>
  <c r="AF358" i="5"/>
  <c r="AF359" i="5"/>
  <c r="AF360" i="5"/>
  <c r="AF361" i="5"/>
  <c r="AR361" i="5" s="1"/>
  <c r="AF362" i="5"/>
  <c r="AF363" i="5"/>
  <c r="AF364" i="5"/>
  <c r="AF365" i="5"/>
  <c r="AR365" i="5" s="1"/>
  <c r="AF366" i="5"/>
  <c r="AF367" i="5"/>
  <c r="AF368" i="5"/>
  <c r="AF369" i="5"/>
  <c r="AR369" i="5" s="1"/>
  <c r="AF370" i="5"/>
  <c r="AF371" i="5"/>
  <c r="AF372" i="5"/>
  <c r="AF373" i="5"/>
  <c r="AF374" i="5"/>
  <c r="AF375" i="5"/>
  <c r="AF376" i="5"/>
  <c r="AF377" i="5"/>
  <c r="AF378" i="5"/>
  <c r="AF379" i="5"/>
  <c r="AF380" i="5"/>
  <c r="AF381" i="5"/>
  <c r="AF382" i="5"/>
  <c r="AF383" i="5"/>
  <c r="AF384" i="5"/>
  <c r="AF385" i="5"/>
  <c r="AF386" i="5"/>
  <c r="AF387" i="5"/>
  <c r="AF388" i="5"/>
  <c r="AF389" i="5"/>
  <c r="AF390" i="5"/>
  <c r="AF391" i="5"/>
  <c r="AF392" i="5"/>
  <c r="AF393" i="5"/>
  <c r="AF394" i="5"/>
  <c r="AF395" i="5"/>
  <c r="AF396" i="5"/>
  <c r="AF397" i="5"/>
  <c r="AF398" i="5"/>
  <c r="AF399" i="5"/>
  <c r="AF400" i="5"/>
  <c r="AF401" i="5"/>
  <c r="AR26" i="5"/>
  <c r="AR29" i="5"/>
  <c r="AR30" i="5"/>
  <c r="AR33" i="5"/>
  <c r="AR34" i="5"/>
  <c r="AR35" i="5"/>
  <c r="AR36" i="5"/>
  <c r="AR37" i="5"/>
  <c r="AR38" i="5"/>
  <c r="AR39" i="5"/>
  <c r="AR40" i="5"/>
  <c r="AR41" i="5"/>
  <c r="AR42" i="5"/>
  <c r="AR43" i="5"/>
  <c r="AR44" i="5"/>
  <c r="AR45" i="5"/>
  <c r="AR46" i="5"/>
  <c r="AR47" i="5"/>
  <c r="AR48" i="5"/>
  <c r="AR49" i="5"/>
  <c r="AR50" i="5"/>
  <c r="AR51" i="5"/>
  <c r="AR52" i="5"/>
  <c r="AR53" i="5"/>
  <c r="AR54" i="5"/>
  <c r="AR55" i="5"/>
  <c r="AR56" i="5"/>
  <c r="AR57" i="5"/>
  <c r="AR58" i="5"/>
  <c r="AR59" i="5"/>
  <c r="AR60" i="5"/>
  <c r="AR61" i="5"/>
  <c r="AR62" i="5"/>
  <c r="AR63" i="5"/>
  <c r="AR64" i="5"/>
  <c r="AR65" i="5"/>
  <c r="AR66" i="5"/>
  <c r="AR67" i="5"/>
  <c r="AR68" i="5"/>
  <c r="AR69" i="5"/>
  <c r="AR70" i="5"/>
  <c r="AR71" i="5"/>
  <c r="AR72" i="5"/>
  <c r="AR73" i="5"/>
  <c r="AR74" i="5"/>
  <c r="AR75" i="5"/>
  <c r="AR76" i="5"/>
  <c r="AR77" i="5"/>
  <c r="AR78" i="5"/>
  <c r="AR79" i="5"/>
  <c r="AR80" i="5"/>
  <c r="AR81" i="5"/>
  <c r="AR82" i="5"/>
  <c r="AR83" i="5"/>
  <c r="AR84" i="5"/>
  <c r="AR85" i="5"/>
  <c r="AR86" i="5"/>
  <c r="AR87" i="5"/>
  <c r="AR88" i="5"/>
  <c r="AR89" i="5"/>
  <c r="AR90" i="5"/>
  <c r="AR91" i="5"/>
  <c r="AR92" i="5"/>
  <c r="AR93" i="5"/>
  <c r="AR94" i="5"/>
  <c r="AR95" i="5"/>
  <c r="AR96" i="5"/>
  <c r="AR97" i="5"/>
  <c r="AR98" i="5"/>
  <c r="AR99" i="5"/>
  <c r="AR100" i="5"/>
  <c r="AR101" i="5"/>
  <c r="AR102" i="5"/>
  <c r="AR103" i="5"/>
  <c r="AR104" i="5"/>
  <c r="AR105" i="5"/>
  <c r="AR106" i="5"/>
  <c r="AR107" i="5"/>
  <c r="AR108" i="5"/>
  <c r="AR109" i="5"/>
  <c r="AR110" i="5"/>
  <c r="AR111" i="5"/>
  <c r="AR112" i="5"/>
  <c r="AR113" i="5"/>
  <c r="AR114" i="5"/>
  <c r="AR115" i="5"/>
  <c r="AR116" i="5"/>
  <c r="AR117" i="5"/>
  <c r="AR118" i="5"/>
  <c r="AR119" i="5"/>
  <c r="AR120" i="5"/>
  <c r="AR121" i="5"/>
  <c r="AR122" i="5"/>
  <c r="AR123" i="5"/>
  <c r="AR124" i="5"/>
  <c r="AR125" i="5"/>
  <c r="AR126" i="5"/>
  <c r="AR127" i="5"/>
  <c r="AR128" i="5"/>
  <c r="AR129" i="5"/>
  <c r="AR130" i="5"/>
  <c r="AR131" i="5"/>
  <c r="AR132" i="5"/>
  <c r="AR133" i="5"/>
  <c r="AR134" i="5"/>
  <c r="AR135" i="5"/>
  <c r="AR136" i="5"/>
  <c r="AR137" i="5"/>
  <c r="AR138" i="5"/>
  <c r="AR139" i="5"/>
  <c r="AR140" i="5"/>
  <c r="AR141" i="5"/>
  <c r="AR142" i="5"/>
  <c r="AR143" i="5"/>
  <c r="AR144" i="5"/>
  <c r="AR145" i="5"/>
  <c r="AR146" i="5"/>
  <c r="AR147" i="5"/>
  <c r="AR148" i="5"/>
  <c r="AR149" i="5"/>
  <c r="AR150" i="5"/>
  <c r="AR151" i="5"/>
  <c r="AR152" i="5"/>
  <c r="AR153" i="5"/>
  <c r="AR154" i="5"/>
  <c r="AR155" i="5"/>
  <c r="AR156" i="5"/>
  <c r="AR157" i="5"/>
  <c r="AR158" i="5"/>
  <c r="AR159" i="5"/>
  <c r="AR160" i="5"/>
  <c r="AR161" i="5"/>
  <c r="AR162" i="5"/>
  <c r="AR163" i="5"/>
  <c r="AR164" i="5"/>
  <c r="AR165" i="5"/>
  <c r="AR166" i="5"/>
  <c r="AR167" i="5"/>
  <c r="AR168" i="5"/>
  <c r="AR169" i="5"/>
  <c r="AR170" i="5"/>
  <c r="AR171" i="5"/>
  <c r="AR172" i="5"/>
  <c r="AR174" i="5"/>
  <c r="AR175" i="5"/>
  <c r="AR176" i="5"/>
  <c r="AR178" i="5"/>
  <c r="AR179" i="5"/>
  <c r="AR180" i="5"/>
  <c r="AR182" i="5"/>
  <c r="AR183" i="5"/>
  <c r="AR184" i="5"/>
  <c r="AR186" i="5"/>
  <c r="AR187" i="5"/>
  <c r="AR188" i="5"/>
  <c r="AR190" i="5"/>
  <c r="AR191" i="5"/>
  <c r="AR192" i="5"/>
  <c r="AR194" i="5"/>
  <c r="AR195" i="5"/>
  <c r="AR196" i="5"/>
  <c r="AR198" i="5"/>
  <c r="AR199" i="5"/>
  <c r="AR200" i="5"/>
  <c r="AR202" i="5"/>
  <c r="AR203" i="5"/>
  <c r="AR204" i="5"/>
  <c r="AR206" i="5"/>
  <c r="AR207" i="5"/>
  <c r="AR208" i="5"/>
  <c r="AR210" i="5"/>
  <c r="AR211" i="5"/>
  <c r="AR212" i="5"/>
  <c r="AR214" i="5"/>
  <c r="AR215" i="5"/>
  <c r="AR216" i="5"/>
  <c r="AR218" i="5"/>
  <c r="AR219" i="5"/>
  <c r="AR220" i="5"/>
  <c r="AR222" i="5"/>
  <c r="AR223" i="5"/>
  <c r="AR224" i="5"/>
  <c r="AR226" i="5"/>
  <c r="AR227" i="5"/>
  <c r="AR228" i="5"/>
  <c r="AR230" i="5"/>
  <c r="AR231" i="5"/>
  <c r="AR232" i="5"/>
  <c r="AR234" i="5"/>
  <c r="AR235" i="5"/>
  <c r="AR236" i="5"/>
  <c r="AR238" i="5"/>
  <c r="AR239" i="5"/>
  <c r="AR240" i="5"/>
  <c r="AR242" i="5"/>
  <c r="AR243" i="5"/>
  <c r="AR244" i="5"/>
  <c r="AR246" i="5"/>
  <c r="AR247" i="5"/>
  <c r="AR248" i="5"/>
  <c r="AR250" i="5"/>
  <c r="AR251" i="5"/>
  <c r="AR252" i="5"/>
  <c r="AR254" i="5"/>
  <c r="AR255" i="5"/>
  <c r="AR256" i="5"/>
  <c r="AR258" i="5"/>
  <c r="AR259" i="5"/>
  <c r="AR260" i="5"/>
  <c r="AR262" i="5"/>
  <c r="AR263" i="5"/>
  <c r="AR264" i="5"/>
  <c r="AR266" i="5"/>
  <c r="AR267" i="5"/>
  <c r="AR268" i="5"/>
  <c r="AR270" i="5"/>
  <c r="AR271" i="5"/>
  <c r="AR272" i="5"/>
  <c r="AR274" i="5"/>
  <c r="AR275" i="5"/>
  <c r="AR276" i="5"/>
  <c r="AR278" i="5"/>
  <c r="AR279" i="5"/>
  <c r="AR280" i="5"/>
  <c r="AR282" i="5"/>
  <c r="AR283" i="5"/>
  <c r="AR284" i="5"/>
  <c r="AR286" i="5"/>
  <c r="AR287" i="5"/>
  <c r="AR288" i="5"/>
  <c r="AR290" i="5"/>
  <c r="AR291" i="5"/>
  <c r="AR292" i="5"/>
  <c r="AR294" i="5"/>
  <c r="AR295" i="5"/>
  <c r="AR296" i="5"/>
  <c r="AR298" i="5"/>
  <c r="AR299" i="5"/>
  <c r="AR300" i="5"/>
  <c r="AR302" i="5"/>
  <c r="AR303" i="5"/>
  <c r="AR304" i="5"/>
  <c r="AR306" i="5"/>
  <c r="AR307" i="5"/>
  <c r="AR308" i="5"/>
  <c r="AR310" i="5"/>
  <c r="AR311" i="5"/>
  <c r="AR312" i="5"/>
  <c r="AR314" i="5"/>
  <c r="AR315" i="5"/>
  <c r="AR316" i="5"/>
  <c r="AR318" i="5"/>
  <c r="AR319" i="5"/>
  <c r="AR320" i="5"/>
  <c r="AR322" i="5"/>
  <c r="AR323" i="5"/>
  <c r="AR324" i="5"/>
  <c r="AR326" i="5"/>
  <c r="AR327" i="5"/>
  <c r="AR328" i="5"/>
  <c r="AR330" i="5"/>
  <c r="AR331" i="5"/>
  <c r="AR332" i="5"/>
  <c r="AR334" i="5"/>
  <c r="AR335" i="5"/>
  <c r="AR336" i="5"/>
  <c r="AR338" i="5"/>
  <c r="AR339" i="5"/>
  <c r="AR340" i="5"/>
  <c r="AR342" i="5"/>
  <c r="AR343" i="5"/>
  <c r="AR344" i="5"/>
  <c r="AR346" i="5"/>
  <c r="AR347" i="5"/>
  <c r="AR348" i="5"/>
  <c r="AR350" i="5"/>
  <c r="AR351" i="5"/>
  <c r="AR352" i="5"/>
  <c r="AR354" i="5"/>
  <c r="AR355" i="5"/>
  <c r="AR356" i="5"/>
  <c r="AR358" i="5"/>
  <c r="AR359" i="5"/>
  <c r="AR360" i="5"/>
  <c r="AR362" i="5"/>
  <c r="AR363" i="5"/>
  <c r="AR364" i="5"/>
  <c r="AR366" i="5"/>
  <c r="AR367" i="5"/>
  <c r="AR368" i="5"/>
  <c r="AR370" i="5"/>
  <c r="AR371" i="5"/>
  <c r="AG15" i="5"/>
  <c r="AG16" i="5"/>
  <c r="AG17" i="5"/>
  <c r="AG18" i="5"/>
  <c r="AG19" i="5"/>
  <c r="AG20" i="5"/>
  <c r="AG21" i="5"/>
  <c r="AG22" i="5"/>
  <c r="AG23" i="5"/>
  <c r="AG24" i="5"/>
  <c r="AG25" i="5"/>
  <c r="AG26" i="5"/>
  <c r="AG27" i="5"/>
  <c r="AG28" i="5"/>
  <c r="AG29" i="5"/>
  <c r="AG30" i="5"/>
  <c r="AG31" i="5"/>
  <c r="AG32" i="5"/>
  <c r="AG33" i="5"/>
  <c r="AG34" i="5"/>
  <c r="AG35" i="5"/>
  <c r="AG36" i="5"/>
  <c r="AG37" i="5"/>
  <c r="AG38" i="5"/>
  <c r="AG39" i="5"/>
  <c r="AG40" i="5"/>
  <c r="AG41" i="5"/>
  <c r="AG42" i="5"/>
  <c r="AG43" i="5"/>
  <c r="AG44" i="5"/>
  <c r="AG45" i="5"/>
  <c r="AG46" i="5"/>
  <c r="AF402" i="5"/>
  <c r="AF403" i="5"/>
  <c r="AF404" i="5"/>
  <c r="AF405" i="5"/>
  <c r="AF406" i="5"/>
  <c r="AF407" i="5"/>
  <c r="AF408" i="5"/>
  <c r="AF409" i="5"/>
  <c r="AF410" i="5"/>
  <c r="AP6" i="5" l="1"/>
  <c r="AN7" i="5"/>
  <c r="AI7" i="5"/>
  <c r="AK6" i="5"/>
  <c r="H7" i="5"/>
  <c r="AG50" i="5"/>
  <c r="AG383" i="5" l="1"/>
  <c r="AG397" i="5"/>
  <c r="AG380" i="5"/>
  <c r="AG404" i="5"/>
  <c r="AG398" i="5"/>
  <c r="AG396" i="5"/>
  <c r="AG405" i="5"/>
  <c r="AG401" i="5"/>
  <c r="AG387" i="5"/>
  <c r="AG386" i="5"/>
  <c r="AG385" i="5"/>
  <c r="AG382" i="5"/>
  <c r="AG394" i="5"/>
  <c r="AG378" i="5"/>
  <c r="AG376" i="5"/>
  <c r="AG403" i="5"/>
  <c r="AG412" i="5"/>
  <c r="AG399" i="5"/>
  <c r="AG400" i="5"/>
  <c r="AG402" i="5"/>
  <c r="AG384" i="5"/>
  <c r="AG392" i="5"/>
  <c r="AG407" i="5"/>
  <c r="AG411" i="5"/>
  <c r="AG410" i="5"/>
  <c r="AG409" i="5"/>
  <c r="AG408" i="5"/>
  <c r="AG381" i="5"/>
  <c r="AG389" i="5"/>
  <c r="AG375" i="5"/>
  <c r="AG388" i="5"/>
  <c r="AG406" i="5"/>
  <c r="AG379" i="5"/>
  <c r="AG393" i="5"/>
  <c r="AG395" i="5"/>
  <c r="AG413" i="5"/>
  <c r="AG390" i="5"/>
  <c r="AG377" i="5"/>
  <c r="AG391" i="5"/>
  <c r="AG372" i="5"/>
  <c r="AG369" i="5"/>
  <c r="AG374" i="5"/>
  <c r="AG371" i="5"/>
  <c r="AG373" i="5"/>
  <c r="AG370" i="5"/>
  <c r="AG368" i="5"/>
  <c r="AG280" i="5"/>
  <c r="AG283" i="5"/>
  <c r="AG328" i="5"/>
  <c r="AG326" i="5"/>
  <c r="AG281" i="5"/>
  <c r="AG318" i="5"/>
  <c r="AG290" i="5"/>
  <c r="AG317" i="5"/>
  <c r="AG358" i="5"/>
  <c r="AG340" i="5"/>
  <c r="AG295" i="5"/>
  <c r="AG346" i="5"/>
  <c r="AG298" i="5"/>
  <c r="AG285" i="5"/>
  <c r="AG304" i="5"/>
  <c r="AG361" i="5"/>
  <c r="AG330" i="5"/>
  <c r="AG350" i="5"/>
  <c r="AG331" i="5"/>
  <c r="AG354" i="5"/>
  <c r="AG282" i="5"/>
  <c r="AG367" i="5"/>
  <c r="AG310" i="5"/>
  <c r="AG335" i="5"/>
  <c r="AG325" i="5"/>
  <c r="AG362" i="5"/>
  <c r="AG344" i="5"/>
  <c r="AG294" i="5"/>
  <c r="AG305" i="5"/>
  <c r="AG297" i="5"/>
  <c r="AG307" i="5"/>
  <c r="AG284" i="5"/>
  <c r="AG348" i="5"/>
  <c r="AG324" i="5"/>
  <c r="AG291" i="5"/>
  <c r="AG355" i="5"/>
  <c r="AG316" i="5"/>
  <c r="AG349" i="5"/>
  <c r="AG345" i="5"/>
  <c r="AG320" i="5"/>
  <c r="AG342" i="5"/>
  <c r="AG313" i="5"/>
  <c r="AG356" i="5"/>
  <c r="AG315" i="5"/>
  <c r="AG327" i="5"/>
  <c r="AG329" i="5"/>
  <c r="AG299" i="5"/>
  <c r="AG366" i="5"/>
  <c r="AG333" i="5"/>
  <c r="AG323" i="5"/>
  <c r="AG321" i="5"/>
  <c r="AG306" i="5"/>
  <c r="AG319" i="5"/>
  <c r="AG365" i="5"/>
  <c r="AG309" i="5"/>
  <c r="AG339" i="5"/>
  <c r="AG364" i="5"/>
  <c r="AG300" i="5"/>
  <c r="AG303" i="5"/>
  <c r="AG287" i="5"/>
  <c r="AG288" i="5"/>
  <c r="AG360" i="5"/>
  <c r="AG353" i="5"/>
  <c r="AG359" i="5"/>
  <c r="AG337" i="5"/>
  <c r="AG338" i="5"/>
  <c r="AG302" i="5"/>
  <c r="AG308" i="5"/>
  <c r="AG289" i="5"/>
  <c r="AG332" i="5"/>
  <c r="AG293" i="5"/>
  <c r="AG347" i="5"/>
  <c r="AG334" i="5"/>
  <c r="AG296" i="5"/>
  <c r="AG336" i="5"/>
  <c r="AG363" i="5"/>
  <c r="AG292" i="5"/>
  <c r="AG351" i="5"/>
  <c r="AG314" i="5"/>
  <c r="AG341" i="5"/>
  <c r="AG301" i="5"/>
  <c r="AG322" i="5"/>
  <c r="AG311" i="5"/>
  <c r="AG312" i="5"/>
  <c r="AG352" i="5"/>
  <c r="AG343" i="5"/>
  <c r="AG357" i="5"/>
  <c r="AG267" i="5"/>
  <c r="AG274" i="5"/>
  <c r="AG275" i="5"/>
  <c r="AG266" i="5"/>
  <c r="AG271" i="5"/>
  <c r="AG279" i="5"/>
  <c r="AG272" i="5"/>
  <c r="AG273" i="5"/>
  <c r="AG276" i="5"/>
  <c r="AG268" i="5"/>
  <c r="AG269" i="5"/>
  <c r="AG277" i="5"/>
  <c r="AG270" i="5"/>
  <c r="AG278" i="5"/>
  <c r="AG258" i="5"/>
  <c r="AG264" i="5"/>
  <c r="AG260" i="5"/>
  <c r="AG256" i="5"/>
  <c r="AG265" i="5"/>
  <c r="AG262" i="5"/>
  <c r="AG259" i="5"/>
  <c r="AG257" i="5"/>
  <c r="AG263" i="5"/>
  <c r="AG261" i="5"/>
  <c r="AG242" i="5"/>
  <c r="AG246" i="5"/>
  <c r="AG239" i="5"/>
  <c r="AG240" i="5"/>
  <c r="AG254" i="5"/>
  <c r="AG244" i="5"/>
  <c r="AG237" i="5"/>
  <c r="AG249" i="5"/>
  <c r="AG241" i="5"/>
  <c r="AG238" i="5"/>
  <c r="AG250" i="5"/>
  <c r="AG245" i="5"/>
  <c r="AG253" i="5"/>
  <c r="AG236" i="5"/>
  <c r="AG243" i="5"/>
  <c r="AG247" i="5"/>
  <c r="AG252" i="5"/>
  <c r="AG251" i="5"/>
  <c r="AG255" i="5"/>
  <c r="AG248" i="5"/>
  <c r="AG230" i="5"/>
  <c r="AG231" i="5"/>
  <c r="AG206" i="5"/>
  <c r="AG224" i="5"/>
  <c r="AG208" i="5"/>
  <c r="AG216" i="5"/>
  <c r="AG212" i="5"/>
  <c r="AG213" i="5"/>
  <c r="AG234" i="5"/>
  <c r="AG209" i="5"/>
  <c r="AG233" i="5"/>
  <c r="AG221" i="5"/>
  <c r="AG227" i="5"/>
  <c r="AG214" i="5"/>
  <c r="AG207" i="5"/>
  <c r="AG219" i="5"/>
  <c r="AG210" i="5"/>
  <c r="AG225" i="5"/>
  <c r="AG218" i="5"/>
  <c r="AG220" i="5"/>
  <c r="AG222" i="5"/>
  <c r="AG228" i="5"/>
  <c r="AG223" i="5"/>
  <c r="AG235" i="5"/>
  <c r="AG211" i="5"/>
  <c r="AG226" i="5"/>
  <c r="AG229" i="5"/>
  <c r="AG217" i="5"/>
  <c r="AG232" i="5"/>
  <c r="AG215" i="5"/>
  <c r="AG110" i="5"/>
  <c r="AG191" i="5"/>
  <c r="AG104" i="5"/>
  <c r="AG149" i="5"/>
  <c r="AG194" i="5"/>
  <c r="AG86" i="5"/>
  <c r="AG204" i="5"/>
  <c r="AG155" i="5"/>
  <c r="AG171" i="5"/>
  <c r="AG179" i="5"/>
  <c r="AG166" i="5"/>
  <c r="AG165" i="5"/>
  <c r="AG84" i="5"/>
  <c r="AG148" i="5"/>
  <c r="AG176" i="5"/>
  <c r="AG150" i="5"/>
  <c r="AG164" i="5"/>
  <c r="AG111" i="5"/>
  <c r="AG154" i="5"/>
  <c r="AG183" i="5"/>
  <c r="AG198" i="5"/>
  <c r="AG87" i="5"/>
  <c r="AG125" i="5"/>
  <c r="AG105" i="5"/>
  <c r="AG192" i="5"/>
  <c r="AG177" i="5"/>
  <c r="AG178" i="5"/>
  <c r="AG145" i="5"/>
  <c r="AG106" i="5"/>
  <c r="AG167" i="5"/>
  <c r="AG131" i="5"/>
  <c r="AG200" i="5"/>
  <c r="AG144" i="5"/>
  <c r="AG135" i="5"/>
  <c r="AG158" i="5"/>
  <c r="AG100" i="5"/>
  <c r="AG99" i="5"/>
  <c r="AG152" i="5"/>
  <c r="AG143" i="5"/>
  <c r="AG170" i="5"/>
  <c r="AG114" i="5"/>
  <c r="AG169" i="5"/>
  <c r="AG119" i="5"/>
  <c r="AG116" i="5"/>
  <c r="AG85" i="5"/>
  <c r="AG130" i="5"/>
  <c r="AG181" i="5"/>
  <c r="AG122" i="5"/>
  <c r="AG108" i="5"/>
  <c r="AG162" i="5"/>
  <c r="AG168" i="5"/>
  <c r="AG186" i="5"/>
  <c r="AG173" i="5"/>
  <c r="AG187" i="5"/>
  <c r="AG102" i="5"/>
  <c r="AG195" i="5"/>
  <c r="AG163" i="5"/>
  <c r="AG88" i="5"/>
  <c r="AG112" i="5"/>
  <c r="AG118" i="5"/>
  <c r="AG133" i="5"/>
  <c r="AG141" i="5"/>
  <c r="AG159" i="5"/>
  <c r="AG197" i="5"/>
  <c r="AG180" i="5"/>
  <c r="AG129" i="5"/>
  <c r="AG95" i="5"/>
  <c r="AG137" i="5"/>
  <c r="AG91" i="5"/>
  <c r="AG182" i="5"/>
  <c r="AG123" i="5"/>
  <c r="AG203" i="5"/>
  <c r="AG126" i="5"/>
  <c r="AG201" i="5"/>
  <c r="AG94" i="5"/>
  <c r="AG174" i="5"/>
  <c r="AG202" i="5"/>
  <c r="AG151" i="5"/>
  <c r="AG153" i="5"/>
  <c r="AG90" i="5"/>
  <c r="AG188" i="5"/>
  <c r="AG113" i="5"/>
  <c r="AG190" i="5"/>
  <c r="AG172" i="5"/>
  <c r="AG103" i="5"/>
  <c r="AG101" i="5"/>
  <c r="AG157" i="5"/>
  <c r="AG134" i="5"/>
  <c r="AG124" i="5"/>
  <c r="AG142" i="5"/>
  <c r="AG196" i="5"/>
  <c r="AG98" i="5"/>
  <c r="AG92" i="5"/>
  <c r="AG160" i="5"/>
  <c r="AG107" i="5"/>
  <c r="AG189" i="5"/>
  <c r="AG132" i="5"/>
  <c r="AG199" i="5"/>
  <c r="AG156" i="5"/>
  <c r="AG175" i="5"/>
  <c r="AG93" i="5"/>
  <c r="AG138" i="5"/>
  <c r="AG89" i="5"/>
  <c r="AG83" i="5"/>
  <c r="AG136" i="5"/>
  <c r="AG139" i="5"/>
  <c r="AG115" i="5"/>
  <c r="AG128" i="5"/>
  <c r="AG120" i="5"/>
  <c r="AG117" i="5"/>
  <c r="AG147" i="5"/>
  <c r="AG161" i="5"/>
  <c r="AG121" i="5"/>
  <c r="AG97" i="5"/>
  <c r="AG193" i="5"/>
  <c r="AG127" i="5"/>
  <c r="AG185" i="5"/>
  <c r="AG140" i="5"/>
  <c r="AG96" i="5"/>
  <c r="AG205" i="5"/>
  <c r="AG146" i="5"/>
  <c r="AG109" i="5"/>
  <c r="AG184" i="5"/>
  <c r="AG72" i="5"/>
  <c r="AG80" i="5"/>
  <c r="AG70" i="5"/>
  <c r="AG63" i="5"/>
  <c r="AG65" i="5"/>
  <c r="AG61" i="5"/>
  <c r="AG68" i="5"/>
  <c r="AG73" i="5"/>
  <c r="AG74" i="5"/>
  <c r="AG59" i="5"/>
  <c r="AG62" i="5"/>
  <c r="AG75" i="5"/>
  <c r="AG82" i="5"/>
  <c r="AG64" i="5"/>
  <c r="AG79" i="5"/>
  <c r="AG71" i="5"/>
  <c r="AG76" i="5"/>
  <c r="AG77" i="5"/>
  <c r="AG78" i="5"/>
  <c r="AG69" i="5"/>
  <c r="AG67" i="5"/>
  <c r="AG66" i="5"/>
  <c r="AG60" i="5"/>
  <c r="AG81" i="5"/>
  <c r="AG13" i="5"/>
  <c r="AG54" i="5"/>
  <c r="AG47" i="5"/>
  <c r="AG14" i="5"/>
  <c r="AG56" i="5"/>
  <c r="AG49" i="5"/>
  <c r="AG48" i="5"/>
  <c r="AG55" i="5"/>
  <c r="AG12" i="5"/>
  <c r="AG51" i="5"/>
  <c r="AG57" i="5"/>
  <c r="AG52" i="5"/>
  <c r="AG53" i="5"/>
  <c r="AG58" i="5"/>
  <c r="F17" i="14" l="1"/>
  <c r="A4" i="15"/>
  <c r="C4" i="15"/>
  <c r="D4" i="15"/>
  <c r="E4" i="15"/>
  <c r="G4" i="15"/>
  <c r="I4" i="15"/>
  <c r="J4" i="15"/>
  <c r="A5" i="15"/>
  <c r="C5" i="15"/>
  <c r="D5" i="15"/>
  <c r="E5" i="15"/>
  <c r="G5" i="15"/>
  <c r="I5" i="15"/>
  <c r="J5" i="15"/>
  <c r="A6" i="15"/>
  <c r="C6" i="15"/>
  <c r="D6" i="15"/>
  <c r="E6" i="15"/>
  <c r="G6" i="15"/>
  <c r="I6" i="15"/>
  <c r="J6" i="15"/>
  <c r="A7" i="15"/>
  <c r="C7" i="15"/>
  <c r="D7" i="15"/>
  <c r="E7" i="15"/>
  <c r="G7" i="15"/>
  <c r="I7" i="15"/>
  <c r="J7" i="15"/>
  <c r="A8" i="15"/>
  <c r="C8" i="15"/>
  <c r="D8" i="15"/>
  <c r="E8" i="15"/>
  <c r="G8" i="15"/>
  <c r="I8" i="15"/>
  <c r="J8" i="15"/>
  <c r="A9" i="15"/>
  <c r="C9" i="15"/>
  <c r="D9" i="15"/>
  <c r="E9" i="15"/>
  <c r="G9" i="15"/>
  <c r="I9" i="15"/>
  <c r="J9" i="15"/>
  <c r="A10" i="15"/>
  <c r="C10" i="15"/>
  <c r="D10" i="15"/>
  <c r="E10" i="15"/>
  <c r="G10" i="15"/>
  <c r="I10" i="15"/>
  <c r="J10" i="15"/>
  <c r="A11" i="15"/>
  <c r="C11" i="15"/>
  <c r="D11" i="15"/>
  <c r="E11" i="15"/>
  <c r="G11" i="15"/>
  <c r="I11" i="15"/>
  <c r="J11" i="15"/>
  <c r="A12" i="15"/>
  <c r="C12" i="15"/>
  <c r="D12" i="15"/>
  <c r="E12" i="15"/>
  <c r="G12" i="15"/>
  <c r="I12" i="15"/>
  <c r="J12" i="15"/>
  <c r="A13" i="15"/>
  <c r="C13" i="15"/>
  <c r="D13" i="15"/>
  <c r="E13" i="15"/>
  <c r="G13" i="15"/>
  <c r="I13" i="15"/>
  <c r="J13" i="15"/>
  <c r="A14" i="15"/>
  <c r="C14" i="15"/>
  <c r="D14" i="15"/>
  <c r="E14" i="15"/>
  <c r="G14" i="15"/>
  <c r="I14" i="15"/>
  <c r="J14" i="15"/>
  <c r="A15" i="15"/>
  <c r="C15" i="15"/>
  <c r="D15" i="15"/>
  <c r="E15" i="15"/>
  <c r="G15" i="15"/>
  <c r="I15" i="15"/>
  <c r="J15" i="15"/>
  <c r="A16" i="15"/>
  <c r="C16" i="15"/>
  <c r="D16" i="15"/>
  <c r="E16" i="15"/>
  <c r="G16" i="15"/>
  <c r="I16" i="15"/>
  <c r="J16" i="15"/>
  <c r="A17" i="15"/>
  <c r="C17" i="15"/>
  <c r="D17" i="15"/>
  <c r="E17" i="15"/>
  <c r="G17" i="15"/>
  <c r="I17" i="15"/>
  <c r="J17" i="15"/>
  <c r="A18" i="15"/>
  <c r="C18" i="15"/>
  <c r="D18" i="15"/>
  <c r="E18" i="15"/>
  <c r="G18" i="15"/>
  <c r="I18" i="15"/>
  <c r="J18" i="15"/>
  <c r="A19" i="15"/>
  <c r="C19" i="15"/>
  <c r="D19" i="15"/>
  <c r="E19" i="15"/>
  <c r="G19" i="15"/>
  <c r="I19" i="15"/>
  <c r="J19" i="15"/>
  <c r="A20" i="15"/>
  <c r="C20" i="15"/>
  <c r="D20" i="15"/>
  <c r="E20" i="15"/>
  <c r="G20" i="15"/>
  <c r="I20" i="15"/>
  <c r="J20" i="15"/>
  <c r="A21" i="15"/>
  <c r="C21" i="15"/>
  <c r="D21" i="15"/>
  <c r="E21" i="15"/>
  <c r="G21" i="15"/>
  <c r="I21" i="15"/>
  <c r="J21" i="15"/>
  <c r="A22" i="15"/>
  <c r="C22" i="15"/>
  <c r="D22" i="15"/>
  <c r="E22" i="15"/>
  <c r="G22" i="15"/>
  <c r="I22" i="15"/>
  <c r="J22" i="15"/>
  <c r="A23" i="15"/>
  <c r="C23" i="15"/>
  <c r="D23" i="15"/>
  <c r="E23" i="15"/>
  <c r="G23" i="15"/>
  <c r="I23" i="15"/>
  <c r="J23" i="15"/>
  <c r="A24" i="15"/>
  <c r="C24" i="15"/>
  <c r="D24" i="15"/>
  <c r="E24" i="15"/>
  <c r="G24" i="15"/>
  <c r="I24" i="15"/>
  <c r="J24" i="15"/>
  <c r="A25" i="15"/>
  <c r="C25" i="15"/>
  <c r="D25" i="15"/>
  <c r="E25" i="15"/>
  <c r="G25" i="15"/>
  <c r="I25" i="15"/>
  <c r="J25" i="15"/>
  <c r="A26" i="15"/>
  <c r="C26" i="15"/>
  <c r="D26" i="15"/>
  <c r="E26" i="15"/>
  <c r="G26" i="15"/>
  <c r="I26" i="15"/>
  <c r="J26" i="15"/>
  <c r="A27" i="15"/>
  <c r="C27" i="15"/>
  <c r="D27" i="15"/>
  <c r="E27" i="15"/>
  <c r="G27" i="15"/>
  <c r="I27" i="15"/>
  <c r="J27" i="15"/>
  <c r="A28" i="15"/>
  <c r="C28" i="15"/>
  <c r="D28" i="15"/>
  <c r="E28" i="15"/>
  <c r="G28" i="15"/>
  <c r="I28" i="15"/>
  <c r="J28" i="15"/>
  <c r="A29" i="15"/>
  <c r="C29" i="15"/>
  <c r="D29" i="15"/>
  <c r="E29" i="15"/>
  <c r="G29" i="15"/>
  <c r="I29" i="15"/>
  <c r="J29" i="15"/>
  <c r="A30" i="15"/>
  <c r="C30" i="15"/>
  <c r="D30" i="15"/>
  <c r="E30" i="15"/>
  <c r="G30" i="15"/>
  <c r="I30" i="15"/>
  <c r="J30" i="15"/>
  <c r="A31" i="15"/>
  <c r="C31" i="15"/>
  <c r="D31" i="15"/>
  <c r="E31" i="15"/>
  <c r="G31" i="15"/>
  <c r="I31" i="15"/>
  <c r="J31" i="15"/>
  <c r="A32" i="15"/>
  <c r="C32" i="15"/>
  <c r="D32" i="15"/>
  <c r="E32" i="15"/>
  <c r="G32" i="15"/>
  <c r="I32" i="15"/>
  <c r="J32" i="15"/>
  <c r="A33" i="15"/>
  <c r="C33" i="15"/>
  <c r="D33" i="15"/>
  <c r="E33" i="15"/>
  <c r="G33" i="15"/>
  <c r="I33" i="15"/>
  <c r="J33" i="15"/>
  <c r="A34" i="15"/>
  <c r="C34" i="15"/>
  <c r="D34" i="15"/>
  <c r="E34" i="15"/>
  <c r="G34" i="15"/>
  <c r="I34" i="15"/>
  <c r="J34" i="15"/>
  <c r="A35" i="15"/>
  <c r="C35" i="15"/>
  <c r="D35" i="15"/>
  <c r="E35" i="15"/>
  <c r="G35" i="15"/>
  <c r="I35" i="15"/>
  <c r="J35" i="15"/>
  <c r="A36" i="15"/>
  <c r="C36" i="15"/>
  <c r="D36" i="15"/>
  <c r="E36" i="15"/>
  <c r="G36" i="15"/>
  <c r="I36" i="15"/>
  <c r="J36" i="15"/>
  <c r="A37" i="15"/>
  <c r="C37" i="15"/>
  <c r="D37" i="15"/>
  <c r="E37" i="15"/>
  <c r="G37" i="15"/>
  <c r="I37" i="15"/>
  <c r="J37" i="15"/>
  <c r="A38" i="15"/>
  <c r="C38" i="15"/>
  <c r="D38" i="15"/>
  <c r="E38" i="15"/>
  <c r="G38" i="15"/>
  <c r="I38" i="15"/>
  <c r="J38" i="15"/>
  <c r="A39" i="15"/>
  <c r="C39" i="15"/>
  <c r="D39" i="15"/>
  <c r="E39" i="15"/>
  <c r="G39" i="15"/>
  <c r="I39" i="15"/>
  <c r="J39" i="15"/>
  <c r="A40" i="15"/>
  <c r="C40" i="15"/>
  <c r="D40" i="15"/>
  <c r="E40" i="15"/>
  <c r="G40" i="15"/>
  <c r="I40" i="15"/>
  <c r="J40" i="15"/>
  <c r="A41" i="15"/>
  <c r="C41" i="15"/>
  <c r="D41" i="15"/>
  <c r="E41" i="15"/>
  <c r="G41" i="15"/>
  <c r="I41" i="15"/>
  <c r="J41" i="15"/>
  <c r="A42" i="15"/>
  <c r="C42" i="15"/>
  <c r="D42" i="15"/>
  <c r="E42" i="15"/>
  <c r="G42" i="15"/>
  <c r="I42" i="15"/>
  <c r="J42" i="15"/>
  <c r="A43" i="15"/>
  <c r="C43" i="15"/>
  <c r="D43" i="15"/>
  <c r="E43" i="15"/>
  <c r="G43" i="15"/>
  <c r="I43" i="15"/>
  <c r="J43" i="15"/>
  <c r="A44" i="15"/>
  <c r="C44" i="15"/>
  <c r="D44" i="15"/>
  <c r="E44" i="15"/>
  <c r="G44" i="15"/>
  <c r="I44" i="15"/>
  <c r="J44" i="15"/>
  <c r="A45" i="15"/>
  <c r="C45" i="15"/>
  <c r="D45" i="15"/>
  <c r="E45" i="15"/>
  <c r="G45" i="15"/>
  <c r="I45" i="15"/>
  <c r="J45" i="15"/>
  <c r="A46" i="15"/>
  <c r="C46" i="15"/>
  <c r="D46" i="15"/>
  <c r="E46" i="15"/>
  <c r="G46" i="15"/>
  <c r="I46" i="15"/>
  <c r="J46" i="15"/>
  <c r="A47" i="15"/>
  <c r="C47" i="15"/>
  <c r="D47" i="15"/>
  <c r="E47" i="15"/>
  <c r="G47" i="15"/>
  <c r="I47" i="15"/>
  <c r="J47" i="15"/>
  <c r="A48" i="15"/>
  <c r="C48" i="15"/>
  <c r="D48" i="15"/>
  <c r="E48" i="15"/>
  <c r="G48" i="15"/>
  <c r="I48" i="15"/>
  <c r="J48" i="15"/>
  <c r="A49" i="15"/>
  <c r="C49" i="15"/>
  <c r="D49" i="15"/>
  <c r="E49" i="15"/>
  <c r="G49" i="15"/>
  <c r="I49" i="15"/>
  <c r="J49" i="15"/>
  <c r="A50" i="15"/>
  <c r="C50" i="15"/>
  <c r="D50" i="15"/>
  <c r="E50" i="15"/>
  <c r="G50" i="15"/>
  <c r="I50" i="15"/>
  <c r="J50" i="15"/>
  <c r="A51" i="15"/>
  <c r="C51" i="15"/>
  <c r="D51" i="15"/>
  <c r="E51" i="15"/>
  <c r="G51" i="15"/>
  <c r="I51" i="15"/>
  <c r="J51" i="15"/>
  <c r="A52" i="15"/>
  <c r="C52" i="15"/>
  <c r="D52" i="15"/>
  <c r="E52" i="15"/>
  <c r="G52" i="15"/>
  <c r="I52" i="15"/>
  <c r="J52" i="15"/>
  <c r="A53" i="15"/>
  <c r="C53" i="15"/>
  <c r="D53" i="15"/>
  <c r="E53" i="15"/>
  <c r="G53" i="15"/>
  <c r="I53" i="15"/>
  <c r="J53" i="15"/>
  <c r="A54" i="15"/>
  <c r="C54" i="15"/>
  <c r="D54" i="15"/>
  <c r="E54" i="15"/>
  <c r="G54" i="15"/>
  <c r="I54" i="15"/>
  <c r="J54" i="15"/>
  <c r="A55" i="15"/>
  <c r="C55" i="15"/>
  <c r="D55" i="15"/>
  <c r="E55" i="15"/>
  <c r="G55" i="15"/>
  <c r="I55" i="15"/>
  <c r="J55" i="15"/>
  <c r="A56" i="15"/>
  <c r="C56" i="15"/>
  <c r="D56" i="15"/>
  <c r="E56" i="15"/>
  <c r="G56" i="15"/>
  <c r="I56" i="15"/>
  <c r="J56" i="15"/>
  <c r="A57" i="15"/>
  <c r="C57" i="15"/>
  <c r="D57" i="15"/>
  <c r="E57" i="15"/>
  <c r="G57" i="15"/>
  <c r="I57" i="15"/>
  <c r="J57" i="15"/>
  <c r="A58" i="15"/>
  <c r="C58" i="15"/>
  <c r="D58" i="15"/>
  <c r="E58" i="15"/>
  <c r="G58" i="15"/>
  <c r="I58" i="15"/>
  <c r="J58" i="15"/>
  <c r="A59" i="15"/>
  <c r="C59" i="15"/>
  <c r="D59" i="15"/>
  <c r="E59" i="15"/>
  <c r="G59" i="15"/>
  <c r="I59" i="15"/>
  <c r="J59" i="15"/>
  <c r="A60" i="15"/>
  <c r="C60" i="15"/>
  <c r="D60" i="15"/>
  <c r="E60" i="15"/>
  <c r="G60" i="15"/>
  <c r="I60" i="15"/>
  <c r="J60" i="15"/>
  <c r="A61" i="15"/>
  <c r="C61" i="15"/>
  <c r="D61" i="15"/>
  <c r="E61" i="15"/>
  <c r="G61" i="15"/>
  <c r="I61" i="15"/>
  <c r="J61" i="15"/>
  <c r="A62" i="15"/>
  <c r="C62" i="15"/>
  <c r="D62" i="15"/>
  <c r="E62" i="15"/>
  <c r="G62" i="15"/>
  <c r="I62" i="15"/>
  <c r="J62" i="15"/>
  <c r="A63" i="15"/>
  <c r="C63" i="15"/>
  <c r="D63" i="15"/>
  <c r="E63" i="15"/>
  <c r="G63" i="15"/>
  <c r="I63" i="15"/>
  <c r="J63" i="15"/>
  <c r="A64" i="15"/>
  <c r="C64" i="15"/>
  <c r="D64" i="15"/>
  <c r="E64" i="15"/>
  <c r="G64" i="15"/>
  <c r="I64" i="15"/>
  <c r="J64" i="15"/>
  <c r="A65" i="15"/>
  <c r="C65" i="15"/>
  <c r="D65" i="15"/>
  <c r="E65" i="15"/>
  <c r="G65" i="15"/>
  <c r="I65" i="15"/>
  <c r="J65" i="15"/>
  <c r="A66" i="15"/>
  <c r="C66" i="15"/>
  <c r="D66" i="15"/>
  <c r="E66" i="15"/>
  <c r="G66" i="15"/>
  <c r="I66" i="15"/>
  <c r="J66" i="15"/>
  <c r="A67" i="15"/>
  <c r="C67" i="15"/>
  <c r="D67" i="15"/>
  <c r="E67" i="15"/>
  <c r="G67" i="15"/>
  <c r="I67" i="15"/>
  <c r="J67" i="15"/>
  <c r="A68" i="15"/>
  <c r="C68" i="15"/>
  <c r="D68" i="15"/>
  <c r="E68" i="15"/>
  <c r="G68" i="15"/>
  <c r="I68" i="15"/>
  <c r="J68" i="15"/>
  <c r="A69" i="15"/>
  <c r="C69" i="15"/>
  <c r="D69" i="15"/>
  <c r="E69" i="15"/>
  <c r="G69" i="15"/>
  <c r="I69" i="15"/>
  <c r="J69" i="15"/>
  <c r="A70" i="15"/>
  <c r="C70" i="15"/>
  <c r="D70" i="15"/>
  <c r="E70" i="15"/>
  <c r="G70" i="15"/>
  <c r="I70" i="15"/>
  <c r="J70" i="15"/>
  <c r="A71" i="15"/>
  <c r="C71" i="15"/>
  <c r="D71" i="15"/>
  <c r="E71" i="15"/>
  <c r="G71" i="15"/>
  <c r="I71" i="15"/>
  <c r="J71" i="15"/>
  <c r="A72" i="15"/>
  <c r="C72" i="15"/>
  <c r="D72" i="15"/>
  <c r="E72" i="15"/>
  <c r="G72" i="15"/>
  <c r="I72" i="15"/>
  <c r="J72" i="15"/>
  <c r="A73" i="15"/>
  <c r="C73" i="15"/>
  <c r="D73" i="15"/>
  <c r="E73" i="15"/>
  <c r="G73" i="15"/>
  <c r="I73" i="15"/>
  <c r="J73" i="15"/>
  <c r="A74" i="15"/>
  <c r="C74" i="15"/>
  <c r="D74" i="15"/>
  <c r="E74" i="15"/>
  <c r="G74" i="15"/>
  <c r="I74" i="15"/>
  <c r="J74" i="15"/>
  <c r="A75" i="15"/>
  <c r="C75" i="15"/>
  <c r="D75" i="15"/>
  <c r="E75" i="15"/>
  <c r="G75" i="15"/>
  <c r="I75" i="15"/>
  <c r="J75" i="15"/>
  <c r="A76" i="15"/>
  <c r="C76" i="15"/>
  <c r="D76" i="15"/>
  <c r="E76" i="15"/>
  <c r="G76" i="15"/>
  <c r="I76" i="15"/>
  <c r="J76" i="15"/>
  <c r="A77" i="15"/>
  <c r="C77" i="15"/>
  <c r="D77" i="15"/>
  <c r="E77" i="15"/>
  <c r="G77" i="15"/>
  <c r="I77" i="15"/>
  <c r="J77" i="15"/>
  <c r="A78" i="15"/>
  <c r="C78" i="15"/>
  <c r="D78" i="15"/>
  <c r="E78" i="15"/>
  <c r="G78" i="15"/>
  <c r="I78" i="15"/>
  <c r="J78" i="15"/>
  <c r="A79" i="15"/>
  <c r="C79" i="15"/>
  <c r="D79" i="15"/>
  <c r="E79" i="15"/>
  <c r="G79" i="15"/>
  <c r="I79" i="15"/>
  <c r="J79" i="15"/>
  <c r="A80" i="15"/>
  <c r="C80" i="15"/>
  <c r="D80" i="15"/>
  <c r="E80" i="15"/>
  <c r="G80" i="15"/>
  <c r="I80" i="15"/>
  <c r="J80" i="15"/>
  <c r="A81" i="15"/>
  <c r="C81" i="15"/>
  <c r="D81" i="15"/>
  <c r="E81" i="15"/>
  <c r="G81" i="15"/>
  <c r="I81" i="15"/>
  <c r="J81" i="15"/>
  <c r="A82" i="15"/>
  <c r="C82" i="15"/>
  <c r="D82" i="15"/>
  <c r="E82" i="15"/>
  <c r="G82" i="15"/>
  <c r="I82" i="15"/>
  <c r="J82" i="15"/>
  <c r="A83" i="15"/>
  <c r="C83" i="15"/>
  <c r="D83" i="15"/>
  <c r="E83" i="15"/>
  <c r="G83" i="15"/>
  <c r="I83" i="15"/>
  <c r="J83" i="15"/>
  <c r="A84" i="15"/>
  <c r="C84" i="15"/>
  <c r="D84" i="15"/>
  <c r="E84" i="15"/>
  <c r="G84" i="15"/>
  <c r="I84" i="15"/>
  <c r="J84" i="15"/>
  <c r="A85" i="15"/>
  <c r="C85" i="15"/>
  <c r="D85" i="15"/>
  <c r="E85" i="15"/>
  <c r="G85" i="15"/>
  <c r="I85" i="15"/>
  <c r="J85" i="15"/>
  <c r="A86" i="15"/>
  <c r="C86" i="15"/>
  <c r="D86" i="15"/>
  <c r="E86" i="15"/>
  <c r="G86" i="15"/>
  <c r="I86" i="15"/>
  <c r="J86" i="15"/>
  <c r="A87" i="15"/>
  <c r="C87" i="15"/>
  <c r="D87" i="15"/>
  <c r="E87" i="15"/>
  <c r="G87" i="15"/>
  <c r="I87" i="15"/>
  <c r="J87" i="15"/>
  <c r="A88" i="15"/>
  <c r="C88" i="15"/>
  <c r="D88" i="15"/>
  <c r="E88" i="15"/>
  <c r="G88" i="15"/>
  <c r="I88" i="15"/>
  <c r="J88" i="15"/>
  <c r="A89" i="15"/>
  <c r="C89" i="15"/>
  <c r="D89" i="15"/>
  <c r="E89" i="15"/>
  <c r="G89" i="15"/>
  <c r="I89" i="15"/>
  <c r="J89" i="15"/>
  <c r="A90" i="15"/>
  <c r="C90" i="15"/>
  <c r="D90" i="15"/>
  <c r="E90" i="15"/>
  <c r="G90" i="15"/>
  <c r="I90" i="15"/>
  <c r="J90" i="15"/>
  <c r="A91" i="15"/>
  <c r="C91" i="15"/>
  <c r="D91" i="15"/>
  <c r="E91" i="15"/>
  <c r="G91" i="15"/>
  <c r="I91" i="15"/>
  <c r="J91" i="15"/>
  <c r="A92" i="15"/>
  <c r="C92" i="15"/>
  <c r="D92" i="15"/>
  <c r="E92" i="15"/>
  <c r="G92" i="15"/>
  <c r="I92" i="15"/>
  <c r="J92" i="15"/>
  <c r="A93" i="15"/>
  <c r="C93" i="15"/>
  <c r="D93" i="15"/>
  <c r="E93" i="15"/>
  <c r="G93" i="15"/>
  <c r="I93" i="15"/>
  <c r="J93" i="15"/>
  <c r="A94" i="15"/>
  <c r="C94" i="15"/>
  <c r="D94" i="15"/>
  <c r="E94" i="15"/>
  <c r="G94" i="15"/>
  <c r="I94" i="15"/>
  <c r="J94" i="15"/>
  <c r="A95" i="15"/>
  <c r="C95" i="15"/>
  <c r="D95" i="15"/>
  <c r="E95" i="15"/>
  <c r="G95" i="15"/>
  <c r="I95" i="15"/>
  <c r="J95" i="15"/>
  <c r="A96" i="15"/>
  <c r="C96" i="15"/>
  <c r="D96" i="15"/>
  <c r="E96" i="15"/>
  <c r="G96" i="15"/>
  <c r="I96" i="15"/>
  <c r="J96" i="15"/>
  <c r="A97" i="15"/>
  <c r="C97" i="15"/>
  <c r="D97" i="15"/>
  <c r="E97" i="15"/>
  <c r="G97" i="15"/>
  <c r="I97" i="15"/>
  <c r="J97" i="15"/>
  <c r="A98" i="15"/>
  <c r="C98" i="15"/>
  <c r="D98" i="15"/>
  <c r="E98" i="15"/>
  <c r="G98" i="15"/>
  <c r="I98" i="15"/>
  <c r="J98" i="15"/>
  <c r="A99" i="15"/>
  <c r="C99" i="15"/>
  <c r="D99" i="15"/>
  <c r="E99" i="15"/>
  <c r="G99" i="15"/>
  <c r="I99" i="15"/>
  <c r="J99" i="15"/>
  <c r="A100" i="15"/>
  <c r="C100" i="15"/>
  <c r="D100" i="15"/>
  <c r="E100" i="15"/>
  <c r="G100" i="15"/>
  <c r="I100" i="15"/>
  <c r="J100" i="15"/>
  <c r="A101" i="15"/>
  <c r="C101" i="15"/>
  <c r="D101" i="15"/>
  <c r="E101" i="15"/>
  <c r="G101" i="15"/>
  <c r="I101" i="15"/>
  <c r="J101" i="15"/>
  <c r="A102" i="15"/>
  <c r="C102" i="15"/>
  <c r="D102" i="15"/>
  <c r="E102" i="15"/>
  <c r="G102" i="15"/>
  <c r="I102" i="15"/>
  <c r="J102" i="15"/>
  <c r="A103" i="15"/>
  <c r="C103" i="15"/>
  <c r="D103" i="15"/>
  <c r="E103" i="15"/>
  <c r="G103" i="15"/>
  <c r="I103" i="15"/>
  <c r="J103" i="15"/>
  <c r="A104" i="15"/>
  <c r="C104" i="15"/>
  <c r="D104" i="15"/>
  <c r="E104" i="15"/>
  <c r="G104" i="15"/>
  <c r="I104" i="15"/>
  <c r="J104" i="15"/>
  <c r="A105" i="15"/>
  <c r="C105" i="15"/>
  <c r="D105" i="15"/>
  <c r="E105" i="15"/>
  <c r="G105" i="15"/>
  <c r="I105" i="15"/>
  <c r="J105" i="15"/>
  <c r="A106" i="15"/>
  <c r="C106" i="15"/>
  <c r="D106" i="15"/>
  <c r="E106" i="15"/>
  <c r="G106" i="15"/>
  <c r="I106" i="15"/>
  <c r="J106" i="15"/>
  <c r="A107" i="15"/>
  <c r="C107" i="15"/>
  <c r="D107" i="15"/>
  <c r="E107" i="15"/>
  <c r="G107" i="15"/>
  <c r="I107" i="15"/>
  <c r="J107" i="15"/>
  <c r="A108" i="15"/>
  <c r="C108" i="15"/>
  <c r="D108" i="15"/>
  <c r="E108" i="15"/>
  <c r="G108" i="15"/>
  <c r="I108" i="15"/>
  <c r="J108" i="15"/>
  <c r="A109" i="15"/>
  <c r="C109" i="15"/>
  <c r="D109" i="15"/>
  <c r="E109" i="15"/>
  <c r="G109" i="15"/>
  <c r="I109" i="15"/>
  <c r="J109" i="15"/>
  <c r="A110" i="15"/>
  <c r="C110" i="15"/>
  <c r="D110" i="15"/>
  <c r="E110" i="15"/>
  <c r="G110" i="15"/>
  <c r="I110" i="15"/>
  <c r="J110" i="15"/>
  <c r="A111" i="15"/>
  <c r="C111" i="15"/>
  <c r="D111" i="15"/>
  <c r="E111" i="15"/>
  <c r="G111" i="15"/>
  <c r="I111" i="15"/>
  <c r="J111" i="15"/>
  <c r="A112" i="15"/>
  <c r="C112" i="15"/>
  <c r="D112" i="15"/>
  <c r="E112" i="15"/>
  <c r="G112" i="15"/>
  <c r="I112" i="15"/>
  <c r="J112" i="15"/>
  <c r="A113" i="15"/>
  <c r="C113" i="15"/>
  <c r="D113" i="15"/>
  <c r="E113" i="15"/>
  <c r="G113" i="15"/>
  <c r="I113" i="15"/>
  <c r="J113" i="15"/>
  <c r="A114" i="15"/>
  <c r="C114" i="15"/>
  <c r="D114" i="15"/>
  <c r="E114" i="15"/>
  <c r="G114" i="15"/>
  <c r="I114" i="15"/>
  <c r="J114" i="15"/>
  <c r="A115" i="15"/>
  <c r="C115" i="15"/>
  <c r="D115" i="15"/>
  <c r="E115" i="15"/>
  <c r="G115" i="15"/>
  <c r="I115" i="15"/>
  <c r="J115" i="15"/>
  <c r="A116" i="15"/>
  <c r="C116" i="15"/>
  <c r="D116" i="15"/>
  <c r="E116" i="15"/>
  <c r="G116" i="15"/>
  <c r="I116" i="15"/>
  <c r="J116" i="15"/>
  <c r="A117" i="15"/>
  <c r="C117" i="15"/>
  <c r="D117" i="15"/>
  <c r="E117" i="15"/>
  <c r="G117" i="15"/>
  <c r="I117" i="15"/>
  <c r="J117" i="15"/>
  <c r="A118" i="15"/>
  <c r="C118" i="15"/>
  <c r="D118" i="15"/>
  <c r="E118" i="15"/>
  <c r="G118" i="15"/>
  <c r="I118" i="15"/>
  <c r="J118" i="15"/>
  <c r="A119" i="15"/>
  <c r="C119" i="15"/>
  <c r="D119" i="15"/>
  <c r="E119" i="15"/>
  <c r="G119" i="15"/>
  <c r="I119" i="15"/>
  <c r="J119" i="15"/>
  <c r="A120" i="15"/>
  <c r="C120" i="15"/>
  <c r="D120" i="15"/>
  <c r="E120" i="15"/>
  <c r="G120" i="15"/>
  <c r="I120" i="15"/>
  <c r="J120" i="15"/>
  <c r="A121" i="15"/>
  <c r="C121" i="15"/>
  <c r="D121" i="15"/>
  <c r="E121" i="15"/>
  <c r="G121" i="15"/>
  <c r="I121" i="15"/>
  <c r="J121" i="15"/>
  <c r="A122" i="15"/>
  <c r="C122" i="15"/>
  <c r="D122" i="15"/>
  <c r="E122" i="15"/>
  <c r="G122" i="15"/>
  <c r="I122" i="15"/>
  <c r="J122" i="15"/>
  <c r="A123" i="15"/>
  <c r="C123" i="15"/>
  <c r="D123" i="15"/>
  <c r="E123" i="15"/>
  <c r="G123" i="15"/>
  <c r="I123" i="15"/>
  <c r="J123" i="15"/>
  <c r="A124" i="15"/>
  <c r="C124" i="15"/>
  <c r="D124" i="15"/>
  <c r="E124" i="15"/>
  <c r="G124" i="15"/>
  <c r="I124" i="15"/>
  <c r="J124" i="15"/>
  <c r="A125" i="15"/>
  <c r="C125" i="15"/>
  <c r="D125" i="15"/>
  <c r="E125" i="15"/>
  <c r="G125" i="15"/>
  <c r="I125" i="15"/>
  <c r="J125" i="15"/>
  <c r="A126" i="15"/>
  <c r="C126" i="15"/>
  <c r="D126" i="15"/>
  <c r="E126" i="15"/>
  <c r="G126" i="15"/>
  <c r="I126" i="15"/>
  <c r="J126" i="15"/>
  <c r="A127" i="15"/>
  <c r="C127" i="15"/>
  <c r="D127" i="15"/>
  <c r="E127" i="15"/>
  <c r="G127" i="15"/>
  <c r="I127" i="15"/>
  <c r="J127" i="15"/>
  <c r="A128" i="15"/>
  <c r="C128" i="15"/>
  <c r="D128" i="15"/>
  <c r="E128" i="15"/>
  <c r="G128" i="15"/>
  <c r="I128" i="15"/>
  <c r="J128" i="15"/>
  <c r="A129" i="15"/>
  <c r="C129" i="15"/>
  <c r="D129" i="15"/>
  <c r="E129" i="15"/>
  <c r="G129" i="15"/>
  <c r="I129" i="15"/>
  <c r="J129" i="15"/>
  <c r="A130" i="15"/>
  <c r="C130" i="15"/>
  <c r="D130" i="15"/>
  <c r="E130" i="15"/>
  <c r="G130" i="15"/>
  <c r="I130" i="15"/>
  <c r="J130" i="15"/>
  <c r="A131" i="15"/>
  <c r="C131" i="15"/>
  <c r="D131" i="15"/>
  <c r="E131" i="15"/>
  <c r="G131" i="15"/>
  <c r="I131" i="15"/>
  <c r="J131" i="15"/>
  <c r="A132" i="15"/>
  <c r="C132" i="15"/>
  <c r="D132" i="15"/>
  <c r="E132" i="15"/>
  <c r="G132" i="15"/>
  <c r="I132" i="15"/>
  <c r="J132" i="15"/>
  <c r="A133" i="15"/>
  <c r="C133" i="15"/>
  <c r="D133" i="15"/>
  <c r="E133" i="15"/>
  <c r="G133" i="15"/>
  <c r="I133" i="15"/>
  <c r="J133" i="15"/>
  <c r="A134" i="15"/>
  <c r="C134" i="15"/>
  <c r="D134" i="15"/>
  <c r="E134" i="15"/>
  <c r="G134" i="15"/>
  <c r="I134" i="15"/>
  <c r="J134" i="15"/>
  <c r="A135" i="15"/>
  <c r="C135" i="15"/>
  <c r="D135" i="15"/>
  <c r="E135" i="15"/>
  <c r="G135" i="15"/>
  <c r="I135" i="15"/>
  <c r="J135" i="15"/>
  <c r="A136" i="15"/>
  <c r="C136" i="15"/>
  <c r="D136" i="15"/>
  <c r="E136" i="15"/>
  <c r="G136" i="15"/>
  <c r="I136" i="15"/>
  <c r="J136" i="15"/>
  <c r="A137" i="15"/>
  <c r="C137" i="15"/>
  <c r="D137" i="15"/>
  <c r="E137" i="15"/>
  <c r="G137" i="15"/>
  <c r="I137" i="15"/>
  <c r="J137" i="15"/>
  <c r="A138" i="15"/>
  <c r="C138" i="15"/>
  <c r="D138" i="15"/>
  <c r="E138" i="15"/>
  <c r="G138" i="15"/>
  <c r="I138" i="15"/>
  <c r="J138" i="15"/>
  <c r="A139" i="15"/>
  <c r="C139" i="15"/>
  <c r="D139" i="15"/>
  <c r="E139" i="15"/>
  <c r="G139" i="15"/>
  <c r="I139" i="15"/>
  <c r="J139" i="15"/>
  <c r="A140" i="15"/>
  <c r="C140" i="15"/>
  <c r="D140" i="15"/>
  <c r="E140" i="15"/>
  <c r="G140" i="15"/>
  <c r="I140" i="15"/>
  <c r="J140" i="15"/>
  <c r="A141" i="15"/>
  <c r="C141" i="15"/>
  <c r="D141" i="15"/>
  <c r="E141" i="15"/>
  <c r="G141" i="15"/>
  <c r="I141" i="15"/>
  <c r="J141" i="15"/>
  <c r="A142" i="15"/>
  <c r="C142" i="15"/>
  <c r="D142" i="15"/>
  <c r="E142" i="15"/>
  <c r="G142" i="15"/>
  <c r="I142" i="15"/>
  <c r="J142" i="15"/>
  <c r="A143" i="15"/>
  <c r="C143" i="15"/>
  <c r="D143" i="15"/>
  <c r="E143" i="15"/>
  <c r="G143" i="15"/>
  <c r="I143" i="15"/>
  <c r="J143" i="15"/>
  <c r="A144" i="15"/>
  <c r="C144" i="15"/>
  <c r="D144" i="15"/>
  <c r="E144" i="15"/>
  <c r="G144" i="15"/>
  <c r="I144" i="15"/>
  <c r="J144" i="15"/>
  <c r="A145" i="15"/>
  <c r="C145" i="15"/>
  <c r="D145" i="15"/>
  <c r="E145" i="15"/>
  <c r="G145" i="15"/>
  <c r="I145" i="15"/>
  <c r="J145" i="15"/>
  <c r="A146" i="15"/>
  <c r="C146" i="15"/>
  <c r="D146" i="15"/>
  <c r="E146" i="15"/>
  <c r="G146" i="15"/>
  <c r="I146" i="15"/>
  <c r="J146" i="15"/>
  <c r="A147" i="15"/>
  <c r="C147" i="15"/>
  <c r="D147" i="15"/>
  <c r="E147" i="15"/>
  <c r="G147" i="15"/>
  <c r="I147" i="15"/>
  <c r="J147" i="15"/>
  <c r="A148" i="15"/>
  <c r="C148" i="15"/>
  <c r="D148" i="15"/>
  <c r="E148" i="15"/>
  <c r="G148" i="15"/>
  <c r="I148" i="15"/>
  <c r="J148" i="15"/>
  <c r="A149" i="15"/>
  <c r="C149" i="15"/>
  <c r="D149" i="15"/>
  <c r="E149" i="15"/>
  <c r="G149" i="15"/>
  <c r="I149" i="15"/>
  <c r="J149" i="15"/>
  <c r="A150" i="15"/>
  <c r="C150" i="15"/>
  <c r="D150" i="15"/>
  <c r="E150" i="15"/>
  <c r="G150" i="15"/>
  <c r="I150" i="15"/>
  <c r="J150" i="15"/>
  <c r="A151" i="15"/>
  <c r="C151" i="15"/>
  <c r="D151" i="15"/>
  <c r="E151" i="15"/>
  <c r="G151" i="15"/>
  <c r="I151" i="15"/>
  <c r="J151" i="15"/>
  <c r="A152" i="15"/>
  <c r="C152" i="15"/>
  <c r="D152" i="15"/>
  <c r="E152" i="15"/>
  <c r="G152" i="15"/>
  <c r="I152" i="15"/>
  <c r="J152" i="15"/>
  <c r="A153" i="15"/>
  <c r="C153" i="15"/>
  <c r="D153" i="15"/>
  <c r="E153" i="15"/>
  <c r="G153" i="15"/>
  <c r="I153" i="15"/>
  <c r="J153" i="15"/>
  <c r="A154" i="15"/>
  <c r="C154" i="15"/>
  <c r="D154" i="15"/>
  <c r="E154" i="15"/>
  <c r="G154" i="15"/>
  <c r="I154" i="15"/>
  <c r="J154" i="15"/>
  <c r="A155" i="15"/>
  <c r="C155" i="15"/>
  <c r="D155" i="15"/>
  <c r="E155" i="15"/>
  <c r="G155" i="15"/>
  <c r="I155" i="15"/>
  <c r="J155" i="15"/>
  <c r="A156" i="15"/>
  <c r="C156" i="15"/>
  <c r="D156" i="15"/>
  <c r="E156" i="15"/>
  <c r="G156" i="15"/>
  <c r="I156" i="15"/>
  <c r="J156" i="15"/>
  <c r="A157" i="15"/>
  <c r="C157" i="15"/>
  <c r="D157" i="15"/>
  <c r="E157" i="15"/>
  <c r="G157" i="15"/>
  <c r="I157" i="15"/>
  <c r="J157" i="15"/>
  <c r="A158" i="15"/>
  <c r="C158" i="15"/>
  <c r="D158" i="15"/>
  <c r="E158" i="15"/>
  <c r="G158" i="15"/>
  <c r="I158" i="15"/>
  <c r="J158" i="15"/>
  <c r="A159" i="15"/>
  <c r="C159" i="15"/>
  <c r="D159" i="15"/>
  <c r="E159" i="15"/>
  <c r="G159" i="15"/>
  <c r="I159" i="15"/>
  <c r="J159" i="15"/>
  <c r="A160" i="15"/>
  <c r="C160" i="15"/>
  <c r="D160" i="15"/>
  <c r="E160" i="15"/>
  <c r="G160" i="15"/>
  <c r="I160" i="15"/>
  <c r="J160" i="15"/>
  <c r="A161" i="15"/>
  <c r="C161" i="15"/>
  <c r="D161" i="15"/>
  <c r="E161" i="15"/>
  <c r="G161" i="15"/>
  <c r="I161" i="15"/>
  <c r="J161" i="15"/>
  <c r="A162" i="15"/>
  <c r="C162" i="15"/>
  <c r="D162" i="15"/>
  <c r="E162" i="15"/>
  <c r="G162" i="15"/>
  <c r="I162" i="15"/>
  <c r="J162" i="15"/>
  <c r="A163" i="15"/>
  <c r="C163" i="15"/>
  <c r="D163" i="15"/>
  <c r="E163" i="15"/>
  <c r="G163" i="15"/>
  <c r="I163" i="15"/>
  <c r="J163" i="15"/>
  <c r="A164" i="15"/>
  <c r="C164" i="15"/>
  <c r="D164" i="15"/>
  <c r="E164" i="15"/>
  <c r="G164" i="15"/>
  <c r="I164" i="15"/>
  <c r="J164" i="15"/>
  <c r="A165" i="15"/>
  <c r="C165" i="15"/>
  <c r="D165" i="15"/>
  <c r="E165" i="15"/>
  <c r="G165" i="15"/>
  <c r="I165" i="15"/>
  <c r="J165" i="15"/>
  <c r="A166" i="15"/>
  <c r="C166" i="15"/>
  <c r="D166" i="15"/>
  <c r="E166" i="15"/>
  <c r="G166" i="15"/>
  <c r="I166" i="15"/>
  <c r="J166" i="15"/>
  <c r="A167" i="15"/>
  <c r="C167" i="15"/>
  <c r="D167" i="15"/>
  <c r="E167" i="15"/>
  <c r="G167" i="15"/>
  <c r="I167" i="15"/>
  <c r="J167" i="15"/>
  <c r="A168" i="15"/>
  <c r="C168" i="15"/>
  <c r="D168" i="15"/>
  <c r="E168" i="15"/>
  <c r="G168" i="15"/>
  <c r="I168" i="15"/>
  <c r="J168" i="15"/>
  <c r="A169" i="15"/>
  <c r="C169" i="15"/>
  <c r="D169" i="15"/>
  <c r="E169" i="15"/>
  <c r="G169" i="15"/>
  <c r="I169" i="15"/>
  <c r="J169" i="15"/>
  <c r="A170" i="15"/>
  <c r="C170" i="15"/>
  <c r="D170" i="15"/>
  <c r="E170" i="15"/>
  <c r="G170" i="15"/>
  <c r="I170" i="15"/>
  <c r="J170" i="15"/>
  <c r="A171" i="15"/>
  <c r="C171" i="15"/>
  <c r="D171" i="15"/>
  <c r="E171" i="15"/>
  <c r="G171" i="15"/>
  <c r="I171" i="15"/>
  <c r="J171" i="15"/>
  <c r="A172" i="15"/>
  <c r="C172" i="15"/>
  <c r="D172" i="15"/>
  <c r="E172" i="15"/>
  <c r="G172" i="15"/>
  <c r="I172" i="15"/>
  <c r="J172" i="15"/>
  <c r="A173" i="15"/>
  <c r="C173" i="15"/>
  <c r="D173" i="15"/>
  <c r="E173" i="15"/>
  <c r="G173" i="15"/>
  <c r="I173" i="15"/>
  <c r="J173" i="15"/>
  <c r="A174" i="15"/>
  <c r="C174" i="15"/>
  <c r="D174" i="15"/>
  <c r="E174" i="15"/>
  <c r="G174" i="15"/>
  <c r="I174" i="15"/>
  <c r="J174" i="15"/>
  <c r="A175" i="15"/>
  <c r="C175" i="15"/>
  <c r="D175" i="15"/>
  <c r="E175" i="15"/>
  <c r="G175" i="15"/>
  <c r="I175" i="15"/>
  <c r="J175" i="15"/>
  <c r="A176" i="15"/>
  <c r="C176" i="15"/>
  <c r="D176" i="15"/>
  <c r="E176" i="15"/>
  <c r="G176" i="15"/>
  <c r="I176" i="15"/>
  <c r="J176" i="15"/>
  <c r="A177" i="15"/>
  <c r="C177" i="15"/>
  <c r="D177" i="15"/>
  <c r="E177" i="15"/>
  <c r="G177" i="15"/>
  <c r="I177" i="15"/>
  <c r="J177" i="15"/>
  <c r="A178" i="15"/>
  <c r="C178" i="15"/>
  <c r="D178" i="15"/>
  <c r="E178" i="15"/>
  <c r="G178" i="15"/>
  <c r="I178" i="15"/>
  <c r="J178" i="15"/>
  <c r="A179" i="15"/>
  <c r="C179" i="15"/>
  <c r="D179" i="15"/>
  <c r="E179" i="15"/>
  <c r="G179" i="15"/>
  <c r="I179" i="15"/>
  <c r="J179" i="15"/>
  <c r="A180" i="15"/>
  <c r="C180" i="15"/>
  <c r="D180" i="15"/>
  <c r="E180" i="15"/>
  <c r="G180" i="15"/>
  <c r="I180" i="15"/>
  <c r="J180" i="15"/>
  <c r="A181" i="15"/>
  <c r="C181" i="15"/>
  <c r="D181" i="15"/>
  <c r="E181" i="15"/>
  <c r="G181" i="15"/>
  <c r="I181" i="15"/>
  <c r="J181" i="15"/>
  <c r="A182" i="15"/>
  <c r="C182" i="15"/>
  <c r="D182" i="15"/>
  <c r="E182" i="15"/>
  <c r="G182" i="15"/>
  <c r="I182" i="15"/>
  <c r="J182" i="15"/>
  <c r="A183" i="15"/>
  <c r="C183" i="15"/>
  <c r="D183" i="15"/>
  <c r="E183" i="15"/>
  <c r="G183" i="15"/>
  <c r="I183" i="15"/>
  <c r="J183" i="15"/>
  <c r="A184" i="15"/>
  <c r="C184" i="15"/>
  <c r="D184" i="15"/>
  <c r="E184" i="15"/>
  <c r="G184" i="15"/>
  <c r="I184" i="15"/>
  <c r="J184" i="15"/>
  <c r="A185" i="15"/>
  <c r="C185" i="15"/>
  <c r="D185" i="15"/>
  <c r="E185" i="15"/>
  <c r="G185" i="15"/>
  <c r="I185" i="15"/>
  <c r="J185" i="15"/>
  <c r="A186" i="15"/>
  <c r="C186" i="15"/>
  <c r="D186" i="15"/>
  <c r="E186" i="15"/>
  <c r="G186" i="15"/>
  <c r="I186" i="15"/>
  <c r="J186" i="15"/>
  <c r="A187" i="15"/>
  <c r="C187" i="15"/>
  <c r="D187" i="15"/>
  <c r="E187" i="15"/>
  <c r="G187" i="15"/>
  <c r="I187" i="15"/>
  <c r="J187" i="15"/>
  <c r="A188" i="15"/>
  <c r="C188" i="15"/>
  <c r="D188" i="15"/>
  <c r="E188" i="15"/>
  <c r="G188" i="15"/>
  <c r="I188" i="15"/>
  <c r="J188" i="15"/>
  <c r="A189" i="15"/>
  <c r="C189" i="15"/>
  <c r="D189" i="15"/>
  <c r="E189" i="15"/>
  <c r="G189" i="15"/>
  <c r="I189" i="15"/>
  <c r="J189" i="15"/>
  <c r="A190" i="15"/>
  <c r="C190" i="15"/>
  <c r="D190" i="15"/>
  <c r="E190" i="15"/>
  <c r="G190" i="15"/>
  <c r="I190" i="15"/>
  <c r="J190" i="15"/>
  <c r="A191" i="15"/>
  <c r="C191" i="15"/>
  <c r="D191" i="15"/>
  <c r="E191" i="15"/>
  <c r="G191" i="15"/>
  <c r="I191" i="15"/>
  <c r="J191" i="15"/>
  <c r="A192" i="15"/>
  <c r="C192" i="15"/>
  <c r="D192" i="15"/>
  <c r="E192" i="15"/>
  <c r="G192" i="15"/>
  <c r="I192" i="15"/>
  <c r="J192" i="15"/>
  <c r="A193" i="15"/>
  <c r="C193" i="15"/>
  <c r="D193" i="15"/>
  <c r="E193" i="15"/>
  <c r="G193" i="15"/>
  <c r="I193" i="15"/>
  <c r="J193" i="15"/>
  <c r="A194" i="15"/>
  <c r="C194" i="15"/>
  <c r="D194" i="15"/>
  <c r="E194" i="15"/>
  <c r="G194" i="15"/>
  <c r="I194" i="15"/>
  <c r="J194" i="15"/>
  <c r="A195" i="15"/>
  <c r="C195" i="15"/>
  <c r="D195" i="15"/>
  <c r="E195" i="15"/>
  <c r="G195" i="15"/>
  <c r="I195" i="15"/>
  <c r="J195" i="15"/>
  <c r="A196" i="15"/>
  <c r="C196" i="15"/>
  <c r="D196" i="15"/>
  <c r="E196" i="15"/>
  <c r="G196" i="15"/>
  <c r="I196" i="15"/>
  <c r="J196" i="15"/>
  <c r="A197" i="15"/>
  <c r="C197" i="15"/>
  <c r="D197" i="15"/>
  <c r="E197" i="15"/>
  <c r="G197" i="15"/>
  <c r="I197" i="15"/>
  <c r="J197" i="15"/>
  <c r="A198" i="15"/>
  <c r="C198" i="15"/>
  <c r="D198" i="15"/>
  <c r="E198" i="15"/>
  <c r="G198" i="15"/>
  <c r="I198" i="15"/>
  <c r="J198" i="15"/>
  <c r="A199" i="15"/>
  <c r="C199" i="15"/>
  <c r="D199" i="15"/>
  <c r="E199" i="15"/>
  <c r="G199" i="15"/>
  <c r="I199" i="15"/>
  <c r="J199" i="15"/>
  <c r="A200" i="15"/>
  <c r="C200" i="15"/>
  <c r="D200" i="15"/>
  <c r="E200" i="15"/>
  <c r="G200" i="15"/>
  <c r="I200" i="15"/>
  <c r="J200" i="15"/>
  <c r="A201" i="15"/>
  <c r="C201" i="15"/>
  <c r="D201" i="15"/>
  <c r="E201" i="15"/>
  <c r="G201" i="15"/>
  <c r="I201" i="15"/>
  <c r="J201" i="15"/>
  <c r="A202" i="15"/>
  <c r="C202" i="15"/>
  <c r="D202" i="15"/>
  <c r="E202" i="15"/>
  <c r="G202" i="15"/>
  <c r="I202" i="15"/>
  <c r="J202" i="15"/>
  <c r="A203" i="15"/>
  <c r="C203" i="15"/>
  <c r="D203" i="15"/>
  <c r="E203" i="15"/>
  <c r="G203" i="15"/>
  <c r="I203" i="15"/>
  <c r="J203" i="15"/>
  <c r="A204" i="15"/>
  <c r="C204" i="15"/>
  <c r="D204" i="15"/>
  <c r="E204" i="15"/>
  <c r="G204" i="15"/>
  <c r="I204" i="15"/>
  <c r="J204" i="15"/>
  <c r="A205" i="15"/>
  <c r="C205" i="15"/>
  <c r="D205" i="15"/>
  <c r="E205" i="15"/>
  <c r="G205" i="15"/>
  <c r="I205" i="15"/>
  <c r="J205" i="15"/>
  <c r="A206" i="15"/>
  <c r="C206" i="15"/>
  <c r="D206" i="15"/>
  <c r="E206" i="15"/>
  <c r="G206" i="15"/>
  <c r="I206" i="15"/>
  <c r="J206" i="15"/>
  <c r="A207" i="15"/>
  <c r="C207" i="15"/>
  <c r="D207" i="15"/>
  <c r="E207" i="15"/>
  <c r="G207" i="15"/>
  <c r="I207" i="15"/>
  <c r="J207" i="15"/>
  <c r="A208" i="15"/>
  <c r="C208" i="15"/>
  <c r="D208" i="15"/>
  <c r="E208" i="15"/>
  <c r="G208" i="15"/>
  <c r="I208" i="15"/>
  <c r="J208" i="15"/>
  <c r="A209" i="15"/>
  <c r="C209" i="15"/>
  <c r="D209" i="15"/>
  <c r="E209" i="15"/>
  <c r="G209" i="15"/>
  <c r="I209" i="15"/>
  <c r="J209" i="15"/>
  <c r="A210" i="15"/>
  <c r="C210" i="15"/>
  <c r="D210" i="15"/>
  <c r="E210" i="15"/>
  <c r="G210" i="15"/>
  <c r="I210" i="15"/>
  <c r="J210" i="15"/>
  <c r="A211" i="15"/>
  <c r="C211" i="15"/>
  <c r="D211" i="15"/>
  <c r="E211" i="15"/>
  <c r="G211" i="15"/>
  <c r="I211" i="15"/>
  <c r="J211" i="15"/>
  <c r="A212" i="15"/>
  <c r="C212" i="15"/>
  <c r="D212" i="15"/>
  <c r="E212" i="15"/>
  <c r="G212" i="15"/>
  <c r="I212" i="15"/>
  <c r="J212" i="15"/>
  <c r="A213" i="15"/>
  <c r="C213" i="15"/>
  <c r="D213" i="15"/>
  <c r="E213" i="15"/>
  <c r="G213" i="15"/>
  <c r="I213" i="15"/>
  <c r="J213" i="15"/>
  <c r="A214" i="15"/>
  <c r="C214" i="15"/>
  <c r="D214" i="15"/>
  <c r="E214" i="15"/>
  <c r="G214" i="15"/>
  <c r="I214" i="15"/>
  <c r="J214" i="15"/>
  <c r="A215" i="15"/>
  <c r="C215" i="15"/>
  <c r="D215" i="15"/>
  <c r="E215" i="15"/>
  <c r="G215" i="15"/>
  <c r="I215" i="15"/>
  <c r="J215" i="15"/>
  <c r="A216" i="15"/>
  <c r="C216" i="15"/>
  <c r="D216" i="15"/>
  <c r="E216" i="15"/>
  <c r="G216" i="15"/>
  <c r="I216" i="15"/>
  <c r="J216" i="15"/>
  <c r="A217" i="15"/>
  <c r="C217" i="15"/>
  <c r="D217" i="15"/>
  <c r="E217" i="15"/>
  <c r="G217" i="15"/>
  <c r="I217" i="15"/>
  <c r="J217" i="15"/>
  <c r="A218" i="15"/>
  <c r="C218" i="15"/>
  <c r="D218" i="15"/>
  <c r="E218" i="15"/>
  <c r="G218" i="15"/>
  <c r="I218" i="15"/>
  <c r="J218" i="15"/>
  <c r="A219" i="15"/>
  <c r="C219" i="15"/>
  <c r="D219" i="15"/>
  <c r="E219" i="15"/>
  <c r="G219" i="15"/>
  <c r="I219" i="15"/>
  <c r="J219" i="15"/>
  <c r="A220" i="15"/>
  <c r="C220" i="15"/>
  <c r="D220" i="15"/>
  <c r="E220" i="15"/>
  <c r="G220" i="15"/>
  <c r="I220" i="15"/>
  <c r="J220" i="15"/>
  <c r="A221" i="15"/>
  <c r="C221" i="15"/>
  <c r="D221" i="15"/>
  <c r="E221" i="15"/>
  <c r="G221" i="15"/>
  <c r="I221" i="15"/>
  <c r="J221" i="15"/>
  <c r="A222" i="15"/>
  <c r="C222" i="15"/>
  <c r="D222" i="15"/>
  <c r="E222" i="15"/>
  <c r="G222" i="15"/>
  <c r="I222" i="15"/>
  <c r="J222" i="15"/>
  <c r="A223" i="15"/>
  <c r="C223" i="15"/>
  <c r="D223" i="15"/>
  <c r="E223" i="15"/>
  <c r="G223" i="15"/>
  <c r="I223" i="15"/>
  <c r="J223" i="15"/>
  <c r="A224" i="15"/>
  <c r="C224" i="15"/>
  <c r="D224" i="15"/>
  <c r="E224" i="15"/>
  <c r="G224" i="15"/>
  <c r="I224" i="15"/>
  <c r="J224" i="15"/>
  <c r="A225" i="15"/>
  <c r="C225" i="15"/>
  <c r="D225" i="15"/>
  <c r="E225" i="15"/>
  <c r="G225" i="15"/>
  <c r="I225" i="15"/>
  <c r="J225" i="15"/>
  <c r="A226" i="15"/>
  <c r="C226" i="15"/>
  <c r="D226" i="15"/>
  <c r="E226" i="15"/>
  <c r="G226" i="15"/>
  <c r="I226" i="15"/>
  <c r="J226" i="15"/>
  <c r="A227" i="15"/>
  <c r="C227" i="15"/>
  <c r="D227" i="15"/>
  <c r="E227" i="15"/>
  <c r="G227" i="15"/>
  <c r="I227" i="15"/>
  <c r="J227" i="15"/>
  <c r="A228" i="15"/>
  <c r="C228" i="15"/>
  <c r="D228" i="15"/>
  <c r="E228" i="15"/>
  <c r="G228" i="15"/>
  <c r="I228" i="15"/>
  <c r="J228" i="15"/>
  <c r="A229" i="15"/>
  <c r="C229" i="15"/>
  <c r="D229" i="15"/>
  <c r="E229" i="15"/>
  <c r="G229" i="15"/>
  <c r="I229" i="15"/>
  <c r="J229" i="15"/>
  <c r="A230" i="15"/>
  <c r="C230" i="15"/>
  <c r="D230" i="15"/>
  <c r="E230" i="15"/>
  <c r="G230" i="15"/>
  <c r="I230" i="15"/>
  <c r="J230" i="15"/>
  <c r="A231" i="15"/>
  <c r="C231" i="15"/>
  <c r="D231" i="15"/>
  <c r="E231" i="15"/>
  <c r="G231" i="15"/>
  <c r="I231" i="15"/>
  <c r="J231" i="15"/>
  <c r="A232" i="15"/>
  <c r="C232" i="15"/>
  <c r="D232" i="15"/>
  <c r="E232" i="15"/>
  <c r="G232" i="15"/>
  <c r="I232" i="15"/>
  <c r="J232" i="15"/>
  <c r="A233" i="15"/>
  <c r="C233" i="15"/>
  <c r="D233" i="15"/>
  <c r="E233" i="15"/>
  <c r="G233" i="15"/>
  <c r="I233" i="15"/>
  <c r="J233" i="15"/>
  <c r="A234" i="15"/>
  <c r="C234" i="15"/>
  <c r="D234" i="15"/>
  <c r="E234" i="15"/>
  <c r="G234" i="15"/>
  <c r="I234" i="15"/>
  <c r="J234" i="15"/>
  <c r="A235" i="15"/>
  <c r="C235" i="15"/>
  <c r="D235" i="15"/>
  <c r="E235" i="15"/>
  <c r="G235" i="15"/>
  <c r="I235" i="15"/>
  <c r="J235" i="15"/>
  <c r="A236" i="15"/>
  <c r="C236" i="15"/>
  <c r="D236" i="15"/>
  <c r="E236" i="15"/>
  <c r="G236" i="15"/>
  <c r="I236" i="15"/>
  <c r="J236" i="15"/>
  <c r="A237" i="15"/>
  <c r="C237" i="15"/>
  <c r="D237" i="15"/>
  <c r="E237" i="15"/>
  <c r="G237" i="15"/>
  <c r="I237" i="15"/>
  <c r="J237" i="15"/>
  <c r="A238" i="15"/>
  <c r="C238" i="15"/>
  <c r="D238" i="15"/>
  <c r="E238" i="15"/>
  <c r="G238" i="15"/>
  <c r="I238" i="15"/>
  <c r="J238" i="15"/>
  <c r="A239" i="15"/>
  <c r="C239" i="15"/>
  <c r="D239" i="15"/>
  <c r="E239" i="15"/>
  <c r="G239" i="15"/>
  <c r="I239" i="15"/>
  <c r="J239" i="15"/>
  <c r="A240" i="15"/>
  <c r="C240" i="15"/>
  <c r="D240" i="15"/>
  <c r="E240" i="15"/>
  <c r="G240" i="15"/>
  <c r="I240" i="15"/>
  <c r="J240" i="15"/>
  <c r="A241" i="15"/>
  <c r="C241" i="15"/>
  <c r="D241" i="15"/>
  <c r="E241" i="15"/>
  <c r="G241" i="15"/>
  <c r="I241" i="15"/>
  <c r="J241" i="15"/>
  <c r="A242" i="15"/>
  <c r="C242" i="15"/>
  <c r="D242" i="15"/>
  <c r="E242" i="15"/>
  <c r="G242" i="15"/>
  <c r="I242" i="15"/>
  <c r="J242" i="15"/>
  <c r="A243" i="15"/>
  <c r="C243" i="15"/>
  <c r="D243" i="15"/>
  <c r="E243" i="15"/>
  <c r="G243" i="15"/>
  <c r="I243" i="15"/>
  <c r="J243" i="15"/>
  <c r="A244" i="15"/>
  <c r="C244" i="15"/>
  <c r="D244" i="15"/>
  <c r="E244" i="15"/>
  <c r="G244" i="15"/>
  <c r="I244" i="15"/>
  <c r="J244" i="15"/>
  <c r="A245" i="15"/>
  <c r="C245" i="15"/>
  <c r="D245" i="15"/>
  <c r="E245" i="15"/>
  <c r="G245" i="15"/>
  <c r="I245" i="15"/>
  <c r="J245" i="15"/>
  <c r="A246" i="15"/>
  <c r="C246" i="15"/>
  <c r="D246" i="15"/>
  <c r="E246" i="15"/>
  <c r="G246" i="15"/>
  <c r="I246" i="15"/>
  <c r="J246" i="15"/>
  <c r="A247" i="15"/>
  <c r="C247" i="15"/>
  <c r="D247" i="15"/>
  <c r="E247" i="15"/>
  <c r="G247" i="15"/>
  <c r="I247" i="15"/>
  <c r="J247" i="15"/>
  <c r="A248" i="15"/>
  <c r="C248" i="15"/>
  <c r="D248" i="15"/>
  <c r="E248" i="15"/>
  <c r="G248" i="15"/>
  <c r="I248" i="15"/>
  <c r="J248" i="15"/>
  <c r="A249" i="15"/>
  <c r="C249" i="15"/>
  <c r="D249" i="15"/>
  <c r="E249" i="15"/>
  <c r="G249" i="15"/>
  <c r="I249" i="15"/>
  <c r="J249" i="15"/>
  <c r="A250" i="15"/>
  <c r="C250" i="15"/>
  <c r="D250" i="15"/>
  <c r="E250" i="15"/>
  <c r="G250" i="15"/>
  <c r="I250" i="15"/>
  <c r="J250" i="15"/>
  <c r="A251" i="15"/>
  <c r="C251" i="15"/>
  <c r="D251" i="15"/>
  <c r="E251" i="15"/>
  <c r="G251" i="15"/>
  <c r="I251" i="15"/>
  <c r="J251" i="15"/>
  <c r="A252" i="15"/>
  <c r="C252" i="15"/>
  <c r="D252" i="15"/>
  <c r="E252" i="15"/>
  <c r="G252" i="15"/>
  <c r="I252" i="15"/>
  <c r="J252" i="15"/>
  <c r="A253" i="15"/>
  <c r="C253" i="15"/>
  <c r="D253" i="15"/>
  <c r="E253" i="15"/>
  <c r="G253" i="15"/>
  <c r="I253" i="15"/>
  <c r="J253" i="15"/>
  <c r="A254" i="15"/>
  <c r="C254" i="15"/>
  <c r="D254" i="15"/>
  <c r="E254" i="15"/>
  <c r="G254" i="15"/>
  <c r="I254" i="15"/>
  <c r="J254" i="15"/>
  <c r="A255" i="15"/>
  <c r="C255" i="15"/>
  <c r="D255" i="15"/>
  <c r="E255" i="15"/>
  <c r="G255" i="15"/>
  <c r="I255" i="15"/>
  <c r="J255" i="15"/>
  <c r="A256" i="15"/>
  <c r="C256" i="15"/>
  <c r="D256" i="15"/>
  <c r="E256" i="15"/>
  <c r="G256" i="15"/>
  <c r="I256" i="15"/>
  <c r="J256" i="15"/>
  <c r="A257" i="15"/>
  <c r="C257" i="15"/>
  <c r="D257" i="15"/>
  <c r="E257" i="15"/>
  <c r="G257" i="15"/>
  <c r="I257" i="15"/>
  <c r="J257" i="15"/>
  <c r="A258" i="15"/>
  <c r="C258" i="15"/>
  <c r="D258" i="15"/>
  <c r="E258" i="15"/>
  <c r="G258" i="15"/>
  <c r="I258" i="15"/>
  <c r="J258" i="15"/>
  <c r="A259" i="15"/>
  <c r="C259" i="15"/>
  <c r="D259" i="15"/>
  <c r="E259" i="15"/>
  <c r="G259" i="15"/>
  <c r="I259" i="15"/>
  <c r="J259" i="15"/>
  <c r="A260" i="15"/>
  <c r="C260" i="15"/>
  <c r="D260" i="15"/>
  <c r="E260" i="15"/>
  <c r="G260" i="15"/>
  <c r="I260" i="15"/>
  <c r="J260" i="15"/>
  <c r="A261" i="15"/>
  <c r="C261" i="15"/>
  <c r="D261" i="15"/>
  <c r="E261" i="15"/>
  <c r="G261" i="15"/>
  <c r="I261" i="15"/>
  <c r="J261" i="15"/>
  <c r="A262" i="15"/>
  <c r="C262" i="15"/>
  <c r="D262" i="15"/>
  <c r="E262" i="15"/>
  <c r="G262" i="15"/>
  <c r="I262" i="15"/>
  <c r="J262" i="15"/>
  <c r="A263" i="15"/>
  <c r="C263" i="15"/>
  <c r="D263" i="15"/>
  <c r="E263" i="15"/>
  <c r="G263" i="15"/>
  <c r="I263" i="15"/>
  <c r="J263" i="15"/>
  <c r="A264" i="15"/>
  <c r="C264" i="15"/>
  <c r="D264" i="15"/>
  <c r="E264" i="15"/>
  <c r="G264" i="15"/>
  <c r="I264" i="15"/>
  <c r="J264" i="15"/>
  <c r="A265" i="15"/>
  <c r="C265" i="15"/>
  <c r="D265" i="15"/>
  <c r="E265" i="15"/>
  <c r="G265" i="15"/>
  <c r="I265" i="15"/>
  <c r="J265" i="15"/>
  <c r="A266" i="15"/>
  <c r="C266" i="15"/>
  <c r="D266" i="15"/>
  <c r="E266" i="15"/>
  <c r="G266" i="15"/>
  <c r="I266" i="15"/>
  <c r="J266" i="15"/>
  <c r="A267" i="15"/>
  <c r="C267" i="15"/>
  <c r="D267" i="15"/>
  <c r="E267" i="15"/>
  <c r="G267" i="15"/>
  <c r="I267" i="15"/>
  <c r="J267" i="15"/>
  <c r="A268" i="15"/>
  <c r="C268" i="15"/>
  <c r="D268" i="15"/>
  <c r="E268" i="15"/>
  <c r="G268" i="15"/>
  <c r="I268" i="15"/>
  <c r="J268" i="15"/>
  <c r="A269" i="15"/>
  <c r="C269" i="15"/>
  <c r="D269" i="15"/>
  <c r="E269" i="15"/>
  <c r="G269" i="15"/>
  <c r="I269" i="15"/>
  <c r="J269" i="15"/>
  <c r="A270" i="15"/>
  <c r="C270" i="15"/>
  <c r="D270" i="15"/>
  <c r="E270" i="15"/>
  <c r="G270" i="15"/>
  <c r="I270" i="15"/>
  <c r="J270" i="15"/>
  <c r="A271" i="15"/>
  <c r="C271" i="15"/>
  <c r="D271" i="15"/>
  <c r="E271" i="15"/>
  <c r="G271" i="15"/>
  <c r="I271" i="15"/>
  <c r="J271" i="15"/>
  <c r="A272" i="15"/>
  <c r="C272" i="15"/>
  <c r="D272" i="15"/>
  <c r="E272" i="15"/>
  <c r="G272" i="15"/>
  <c r="I272" i="15"/>
  <c r="J272" i="15"/>
  <c r="A273" i="15"/>
  <c r="C273" i="15"/>
  <c r="D273" i="15"/>
  <c r="E273" i="15"/>
  <c r="G273" i="15"/>
  <c r="I273" i="15"/>
  <c r="J273" i="15"/>
  <c r="A274" i="15"/>
  <c r="C274" i="15"/>
  <c r="D274" i="15"/>
  <c r="E274" i="15"/>
  <c r="G274" i="15"/>
  <c r="I274" i="15"/>
  <c r="J274" i="15"/>
  <c r="A275" i="15"/>
  <c r="C275" i="15"/>
  <c r="D275" i="15"/>
  <c r="E275" i="15"/>
  <c r="G275" i="15"/>
  <c r="I275" i="15"/>
  <c r="J275" i="15"/>
  <c r="A276" i="15"/>
  <c r="C276" i="15"/>
  <c r="D276" i="15"/>
  <c r="E276" i="15"/>
  <c r="G276" i="15"/>
  <c r="I276" i="15"/>
  <c r="J276" i="15"/>
  <c r="A277" i="15"/>
  <c r="C277" i="15"/>
  <c r="D277" i="15"/>
  <c r="E277" i="15"/>
  <c r="G277" i="15"/>
  <c r="I277" i="15"/>
  <c r="J277" i="15"/>
  <c r="A278" i="15"/>
  <c r="C278" i="15"/>
  <c r="D278" i="15"/>
  <c r="E278" i="15"/>
  <c r="G278" i="15"/>
  <c r="I278" i="15"/>
  <c r="J278" i="15"/>
  <c r="A279" i="15"/>
  <c r="C279" i="15"/>
  <c r="D279" i="15"/>
  <c r="E279" i="15"/>
  <c r="G279" i="15"/>
  <c r="I279" i="15"/>
  <c r="J279" i="15"/>
  <c r="A280" i="15"/>
  <c r="C280" i="15"/>
  <c r="D280" i="15"/>
  <c r="E280" i="15"/>
  <c r="G280" i="15"/>
  <c r="I280" i="15"/>
  <c r="J280" i="15"/>
  <c r="A281" i="15"/>
  <c r="C281" i="15"/>
  <c r="D281" i="15"/>
  <c r="E281" i="15"/>
  <c r="G281" i="15"/>
  <c r="I281" i="15"/>
  <c r="J281" i="15"/>
  <c r="A282" i="15"/>
  <c r="C282" i="15"/>
  <c r="D282" i="15"/>
  <c r="E282" i="15"/>
  <c r="G282" i="15"/>
  <c r="I282" i="15"/>
  <c r="J282" i="15"/>
  <c r="A283" i="15"/>
  <c r="C283" i="15"/>
  <c r="D283" i="15"/>
  <c r="E283" i="15"/>
  <c r="G283" i="15"/>
  <c r="I283" i="15"/>
  <c r="J283" i="15"/>
  <c r="A284" i="15"/>
  <c r="C284" i="15"/>
  <c r="D284" i="15"/>
  <c r="E284" i="15"/>
  <c r="G284" i="15"/>
  <c r="I284" i="15"/>
  <c r="J284" i="15"/>
  <c r="A285" i="15"/>
  <c r="C285" i="15"/>
  <c r="D285" i="15"/>
  <c r="E285" i="15"/>
  <c r="G285" i="15"/>
  <c r="I285" i="15"/>
  <c r="J285" i="15"/>
  <c r="A286" i="15"/>
  <c r="C286" i="15"/>
  <c r="D286" i="15"/>
  <c r="E286" i="15"/>
  <c r="G286" i="15"/>
  <c r="I286" i="15"/>
  <c r="J286" i="15"/>
  <c r="A287" i="15"/>
  <c r="C287" i="15"/>
  <c r="D287" i="15"/>
  <c r="E287" i="15"/>
  <c r="G287" i="15"/>
  <c r="I287" i="15"/>
  <c r="J287" i="15"/>
  <c r="A288" i="15"/>
  <c r="C288" i="15"/>
  <c r="D288" i="15"/>
  <c r="E288" i="15"/>
  <c r="G288" i="15"/>
  <c r="I288" i="15"/>
  <c r="J288" i="15"/>
  <c r="A289" i="15"/>
  <c r="C289" i="15"/>
  <c r="D289" i="15"/>
  <c r="E289" i="15"/>
  <c r="G289" i="15"/>
  <c r="I289" i="15"/>
  <c r="J289" i="15"/>
  <c r="A290" i="15"/>
  <c r="C290" i="15"/>
  <c r="D290" i="15"/>
  <c r="E290" i="15"/>
  <c r="G290" i="15"/>
  <c r="I290" i="15"/>
  <c r="J290" i="15"/>
  <c r="A291" i="15"/>
  <c r="C291" i="15"/>
  <c r="D291" i="15"/>
  <c r="E291" i="15"/>
  <c r="G291" i="15"/>
  <c r="I291" i="15"/>
  <c r="J291" i="15"/>
  <c r="A292" i="15"/>
  <c r="C292" i="15"/>
  <c r="D292" i="15"/>
  <c r="E292" i="15"/>
  <c r="G292" i="15"/>
  <c r="I292" i="15"/>
  <c r="J292" i="15"/>
  <c r="A293" i="15"/>
  <c r="C293" i="15"/>
  <c r="D293" i="15"/>
  <c r="E293" i="15"/>
  <c r="G293" i="15"/>
  <c r="I293" i="15"/>
  <c r="J293" i="15"/>
  <c r="A294" i="15"/>
  <c r="C294" i="15"/>
  <c r="D294" i="15"/>
  <c r="E294" i="15"/>
  <c r="G294" i="15"/>
  <c r="I294" i="15"/>
  <c r="J294" i="15"/>
  <c r="A295" i="15"/>
  <c r="C295" i="15"/>
  <c r="D295" i="15"/>
  <c r="E295" i="15"/>
  <c r="G295" i="15"/>
  <c r="I295" i="15"/>
  <c r="J295" i="15"/>
  <c r="A296" i="15"/>
  <c r="C296" i="15"/>
  <c r="D296" i="15"/>
  <c r="E296" i="15"/>
  <c r="G296" i="15"/>
  <c r="I296" i="15"/>
  <c r="J296" i="15"/>
  <c r="A297" i="15"/>
  <c r="C297" i="15"/>
  <c r="D297" i="15"/>
  <c r="E297" i="15"/>
  <c r="G297" i="15"/>
  <c r="I297" i="15"/>
  <c r="J297" i="15"/>
  <c r="A298" i="15"/>
  <c r="C298" i="15"/>
  <c r="D298" i="15"/>
  <c r="E298" i="15"/>
  <c r="G298" i="15"/>
  <c r="I298" i="15"/>
  <c r="J298" i="15"/>
  <c r="A299" i="15"/>
  <c r="C299" i="15"/>
  <c r="D299" i="15"/>
  <c r="E299" i="15"/>
  <c r="G299" i="15"/>
  <c r="I299" i="15"/>
  <c r="J299" i="15"/>
  <c r="A300" i="15"/>
  <c r="C300" i="15"/>
  <c r="D300" i="15"/>
  <c r="E300" i="15"/>
  <c r="G300" i="15"/>
  <c r="I300" i="15"/>
  <c r="J300" i="15"/>
  <c r="A301" i="15"/>
  <c r="C301" i="15"/>
  <c r="D301" i="15"/>
  <c r="E301" i="15"/>
  <c r="G301" i="15"/>
  <c r="I301" i="15"/>
  <c r="J301" i="15"/>
  <c r="A302" i="15"/>
  <c r="C302" i="15"/>
  <c r="D302" i="15"/>
  <c r="E302" i="15"/>
  <c r="G302" i="15"/>
  <c r="I302" i="15"/>
  <c r="J302" i="15"/>
  <c r="A303" i="15"/>
  <c r="C303" i="15"/>
  <c r="D303" i="15"/>
  <c r="E303" i="15"/>
  <c r="G303" i="15"/>
  <c r="I303" i="15"/>
  <c r="J303" i="15"/>
  <c r="A304" i="15"/>
  <c r="C304" i="15"/>
  <c r="D304" i="15"/>
  <c r="E304" i="15"/>
  <c r="G304" i="15"/>
  <c r="I304" i="15"/>
  <c r="J304" i="15"/>
  <c r="A305" i="15"/>
  <c r="C305" i="15"/>
  <c r="D305" i="15"/>
  <c r="E305" i="15"/>
  <c r="G305" i="15"/>
  <c r="I305" i="15"/>
  <c r="J305" i="15"/>
  <c r="A306" i="15"/>
  <c r="C306" i="15"/>
  <c r="D306" i="15"/>
  <c r="E306" i="15"/>
  <c r="G306" i="15"/>
  <c r="I306" i="15"/>
  <c r="J306" i="15"/>
  <c r="A307" i="15"/>
  <c r="C307" i="15"/>
  <c r="D307" i="15"/>
  <c r="E307" i="15"/>
  <c r="G307" i="15"/>
  <c r="I307" i="15"/>
  <c r="J307" i="15"/>
  <c r="A308" i="15"/>
  <c r="C308" i="15"/>
  <c r="D308" i="15"/>
  <c r="E308" i="15"/>
  <c r="G308" i="15"/>
  <c r="I308" i="15"/>
  <c r="J308" i="15"/>
  <c r="A309" i="15"/>
  <c r="C309" i="15"/>
  <c r="D309" i="15"/>
  <c r="E309" i="15"/>
  <c r="G309" i="15"/>
  <c r="I309" i="15"/>
  <c r="J309" i="15"/>
  <c r="A310" i="15"/>
  <c r="C310" i="15"/>
  <c r="D310" i="15"/>
  <c r="E310" i="15"/>
  <c r="G310" i="15"/>
  <c r="I310" i="15"/>
  <c r="J310" i="15"/>
  <c r="A311" i="15"/>
  <c r="C311" i="15"/>
  <c r="D311" i="15"/>
  <c r="E311" i="15"/>
  <c r="G311" i="15"/>
  <c r="I311" i="15"/>
  <c r="J311" i="15"/>
  <c r="A312" i="15"/>
  <c r="C312" i="15"/>
  <c r="D312" i="15"/>
  <c r="E312" i="15"/>
  <c r="G312" i="15"/>
  <c r="I312" i="15"/>
  <c r="J312" i="15"/>
  <c r="A313" i="15"/>
  <c r="C313" i="15"/>
  <c r="D313" i="15"/>
  <c r="E313" i="15"/>
  <c r="G313" i="15"/>
  <c r="I313" i="15"/>
  <c r="J313" i="15"/>
  <c r="A314" i="15"/>
  <c r="C314" i="15"/>
  <c r="D314" i="15"/>
  <c r="E314" i="15"/>
  <c r="G314" i="15"/>
  <c r="I314" i="15"/>
  <c r="J314" i="15"/>
  <c r="A315" i="15"/>
  <c r="C315" i="15"/>
  <c r="D315" i="15"/>
  <c r="E315" i="15"/>
  <c r="G315" i="15"/>
  <c r="I315" i="15"/>
  <c r="J315" i="15"/>
  <c r="A316" i="15"/>
  <c r="C316" i="15"/>
  <c r="D316" i="15"/>
  <c r="E316" i="15"/>
  <c r="G316" i="15"/>
  <c r="I316" i="15"/>
  <c r="J316" i="15"/>
  <c r="A317" i="15"/>
  <c r="C317" i="15"/>
  <c r="D317" i="15"/>
  <c r="E317" i="15"/>
  <c r="G317" i="15"/>
  <c r="I317" i="15"/>
  <c r="J317" i="15"/>
  <c r="A318" i="15"/>
  <c r="C318" i="15"/>
  <c r="D318" i="15"/>
  <c r="E318" i="15"/>
  <c r="G318" i="15"/>
  <c r="I318" i="15"/>
  <c r="J318" i="15"/>
  <c r="A319" i="15"/>
  <c r="C319" i="15"/>
  <c r="D319" i="15"/>
  <c r="E319" i="15"/>
  <c r="G319" i="15"/>
  <c r="I319" i="15"/>
  <c r="J319" i="15"/>
  <c r="A320" i="15"/>
  <c r="C320" i="15"/>
  <c r="D320" i="15"/>
  <c r="E320" i="15"/>
  <c r="G320" i="15"/>
  <c r="I320" i="15"/>
  <c r="J320" i="15"/>
  <c r="A321" i="15"/>
  <c r="C321" i="15"/>
  <c r="D321" i="15"/>
  <c r="E321" i="15"/>
  <c r="G321" i="15"/>
  <c r="I321" i="15"/>
  <c r="J321" i="15"/>
  <c r="A322" i="15"/>
  <c r="C322" i="15"/>
  <c r="D322" i="15"/>
  <c r="E322" i="15"/>
  <c r="G322" i="15"/>
  <c r="I322" i="15"/>
  <c r="J322" i="15"/>
  <c r="A323" i="15"/>
  <c r="C323" i="15"/>
  <c r="D323" i="15"/>
  <c r="E323" i="15"/>
  <c r="G323" i="15"/>
  <c r="I323" i="15"/>
  <c r="J323" i="15"/>
  <c r="A324" i="15"/>
  <c r="C324" i="15"/>
  <c r="D324" i="15"/>
  <c r="E324" i="15"/>
  <c r="G324" i="15"/>
  <c r="I324" i="15"/>
  <c r="J324" i="15"/>
  <c r="A325" i="15"/>
  <c r="C325" i="15"/>
  <c r="D325" i="15"/>
  <c r="E325" i="15"/>
  <c r="G325" i="15"/>
  <c r="I325" i="15"/>
  <c r="J325" i="15"/>
  <c r="A326" i="15"/>
  <c r="C326" i="15"/>
  <c r="D326" i="15"/>
  <c r="E326" i="15"/>
  <c r="G326" i="15"/>
  <c r="I326" i="15"/>
  <c r="J326" i="15"/>
  <c r="A327" i="15"/>
  <c r="C327" i="15"/>
  <c r="D327" i="15"/>
  <c r="E327" i="15"/>
  <c r="G327" i="15"/>
  <c r="I327" i="15"/>
  <c r="J327" i="15"/>
  <c r="A328" i="15"/>
  <c r="C328" i="15"/>
  <c r="D328" i="15"/>
  <c r="E328" i="15"/>
  <c r="G328" i="15"/>
  <c r="I328" i="15"/>
  <c r="J328" i="15"/>
  <c r="A329" i="15"/>
  <c r="C329" i="15"/>
  <c r="D329" i="15"/>
  <c r="E329" i="15"/>
  <c r="G329" i="15"/>
  <c r="I329" i="15"/>
  <c r="J329" i="15"/>
  <c r="A330" i="15"/>
  <c r="C330" i="15"/>
  <c r="D330" i="15"/>
  <c r="E330" i="15"/>
  <c r="G330" i="15"/>
  <c r="I330" i="15"/>
  <c r="J330" i="15"/>
  <c r="A331" i="15"/>
  <c r="C331" i="15"/>
  <c r="D331" i="15"/>
  <c r="E331" i="15"/>
  <c r="G331" i="15"/>
  <c r="I331" i="15"/>
  <c r="J331" i="15"/>
  <c r="A332" i="15"/>
  <c r="C332" i="15"/>
  <c r="D332" i="15"/>
  <c r="E332" i="15"/>
  <c r="G332" i="15"/>
  <c r="I332" i="15"/>
  <c r="J332" i="15"/>
  <c r="A333" i="15"/>
  <c r="C333" i="15"/>
  <c r="D333" i="15"/>
  <c r="E333" i="15"/>
  <c r="G333" i="15"/>
  <c r="I333" i="15"/>
  <c r="J333" i="15"/>
  <c r="A334" i="15"/>
  <c r="C334" i="15"/>
  <c r="D334" i="15"/>
  <c r="E334" i="15"/>
  <c r="G334" i="15"/>
  <c r="I334" i="15"/>
  <c r="J334" i="15"/>
  <c r="A335" i="15"/>
  <c r="C335" i="15"/>
  <c r="D335" i="15"/>
  <c r="E335" i="15"/>
  <c r="G335" i="15"/>
  <c r="I335" i="15"/>
  <c r="J335" i="15"/>
  <c r="A336" i="15"/>
  <c r="C336" i="15"/>
  <c r="D336" i="15"/>
  <c r="E336" i="15"/>
  <c r="G336" i="15"/>
  <c r="I336" i="15"/>
  <c r="J336" i="15"/>
  <c r="A337" i="15"/>
  <c r="C337" i="15"/>
  <c r="D337" i="15"/>
  <c r="E337" i="15"/>
  <c r="G337" i="15"/>
  <c r="I337" i="15"/>
  <c r="J337" i="15"/>
  <c r="A338" i="15"/>
  <c r="C338" i="15"/>
  <c r="D338" i="15"/>
  <c r="E338" i="15"/>
  <c r="G338" i="15"/>
  <c r="I338" i="15"/>
  <c r="J338" i="15"/>
  <c r="A339" i="15"/>
  <c r="C339" i="15"/>
  <c r="D339" i="15"/>
  <c r="E339" i="15"/>
  <c r="G339" i="15"/>
  <c r="I339" i="15"/>
  <c r="J339" i="15"/>
  <c r="A340" i="15"/>
  <c r="C340" i="15"/>
  <c r="D340" i="15"/>
  <c r="E340" i="15"/>
  <c r="G340" i="15"/>
  <c r="I340" i="15"/>
  <c r="J340" i="15"/>
  <c r="A341" i="15"/>
  <c r="C341" i="15"/>
  <c r="D341" i="15"/>
  <c r="E341" i="15"/>
  <c r="G341" i="15"/>
  <c r="I341" i="15"/>
  <c r="J341" i="15"/>
  <c r="A342" i="15"/>
  <c r="C342" i="15"/>
  <c r="D342" i="15"/>
  <c r="E342" i="15"/>
  <c r="G342" i="15"/>
  <c r="I342" i="15"/>
  <c r="J342" i="15"/>
  <c r="A343" i="15"/>
  <c r="C343" i="15"/>
  <c r="D343" i="15"/>
  <c r="E343" i="15"/>
  <c r="G343" i="15"/>
  <c r="I343" i="15"/>
  <c r="J343" i="15"/>
  <c r="A344" i="15"/>
  <c r="C344" i="15"/>
  <c r="D344" i="15"/>
  <c r="E344" i="15"/>
  <c r="G344" i="15"/>
  <c r="I344" i="15"/>
  <c r="J344" i="15"/>
  <c r="A345" i="15"/>
  <c r="C345" i="15"/>
  <c r="D345" i="15"/>
  <c r="E345" i="15"/>
  <c r="G345" i="15"/>
  <c r="I345" i="15"/>
  <c r="J345" i="15"/>
  <c r="A346" i="15"/>
  <c r="C346" i="15"/>
  <c r="D346" i="15"/>
  <c r="E346" i="15"/>
  <c r="G346" i="15"/>
  <c r="I346" i="15"/>
  <c r="J346" i="15"/>
  <c r="A347" i="15"/>
  <c r="C347" i="15"/>
  <c r="D347" i="15"/>
  <c r="E347" i="15"/>
  <c r="G347" i="15"/>
  <c r="I347" i="15"/>
  <c r="J347" i="15"/>
  <c r="A348" i="15"/>
  <c r="C348" i="15"/>
  <c r="D348" i="15"/>
  <c r="E348" i="15"/>
  <c r="G348" i="15"/>
  <c r="I348" i="15"/>
  <c r="J348" i="15"/>
  <c r="A349" i="15"/>
  <c r="C349" i="15"/>
  <c r="D349" i="15"/>
  <c r="E349" i="15"/>
  <c r="G349" i="15"/>
  <c r="I349" i="15"/>
  <c r="J349" i="15"/>
  <c r="A350" i="15"/>
  <c r="C350" i="15"/>
  <c r="D350" i="15"/>
  <c r="E350" i="15"/>
  <c r="G350" i="15"/>
  <c r="I350" i="15"/>
  <c r="J350" i="15"/>
  <c r="A351" i="15"/>
  <c r="C351" i="15"/>
  <c r="D351" i="15"/>
  <c r="E351" i="15"/>
  <c r="G351" i="15"/>
  <c r="I351" i="15"/>
  <c r="J351" i="15"/>
  <c r="A352" i="15"/>
  <c r="C352" i="15"/>
  <c r="D352" i="15"/>
  <c r="E352" i="15"/>
  <c r="G352" i="15"/>
  <c r="I352" i="15"/>
  <c r="J352" i="15"/>
  <c r="A353" i="15"/>
  <c r="C353" i="15"/>
  <c r="D353" i="15"/>
  <c r="E353" i="15"/>
  <c r="G353" i="15"/>
  <c r="I353" i="15"/>
  <c r="J353" i="15"/>
  <c r="A354" i="15"/>
  <c r="C354" i="15"/>
  <c r="D354" i="15"/>
  <c r="E354" i="15"/>
  <c r="G354" i="15"/>
  <c r="I354" i="15"/>
  <c r="J354" i="15"/>
  <c r="A355" i="15"/>
  <c r="C355" i="15"/>
  <c r="D355" i="15"/>
  <c r="E355" i="15"/>
  <c r="G355" i="15"/>
  <c r="I355" i="15"/>
  <c r="J355" i="15"/>
  <c r="A356" i="15"/>
  <c r="C356" i="15"/>
  <c r="D356" i="15"/>
  <c r="E356" i="15"/>
  <c r="G356" i="15"/>
  <c r="I356" i="15"/>
  <c r="J356" i="15"/>
  <c r="A357" i="15"/>
  <c r="C357" i="15"/>
  <c r="D357" i="15"/>
  <c r="E357" i="15"/>
  <c r="G357" i="15"/>
  <c r="I357" i="15"/>
  <c r="J357" i="15"/>
  <c r="A358" i="15"/>
  <c r="C358" i="15"/>
  <c r="D358" i="15"/>
  <c r="E358" i="15"/>
  <c r="G358" i="15"/>
  <c r="I358" i="15"/>
  <c r="J358" i="15"/>
  <c r="A359" i="15"/>
  <c r="C359" i="15"/>
  <c r="D359" i="15"/>
  <c r="E359" i="15"/>
  <c r="G359" i="15"/>
  <c r="I359" i="15"/>
  <c r="J359" i="15"/>
  <c r="A360" i="15"/>
  <c r="C360" i="15"/>
  <c r="D360" i="15"/>
  <c r="E360" i="15"/>
  <c r="G360" i="15"/>
  <c r="I360" i="15"/>
  <c r="J360" i="15"/>
  <c r="A361" i="15"/>
  <c r="C361" i="15"/>
  <c r="D361" i="15"/>
  <c r="E361" i="15"/>
  <c r="G361" i="15"/>
  <c r="I361" i="15"/>
  <c r="J361" i="15"/>
  <c r="A362" i="15"/>
  <c r="C362" i="15"/>
  <c r="D362" i="15"/>
  <c r="E362" i="15"/>
  <c r="G362" i="15"/>
  <c r="I362" i="15"/>
  <c r="J362" i="15"/>
  <c r="A363" i="15"/>
  <c r="C363" i="15"/>
  <c r="D363" i="15"/>
  <c r="E363" i="15"/>
  <c r="G363" i="15"/>
  <c r="I363" i="15"/>
  <c r="J363" i="15"/>
  <c r="A364" i="15"/>
  <c r="C364" i="15"/>
  <c r="D364" i="15"/>
  <c r="E364" i="15"/>
  <c r="G364" i="15"/>
  <c r="I364" i="15"/>
  <c r="J364" i="15"/>
  <c r="A365" i="15"/>
  <c r="C365" i="15"/>
  <c r="D365" i="15"/>
  <c r="E365" i="15"/>
  <c r="G365" i="15"/>
  <c r="I365" i="15"/>
  <c r="J365" i="15"/>
  <c r="A366" i="15"/>
  <c r="C366" i="15"/>
  <c r="D366" i="15"/>
  <c r="E366" i="15"/>
  <c r="G366" i="15"/>
  <c r="I366" i="15"/>
  <c r="J366" i="15"/>
  <c r="A367" i="15"/>
  <c r="C367" i="15"/>
  <c r="D367" i="15"/>
  <c r="E367" i="15"/>
  <c r="G367" i="15"/>
  <c r="I367" i="15"/>
  <c r="J367" i="15"/>
  <c r="A368" i="15"/>
  <c r="C368" i="15"/>
  <c r="D368" i="15"/>
  <c r="E368" i="15"/>
  <c r="G368" i="15"/>
  <c r="I368" i="15"/>
  <c r="J368" i="15"/>
  <c r="A369" i="15"/>
  <c r="C369" i="15"/>
  <c r="D369" i="15"/>
  <c r="E369" i="15"/>
  <c r="G369" i="15"/>
  <c r="I369" i="15"/>
  <c r="J369" i="15"/>
  <c r="A370" i="15"/>
  <c r="C370" i="15"/>
  <c r="D370" i="15"/>
  <c r="E370" i="15"/>
  <c r="G370" i="15"/>
  <c r="I370" i="15"/>
  <c r="J370" i="15"/>
  <c r="A371" i="15"/>
  <c r="C371" i="15"/>
  <c r="D371" i="15"/>
  <c r="E371" i="15"/>
  <c r="G371" i="15"/>
  <c r="I371" i="15"/>
  <c r="J371" i="15"/>
  <c r="A372" i="15"/>
  <c r="C372" i="15"/>
  <c r="D372" i="15"/>
  <c r="E372" i="15"/>
  <c r="G372" i="15"/>
  <c r="I372" i="15"/>
  <c r="J372" i="15"/>
  <c r="A373" i="15"/>
  <c r="C373" i="15"/>
  <c r="D373" i="15"/>
  <c r="E373" i="15"/>
  <c r="G373" i="15"/>
  <c r="I373" i="15"/>
  <c r="J373" i="15"/>
  <c r="A374" i="15"/>
  <c r="C374" i="15"/>
  <c r="D374" i="15"/>
  <c r="E374" i="15"/>
  <c r="G374" i="15"/>
  <c r="I374" i="15"/>
  <c r="J374" i="15"/>
  <c r="A375" i="15"/>
  <c r="C375" i="15"/>
  <c r="D375" i="15"/>
  <c r="E375" i="15"/>
  <c r="G375" i="15"/>
  <c r="I375" i="15"/>
  <c r="J375" i="15"/>
  <c r="A376" i="15"/>
  <c r="C376" i="15"/>
  <c r="D376" i="15"/>
  <c r="E376" i="15"/>
  <c r="G376" i="15"/>
  <c r="I376" i="15"/>
  <c r="J376" i="15"/>
  <c r="A377" i="15"/>
  <c r="C377" i="15"/>
  <c r="D377" i="15"/>
  <c r="E377" i="15"/>
  <c r="G377" i="15"/>
  <c r="I377" i="15"/>
  <c r="J377" i="15"/>
  <c r="A378" i="15"/>
  <c r="C378" i="15"/>
  <c r="D378" i="15"/>
  <c r="E378" i="15"/>
  <c r="G378" i="15"/>
  <c r="I378" i="15"/>
  <c r="J378" i="15"/>
  <c r="A379" i="15"/>
  <c r="C379" i="15"/>
  <c r="D379" i="15"/>
  <c r="E379" i="15"/>
  <c r="G379" i="15"/>
  <c r="I379" i="15"/>
  <c r="J379" i="15"/>
  <c r="A380" i="15"/>
  <c r="C380" i="15"/>
  <c r="D380" i="15"/>
  <c r="E380" i="15"/>
  <c r="G380" i="15"/>
  <c r="I380" i="15"/>
  <c r="J380" i="15"/>
  <c r="A381" i="15"/>
  <c r="C381" i="15"/>
  <c r="D381" i="15"/>
  <c r="E381" i="15"/>
  <c r="G381" i="15"/>
  <c r="I381" i="15"/>
  <c r="J381" i="15"/>
  <c r="A382" i="15"/>
  <c r="C382" i="15"/>
  <c r="D382" i="15"/>
  <c r="E382" i="15"/>
  <c r="G382" i="15"/>
  <c r="I382" i="15"/>
  <c r="J382" i="15"/>
  <c r="A383" i="15"/>
  <c r="C383" i="15"/>
  <c r="D383" i="15"/>
  <c r="E383" i="15"/>
  <c r="G383" i="15"/>
  <c r="I383" i="15"/>
  <c r="J383" i="15"/>
  <c r="A384" i="15"/>
  <c r="C384" i="15"/>
  <c r="D384" i="15"/>
  <c r="E384" i="15"/>
  <c r="G384" i="15"/>
  <c r="I384" i="15"/>
  <c r="J384" i="15"/>
  <c r="A385" i="15"/>
  <c r="C385" i="15"/>
  <c r="D385" i="15"/>
  <c r="E385" i="15"/>
  <c r="G385" i="15"/>
  <c r="I385" i="15"/>
  <c r="J385" i="15"/>
  <c r="A3" i="15" l="1"/>
  <c r="A2" i="15"/>
  <c r="J3" i="15" l="1"/>
  <c r="I3" i="15"/>
  <c r="G3" i="15"/>
  <c r="E3" i="15"/>
  <c r="D3" i="15"/>
  <c r="C3" i="15"/>
  <c r="J2" i="15"/>
  <c r="I2" i="15"/>
  <c r="G2" i="15"/>
  <c r="E2" i="15"/>
  <c r="D2" i="15"/>
  <c r="C2" i="15"/>
  <c r="F32" i="13" l="1"/>
  <c r="E32" i="13"/>
  <c r="F21" i="13"/>
  <c r="E21" i="13"/>
  <c r="F10" i="13"/>
  <c r="E10" i="13"/>
  <c r="J6" i="13"/>
  <c r="I5" i="13"/>
  <c r="I4" i="13"/>
  <c r="I3" i="13"/>
  <c r="AR404" i="5" l="1"/>
  <c r="AR383" i="5"/>
  <c r="AR385" i="5"/>
  <c r="AF413" i="5"/>
  <c r="AR375" i="5"/>
  <c r="AR374" i="5"/>
  <c r="AR397" i="5"/>
  <c r="AR393" i="5"/>
  <c r="AR406" i="5"/>
  <c r="AR401" i="5"/>
  <c r="AF411" i="5"/>
  <c r="AR399" i="5"/>
  <c r="AF412" i="5"/>
  <c r="AR396" i="5"/>
  <c r="AR402" i="5"/>
  <c r="AR405" i="5"/>
  <c r="AR380" i="5"/>
  <c r="AR384" i="5"/>
  <c r="AR386" i="5"/>
  <c r="AF414" i="5"/>
  <c r="AR414" i="5" s="1"/>
  <c r="AR403" i="5" l="1"/>
  <c r="AR379" i="5"/>
  <c r="H350" i="15" s="1"/>
  <c r="AR413" i="5"/>
  <c r="H384" i="15" s="1"/>
  <c r="AR390" i="5"/>
  <c r="AR410" i="5"/>
  <c r="AR376" i="5"/>
  <c r="H347" i="15" s="1"/>
  <c r="AR391" i="5"/>
  <c r="AR411" i="5"/>
  <c r="AR372" i="5"/>
  <c r="H343" i="15" s="1"/>
  <c r="AR378" i="5"/>
  <c r="H349" i="15" s="1"/>
  <c r="AR388" i="5"/>
  <c r="AR408" i="5"/>
  <c r="AR389" i="5"/>
  <c r="AR409" i="5"/>
  <c r="AR400" i="5"/>
  <c r="AR394" i="5"/>
  <c r="AR373" i="5"/>
  <c r="H344" i="15" s="1"/>
  <c r="AR395" i="5"/>
  <c r="AR387" i="5"/>
  <c r="AR381" i="5"/>
  <c r="H352" i="15" s="1"/>
  <c r="AR377" i="5"/>
  <c r="H348" i="15" s="1"/>
  <c r="H385" i="15"/>
  <c r="AR398" i="5"/>
  <c r="AR412" i="5"/>
  <c r="AR392" i="5"/>
  <c r="AR407" i="5"/>
  <c r="AR382" i="5"/>
  <c r="H353" i="15" s="1"/>
  <c r="H295" i="15"/>
  <c r="H294" i="15"/>
  <c r="H314" i="15"/>
  <c r="H342" i="15"/>
  <c r="H4" i="15"/>
  <c r="H10" i="15"/>
  <c r="H20" i="15"/>
  <c r="H18" i="15"/>
  <c r="H17" i="15"/>
  <c r="H30" i="15"/>
  <c r="H68" i="15"/>
  <c r="H41" i="15"/>
  <c r="H57" i="15"/>
  <c r="H65" i="15"/>
  <c r="H84" i="15"/>
  <c r="H136" i="15"/>
  <c r="H81" i="15"/>
  <c r="H77" i="15"/>
  <c r="H124" i="15"/>
  <c r="H127" i="15"/>
  <c r="H102" i="15"/>
  <c r="H122" i="15"/>
  <c r="H128" i="15"/>
  <c r="H134" i="15"/>
  <c r="H129" i="15"/>
  <c r="H85" i="15"/>
  <c r="H158" i="15"/>
  <c r="H175" i="15"/>
  <c r="H192" i="15"/>
  <c r="H193" i="15"/>
  <c r="H273" i="15"/>
  <c r="H260" i="15"/>
  <c r="H284" i="15"/>
  <c r="H357" i="15"/>
  <c r="H376" i="15"/>
  <c r="H370" i="15"/>
  <c r="H161" i="15"/>
  <c r="H219" i="15"/>
  <c r="H233" i="15"/>
  <c r="H243" i="15"/>
  <c r="H267" i="15"/>
  <c r="H265" i="15"/>
  <c r="H12" i="15"/>
  <c r="H221" i="15"/>
  <c r="H257" i="15"/>
  <c r="H280" i="15"/>
  <c r="H39" i="15"/>
  <c r="H110" i="15"/>
  <c r="H198" i="15"/>
  <c r="H282" i="15"/>
  <c r="H364" i="15"/>
  <c r="H27" i="15"/>
  <c r="H92" i="15"/>
  <c r="H278" i="15"/>
  <c r="H247" i="15"/>
  <c r="H345" i="15"/>
  <c r="H117" i="15"/>
  <c r="H176" i="15"/>
  <c r="H180" i="15"/>
  <c r="H185" i="15"/>
  <c r="H217" i="15"/>
  <c r="H144" i="15"/>
  <c r="H152" i="15"/>
  <c r="H164" i="15"/>
  <c r="H210" i="15"/>
  <c r="H271" i="15"/>
  <c r="H290" i="15"/>
  <c r="H320" i="15"/>
  <c r="H300" i="15"/>
  <c r="H188" i="15"/>
  <c r="H186" i="15"/>
  <c r="H190" i="15"/>
  <c r="H199" i="15"/>
  <c r="H326" i="15"/>
  <c r="H317" i="15"/>
  <c r="H303" i="15"/>
  <c r="H331" i="15"/>
  <c r="H315" i="15"/>
  <c r="H329" i="15"/>
  <c r="H58" i="15"/>
  <c r="H195" i="15"/>
  <c r="H44" i="15"/>
  <c r="H181" i="15"/>
  <c r="H94" i="15"/>
  <c r="H14" i="15"/>
  <c r="H132" i="15"/>
  <c r="H157" i="15"/>
  <c r="H244" i="15"/>
  <c r="H375" i="15"/>
  <c r="H51" i="15"/>
  <c r="H296" i="15"/>
  <c r="H293" i="15"/>
  <c r="H298" i="15"/>
  <c r="H22" i="15"/>
  <c r="H11" i="15"/>
  <c r="H26" i="15"/>
  <c r="H9" i="15"/>
  <c r="H16" i="15"/>
  <c r="H21" i="15"/>
  <c r="H66" i="15"/>
  <c r="H40" i="15"/>
  <c r="H55" i="15"/>
  <c r="H73" i="15"/>
  <c r="H125" i="15"/>
  <c r="H107" i="15"/>
  <c r="H80" i="15"/>
  <c r="H70" i="15"/>
  <c r="H72" i="15"/>
  <c r="H143" i="15"/>
  <c r="H100" i="15"/>
  <c r="H105" i="15"/>
  <c r="H96" i="15"/>
  <c r="H75" i="15"/>
  <c r="H88" i="15"/>
  <c r="H133" i="15"/>
  <c r="H174" i="15"/>
  <c r="H197" i="15"/>
  <c r="H151" i="15"/>
  <c r="H202" i="15"/>
  <c r="H252" i="15"/>
  <c r="H281" i="15"/>
  <c r="H321" i="15"/>
  <c r="H355" i="15"/>
  <c r="H373" i="15"/>
  <c r="H106" i="15"/>
  <c r="H149" i="15"/>
  <c r="H138" i="15"/>
  <c r="H108" i="15"/>
  <c r="H249" i="15"/>
  <c r="H240" i="15"/>
  <c r="H269" i="15"/>
  <c r="H35" i="15"/>
  <c r="H162" i="15"/>
  <c r="H250" i="15"/>
  <c r="H254" i="15"/>
  <c r="H37" i="15"/>
  <c r="H79" i="15"/>
  <c r="H146" i="15"/>
  <c r="H368" i="15"/>
  <c r="H42" i="15"/>
  <c r="H218" i="15"/>
  <c r="H251" i="15"/>
  <c r="H277" i="15"/>
  <c r="H308" i="15"/>
  <c r="H87" i="15"/>
  <c r="H93" i="15"/>
  <c r="H200" i="15"/>
  <c r="H226" i="15"/>
  <c r="H222" i="15"/>
  <c r="H184" i="15"/>
  <c r="H205" i="15"/>
  <c r="H187" i="15"/>
  <c r="H163" i="15"/>
  <c r="H194" i="15"/>
  <c r="H239" i="15"/>
  <c r="H283" i="15"/>
  <c r="H339" i="15"/>
  <c r="H333" i="15"/>
  <c r="H189" i="15"/>
  <c r="H211" i="15"/>
  <c r="H204" i="15"/>
  <c r="H203" i="15"/>
  <c r="H310" i="15"/>
  <c r="H318" i="15"/>
  <c r="H313" i="15"/>
  <c r="H316" i="15"/>
  <c r="H302" i="15"/>
  <c r="H63" i="15"/>
  <c r="H177" i="15"/>
  <c r="H356" i="15"/>
  <c r="H99" i="15"/>
  <c r="H191" i="15"/>
  <c r="H48" i="15"/>
  <c r="H167" i="15"/>
  <c r="H8" i="15"/>
  <c r="H141" i="15"/>
  <c r="H255" i="15"/>
  <c r="H287" i="15"/>
  <c r="H5" i="15"/>
  <c r="H231" i="15"/>
  <c r="H297" i="15"/>
  <c r="H341" i="15"/>
  <c r="H330" i="15"/>
  <c r="H19" i="15"/>
  <c r="H23" i="15"/>
  <c r="H28" i="15"/>
  <c r="H34" i="15"/>
  <c r="H6" i="15"/>
  <c r="H62" i="15"/>
  <c r="H54" i="15"/>
  <c r="H52" i="15"/>
  <c r="H49" i="15"/>
  <c r="H74" i="15"/>
  <c r="H95" i="15"/>
  <c r="H78" i="15"/>
  <c r="H109" i="15"/>
  <c r="H71" i="15"/>
  <c r="H112" i="15"/>
  <c r="H91" i="15"/>
  <c r="H142" i="15"/>
  <c r="H82" i="15"/>
  <c r="H111" i="15"/>
  <c r="H137" i="15"/>
  <c r="H97" i="15"/>
  <c r="H173" i="15"/>
  <c r="H225" i="15"/>
  <c r="H208" i="15"/>
  <c r="H236" i="15"/>
  <c r="H230" i="15"/>
  <c r="H248" i="15"/>
  <c r="H261" i="15"/>
  <c r="H305" i="15"/>
  <c r="H367" i="15"/>
  <c r="H113" i="15"/>
  <c r="H232" i="15"/>
  <c r="H275" i="15"/>
  <c r="H262" i="15"/>
  <c r="H274" i="15"/>
  <c r="H38" i="15"/>
  <c r="H258" i="15"/>
  <c r="H61" i="15"/>
  <c r="H268" i="15"/>
  <c r="H263" i="15"/>
  <c r="H36" i="15"/>
  <c r="H116" i="15"/>
  <c r="H168" i="15"/>
  <c r="H372" i="15"/>
  <c r="H47" i="15"/>
  <c r="H179" i="15"/>
  <c r="H276" i="15"/>
  <c r="H270" i="15"/>
  <c r="H335" i="15"/>
  <c r="H123" i="15"/>
  <c r="H89" i="15"/>
  <c r="H183" i="15"/>
  <c r="H155" i="15"/>
  <c r="H182" i="15"/>
  <c r="H201" i="15"/>
  <c r="H223" i="15"/>
  <c r="H159" i="15"/>
  <c r="H213" i="15"/>
  <c r="H216" i="15"/>
  <c r="H285" i="15"/>
  <c r="H338" i="15"/>
  <c r="H312" i="15"/>
  <c r="H209" i="15"/>
  <c r="H166" i="15"/>
  <c r="H169" i="15"/>
  <c r="H309" i="15"/>
  <c r="H322" i="15"/>
  <c r="H332" i="15"/>
  <c r="H319" i="15"/>
  <c r="H336" i="15"/>
  <c r="H328" i="15"/>
  <c r="H98" i="15"/>
  <c r="H170" i="15"/>
  <c r="H103" i="15"/>
  <c r="H286" i="15"/>
  <c r="H67" i="15"/>
  <c r="H292" i="15"/>
  <c r="H69" i="15"/>
  <c r="H156" i="15"/>
  <c r="H266" i="15"/>
  <c r="H32" i="15"/>
  <c r="H256" i="15"/>
  <c r="H153" i="15"/>
  <c r="H301" i="15"/>
  <c r="H311" i="15"/>
  <c r="H299" i="15"/>
  <c r="H24" i="15"/>
  <c r="H31" i="15"/>
  <c r="H13" i="15"/>
  <c r="H25" i="15"/>
  <c r="H15" i="15"/>
  <c r="H53" i="15"/>
  <c r="H45" i="15"/>
  <c r="H60" i="15"/>
  <c r="H59" i="15"/>
  <c r="H140" i="15"/>
  <c r="H115" i="15"/>
  <c r="H130" i="15"/>
  <c r="H118" i="15"/>
  <c r="H90" i="15"/>
  <c r="H104" i="15"/>
  <c r="H139" i="15"/>
  <c r="H121" i="15"/>
  <c r="H83" i="15"/>
  <c r="H76" i="15"/>
  <c r="H119" i="15"/>
  <c r="H126" i="15"/>
  <c r="H224" i="15"/>
  <c r="H171" i="15"/>
  <c r="H178" i="15"/>
  <c r="H228" i="15"/>
  <c r="H235" i="15"/>
  <c r="H253" i="15"/>
  <c r="H245" i="15"/>
  <c r="H351" i="15"/>
  <c r="H214" i="15"/>
  <c r="H165" i="15"/>
  <c r="H101" i="15"/>
  <c r="H242" i="15"/>
  <c r="H237" i="15"/>
  <c r="H272" i="15"/>
  <c r="H29" i="15"/>
  <c r="H234" i="15"/>
  <c r="H279" i="15"/>
  <c r="H241" i="15"/>
  <c r="H33" i="15"/>
  <c r="H43" i="15"/>
  <c r="H148" i="15"/>
  <c r="H289" i="15"/>
  <c r="H377" i="15"/>
  <c r="H64" i="15"/>
  <c r="H215" i="15"/>
  <c r="H264" i="15"/>
  <c r="H306" i="15"/>
  <c r="H340" i="15"/>
  <c r="H131" i="15"/>
  <c r="H172" i="15"/>
  <c r="H207" i="15"/>
  <c r="H227" i="15"/>
  <c r="H160" i="15"/>
  <c r="H220" i="15"/>
  <c r="H145" i="15"/>
  <c r="H150" i="15"/>
  <c r="H147" i="15"/>
  <c r="H212" i="15"/>
  <c r="H291" i="15"/>
  <c r="H337" i="15"/>
  <c r="H334" i="15"/>
  <c r="H135" i="15"/>
  <c r="H238" i="15"/>
  <c r="H154" i="15"/>
  <c r="H196" i="15"/>
  <c r="H307" i="15"/>
  <c r="H325" i="15"/>
  <c r="H346" i="15"/>
  <c r="H324" i="15"/>
  <c r="H323" i="15"/>
  <c r="H327" i="15"/>
  <c r="H46" i="15"/>
  <c r="H229" i="15"/>
  <c r="H259" i="15"/>
  <c r="H7" i="15"/>
  <c r="H120" i="15"/>
  <c r="H86" i="15"/>
  <c r="H50" i="15"/>
  <c r="H288" i="15"/>
  <c r="H114" i="15"/>
  <c r="H206" i="15"/>
  <c r="H246" i="15"/>
  <c r="H354" i="15"/>
  <c r="H56" i="15"/>
  <c r="H304" i="15"/>
  <c r="H3" i="15"/>
  <c r="H358" i="15" l="1"/>
  <c r="H371" i="15"/>
  <c r="H363" i="15"/>
  <c r="H366" i="15"/>
  <c r="H361" i="15"/>
  <c r="H359" i="15"/>
  <c r="H369" i="15"/>
  <c r="H362" i="15"/>
  <c r="H365" i="15"/>
  <c r="H2" i="15"/>
  <c r="H360" i="15"/>
  <c r="H374" i="15"/>
  <c r="H382" i="15"/>
  <c r="H383" i="15"/>
  <c r="H381" i="15"/>
  <c r="H378" i="15"/>
  <c r="H380" i="15"/>
  <c r="H379" i="15"/>
</calcChain>
</file>

<file path=xl/comments1.xml><?xml version="1.0" encoding="utf-8"?>
<comments xmlns="http://schemas.openxmlformats.org/spreadsheetml/2006/main">
  <authors>
    <author>Nicolás Franco Aversa</author>
  </authors>
  <commentList>
    <comment ref="M10" authorId="0">
      <text>
        <r>
          <rPr>
            <sz val="10"/>
            <color indexed="81"/>
            <rFont val="Tahoma"/>
            <family val="2"/>
          </rPr>
          <t>En el caso de no verificar alguno de los tipos de fuente de información válidas para la prestación</t>
        </r>
        <r>
          <rPr>
            <b/>
            <sz val="10"/>
            <color indexed="81"/>
            <rFont val="Tahoma"/>
            <family val="2"/>
          </rPr>
          <t>, aclarar en observaciones la fuente obtenida</t>
        </r>
        <r>
          <rPr>
            <sz val="10"/>
            <color indexed="81"/>
            <rFont val="Tahoma"/>
            <family val="2"/>
          </rPr>
          <t xml:space="preserve">
</t>
        </r>
      </text>
    </comment>
  </commentList>
</comments>
</file>

<file path=xl/sharedStrings.xml><?xml version="1.0" encoding="utf-8"?>
<sst xmlns="http://schemas.openxmlformats.org/spreadsheetml/2006/main" count="6367" uniqueCount="756">
  <si>
    <t>Auditor</t>
  </si>
  <si>
    <t>Provincia</t>
  </si>
  <si>
    <t>Comentario</t>
  </si>
  <si>
    <t>Peso</t>
  </si>
  <si>
    <t>Talla</t>
  </si>
  <si>
    <t>IMC</t>
  </si>
  <si>
    <t>Percentilo</t>
  </si>
  <si>
    <t>Localidad</t>
  </si>
  <si>
    <t>Total</t>
  </si>
  <si>
    <t>Analizó</t>
  </si>
  <si>
    <t>Módulos</t>
  </si>
  <si>
    <t>Total de casos debitados</t>
  </si>
  <si>
    <t>Líneas de cuidado</t>
  </si>
  <si>
    <t>Códigos</t>
  </si>
  <si>
    <t>Descripción</t>
  </si>
  <si>
    <t>Auditados</t>
  </si>
  <si>
    <t>Debitados (*)</t>
  </si>
  <si>
    <t>CTC001A97</t>
  </si>
  <si>
    <t>CTC010A97</t>
  </si>
  <si>
    <t>Sobrepeso</t>
  </si>
  <si>
    <t>CTC002T83</t>
  </si>
  <si>
    <t>Sobrepeso (ulterior)</t>
  </si>
  <si>
    <t> Total</t>
  </si>
  <si>
    <t>CTC008A97</t>
  </si>
  <si>
    <t>IMV008A98</t>
  </si>
  <si>
    <t>IMV009A98</t>
  </si>
  <si>
    <t>IMV010A98</t>
  </si>
  <si>
    <t>IMV014A98</t>
  </si>
  <si>
    <t>Colocacion de DIU</t>
  </si>
  <si>
    <t>Obesidad</t>
  </si>
  <si>
    <t>Obesidad (ulterior)</t>
  </si>
  <si>
    <t>Prenatal</t>
  </si>
  <si>
    <t>CTC006W78</t>
  </si>
  <si>
    <t>IGR014A98</t>
  </si>
  <si>
    <t>CTC005W78</t>
  </si>
  <si>
    <t>PRP018W78</t>
  </si>
  <si>
    <t>Toma de muestra para PAP (incluye material descartable)</t>
  </si>
  <si>
    <t>Código de efector</t>
  </si>
  <si>
    <t>Código</t>
  </si>
  <si>
    <t>Linea de cuidado</t>
  </si>
  <si>
    <t>Nombre de la Prestación</t>
  </si>
  <si>
    <t>IMV002A98</t>
  </si>
  <si>
    <t>IMV011A98</t>
  </si>
  <si>
    <t>IMV013A98</t>
  </si>
  <si>
    <t>IMV015A98</t>
  </si>
  <si>
    <t>Dosis aplicada de vacuna neumococo conjugada</t>
  </si>
  <si>
    <t>IMV001A98</t>
  </si>
  <si>
    <t>PRP026D60</t>
  </si>
  <si>
    <t>Inactivación de caries</t>
  </si>
  <si>
    <t>Detección de la retinopatía del prematuro</t>
  </si>
  <si>
    <t>CTC001H86</t>
  </si>
  <si>
    <t>Detección temprana de hipoacusia</t>
  </si>
  <si>
    <t>PRP022H86</t>
  </si>
  <si>
    <t>PRP021H86</t>
  </si>
  <si>
    <t>Infección respiratoria aguda</t>
  </si>
  <si>
    <t>ITE001R78</t>
  </si>
  <si>
    <t>Internación abreviada SBO (prehospitalización en ambulatorio)</t>
  </si>
  <si>
    <t>CTC001B73</t>
  </si>
  <si>
    <t>CTC002B73</t>
  </si>
  <si>
    <t>CTC001B72</t>
  </si>
  <si>
    <t>CTC002B72</t>
  </si>
  <si>
    <t>Obesidad (inicial)</t>
  </si>
  <si>
    <t>CTC001T83</t>
  </si>
  <si>
    <t>Sobrepeso (inicial)</t>
  </si>
  <si>
    <t>CTC001B80</t>
  </si>
  <si>
    <t>Anemia</t>
  </si>
  <si>
    <t>Anemia leve y moderada (inicial)</t>
  </si>
  <si>
    <t>CTC002B80</t>
  </si>
  <si>
    <t>Anemia leve y moderada (ulterior)</t>
  </si>
  <si>
    <t>CTC001R96</t>
  </si>
  <si>
    <t>Asma bronquial (inicial)</t>
  </si>
  <si>
    <t>CTC002R96</t>
  </si>
  <si>
    <t>Asma bronquial (ulterior)</t>
  </si>
  <si>
    <t>CAW003A98</t>
  </si>
  <si>
    <t>Búsqueda activa de niños con abandono de controles</t>
  </si>
  <si>
    <t>TAT002A98</t>
  </si>
  <si>
    <t>TAT003A98</t>
  </si>
  <si>
    <t>Encuentros para promoción del desarrollo infantil, prevención de patologías prevalentes en la infancia, conductas saludables, hábitos de higiene</t>
  </si>
  <si>
    <t>CTC011A97</t>
  </si>
  <si>
    <t>Control de salud individual para población indígena en terreno</t>
  </si>
  <si>
    <t>IMV005A98</t>
  </si>
  <si>
    <t>Laboratorio</t>
  </si>
  <si>
    <t>Imagen</t>
  </si>
  <si>
    <t>PRP018A98</t>
  </si>
  <si>
    <t>Dosis aplicada de doble viral (rubéola + sarampión)</t>
  </si>
  <si>
    <t>COT018A98</t>
  </si>
  <si>
    <t>Diabetes gestacional</t>
  </si>
  <si>
    <t>CTC022O24.4</t>
  </si>
  <si>
    <t>Consulta de seguimiento de diabetes gestacional</t>
  </si>
  <si>
    <t>CTC007O24.4</t>
  </si>
  <si>
    <t>Consulta inicial de diabetes gestacional</t>
  </si>
  <si>
    <t>Hipertensión crónica</t>
  </si>
  <si>
    <t>Consulta de seguimiento de la embarazada con hipertensión crónica</t>
  </si>
  <si>
    <t>Consulta inicial de la embarazada con hipertensión crónica</t>
  </si>
  <si>
    <t>Consulta oftalmológica</t>
  </si>
  <si>
    <t>Hipertensión gestacional</t>
  </si>
  <si>
    <t>CTC022O16</t>
  </si>
  <si>
    <t>CTC007O16</t>
  </si>
  <si>
    <t>Consulta inicial de hipertensión gestacional</t>
  </si>
  <si>
    <t>CTC001P98</t>
  </si>
  <si>
    <t>Seguimiento por intento de suicidio</t>
  </si>
  <si>
    <t>Anemia leve y moderada en mujeres (inicial)</t>
  </si>
  <si>
    <t>Anemia leve y moderada en mujeres (ulterior)</t>
  </si>
  <si>
    <t>CAW005A98</t>
  </si>
  <si>
    <t>Búsqueda activa de adolescentes para valoración integral.</t>
  </si>
  <si>
    <t>CAW004A98</t>
  </si>
  <si>
    <t>Búsqueda activa de embarazadas adolescentes por agente sanitario y/o personal de salud.</t>
  </si>
  <si>
    <t>Seguimiento por consumo episódico excesivo de alcohol y/o otras sustancias psicoactivas (inicial)</t>
  </si>
  <si>
    <t>Seguimiento por consumo episódico excesivo de alcohol y/o otras sustancias psicoactivas (ulterior)</t>
  </si>
  <si>
    <t>COT016A98</t>
  </si>
  <si>
    <t>Consejería en salud sexual (terreno)</t>
  </si>
  <si>
    <t>COT015A98</t>
  </si>
  <si>
    <t>CTC009A97</t>
  </si>
  <si>
    <t>APA001A98</t>
  </si>
  <si>
    <t>APA001X86</t>
  </si>
  <si>
    <t>APA001X75</t>
  </si>
  <si>
    <t>CAW006A97</t>
  </si>
  <si>
    <t>CAW006A75</t>
  </si>
  <si>
    <t>CAW006B72</t>
  </si>
  <si>
    <t>CAW006B73</t>
  </si>
  <si>
    <t>CAW006B80</t>
  </si>
  <si>
    <t>CAW006B78</t>
  </si>
  <si>
    <t>CAW006B81</t>
  </si>
  <si>
    <t>CAW006B82</t>
  </si>
  <si>
    <t>CAW006D96</t>
  </si>
  <si>
    <t>CAW006D61</t>
  </si>
  <si>
    <t>CAW006D62</t>
  </si>
  <si>
    <t>CAW006D72</t>
  </si>
  <si>
    <t>CAW006B90</t>
  </si>
  <si>
    <t>CAW006K73</t>
  </si>
  <si>
    <t>CAW006K96</t>
  </si>
  <si>
    <t>CAW006K83</t>
  </si>
  <si>
    <t>CAW006K86</t>
  </si>
  <si>
    <t>CAW006T79</t>
  </si>
  <si>
    <t>CTC001P20</t>
  </si>
  <si>
    <t>CTC001P23</t>
  </si>
  <si>
    <t>CTC001P24</t>
  </si>
  <si>
    <t>CTC001R78</t>
  </si>
  <si>
    <t>CTC001T79</t>
  </si>
  <si>
    <t>CTC001T82</t>
  </si>
  <si>
    <t>CTC002P20</t>
  </si>
  <si>
    <t>CTC002P23</t>
  </si>
  <si>
    <t>CTC002P24</t>
  </si>
  <si>
    <t>CTC002R78</t>
  </si>
  <si>
    <t>CTC002T79</t>
  </si>
  <si>
    <t>CTC002T82</t>
  </si>
  <si>
    <t>CTC007O10.4</t>
  </si>
  <si>
    <t>CTC022O10.4</t>
  </si>
  <si>
    <t>PRP017A46</t>
  </si>
  <si>
    <t>PRP017A97</t>
  </si>
  <si>
    <t>PRP021A97</t>
  </si>
  <si>
    <r>
      <rPr>
        <b/>
        <sz val="10"/>
        <color theme="0"/>
        <rFont val="Verdana"/>
        <family val="2"/>
      </rPr>
      <t>Categoria</t>
    </r>
    <r>
      <rPr>
        <sz val="10"/>
        <color theme="0"/>
        <rFont val="Verdana"/>
        <family val="2"/>
      </rPr>
      <t xml:space="preserve">
(0-1-2-3-4)</t>
    </r>
  </si>
  <si>
    <t>Período</t>
  </si>
  <si>
    <t>CUIE</t>
  </si>
  <si>
    <t>BENEF_DNI</t>
  </si>
  <si>
    <t>BENEF_APE</t>
  </si>
  <si>
    <t>BENEF_NOM</t>
  </si>
  <si>
    <t>Cod_NU</t>
  </si>
  <si>
    <t>FPREST</t>
  </si>
  <si>
    <t>EVAL</t>
  </si>
  <si>
    <t>POBLACION</t>
  </si>
  <si>
    <t>Periodo</t>
  </si>
  <si>
    <t>Salud sexual en adolescente</t>
  </si>
  <si>
    <t>Diagnóstica y de seguimiento de linfoma (inicial)</t>
  </si>
  <si>
    <t>Diagnóstica y de seguimiento de leucemia (inicial)</t>
  </si>
  <si>
    <t>Diagnóstica y de seguimiento de linfoma (ulterior)</t>
  </si>
  <si>
    <t>Diagnóstica y de seguimiento de leucemia (ulterior)</t>
  </si>
  <si>
    <t>Consulta ulterior de control prenatal</t>
  </si>
  <si>
    <t>Control ginecológico</t>
  </si>
  <si>
    <t>Control odontológico</t>
  </si>
  <si>
    <t>Control oftalmológico</t>
  </si>
  <si>
    <r>
      <t xml:space="preserve">Bimestre
</t>
    </r>
    <r>
      <rPr>
        <sz val="10"/>
        <color theme="0"/>
        <rFont val="Verdana"/>
        <family val="2"/>
      </rPr>
      <t>(MM/AAAA)</t>
    </r>
  </si>
  <si>
    <t>Población</t>
  </si>
  <si>
    <t>Para niños de 0 a 9 años</t>
  </si>
  <si>
    <t>Para adolescentes de 10 a 19 años</t>
  </si>
  <si>
    <t>Para adultos de 20 a 64 años</t>
  </si>
  <si>
    <t xml:space="preserve"> Casos a auditar</t>
  </si>
  <si>
    <t>Nombre del efector</t>
  </si>
  <si>
    <t>Año</t>
  </si>
  <si>
    <t>Mes</t>
  </si>
  <si>
    <t>Niños de 0 a 9 años - Adolescentes de 10 a 19 años - Mujeres de 20 a 64 años</t>
  </si>
  <si>
    <t>Hombres de 20 a 64 años</t>
  </si>
  <si>
    <t>Enero</t>
  </si>
  <si>
    <t>Febrero</t>
  </si>
  <si>
    <t>Marzo</t>
  </si>
  <si>
    <t>Abril</t>
  </si>
  <si>
    <t>Mayo</t>
  </si>
  <si>
    <t>Junio</t>
  </si>
  <si>
    <t>Julio</t>
  </si>
  <si>
    <t>Agosto</t>
  </si>
  <si>
    <t>Septiembre</t>
  </si>
  <si>
    <t>Octubre</t>
  </si>
  <si>
    <t>Prevención Primaria</t>
  </si>
  <si>
    <t>F_001.3_Provincia_RelevamientoCEB</t>
  </si>
  <si>
    <t>N° de efector</t>
  </si>
  <si>
    <t>Denominación efector</t>
  </si>
  <si>
    <t>Apellido del beneficiario</t>
  </si>
  <si>
    <t>Nombre del beneficiario</t>
  </si>
  <si>
    <t>Número de documento</t>
  </si>
  <si>
    <t>Código declarado</t>
  </si>
  <si>
    <t>Fecha de auditoría</t>
  </si>
  <si>
    <t>Fecha de prestación</t>
  </si>
  <si>
    <t>Tipo de fuente de información</t>
  </si>
  <si>
    <t>Nº de Control Prenatal</t>
  </si>
  <si>
    <t>Fecha de nacimiento
(DD/MM/AAAA)</t>
  </si>
  <si>
    <r>
      <t xml:space="preserve">Diagnóstico
</t>
    </r>
    <r>
      <rPr>
        <sz val="10"/>
        <color theme="0"/>
        <rFont val="Verdana"/>
        <family val="2"/>
      </rPr>
      <t>(Describir evaluación médica)</t>
    </r>
  </si>
  <si>
    <t>Estudios realizados</t>
  </si>
  <si>
    <t>Evaluación de riesgo individual o familia visitada o comunidad</t>
  </si>
  <si>
    <t>Toma de TA</t>
  </si>
  <si>
    <t>Plan de seguimiento</t>
  </si>
  <si>
    <t>Tratamiento instaurado</t>
  </si>
  <si>
    <t>Sello del profesional</t>
  </si>
  <si>
    <t>Informe o trancripción de estudios solicitados</t>
  </si>
  <si>
    <t>Constancia de  aplicación de inmunizaciones</t>
  </si>
  <si>
    <t>Firma y aclaración del profesional</t>
  </si>
  <si>
    <r>
      <t xml:space="preserve">Observaciones del auditor
</t>
    </r>
    <r>
      <rPr>
        <sz val="10"/>
        <color theme="0"/>
        <rFont val="Verdana"/>
        <family val="2"/>
      </rPr>
      <t>(tipod e fuente de información, datos de interés etc)</t>
    </r>
  </si>
  <si>
    <r>
      <t xml:space="preserve">Edad del beneficiario
</t>
    </r>
    <r>
      <rPr>
        <sz val="10"/>
        <color theme="0"/>
        <rFont val="Verdana"/>
        <family val="2"/>
      </rPr>
      <t>(Resultado por formula; revisar fecha de nacimiento introducida)</t>
    </r>
  </si>
  <si>
    <r>
      <rPr>
        <b/>
        <sz val="10"/>
        <color theme="0"/>
        <rFont val="Verdana"/>
        <family val="2"/>
      </rPr>
      <t>Estado del caso</t>
    </r>
    <r>
      <rPr>
        <sz val="10"/>
        <color theme="0"/>
        <rFont val="Verdana"/>
        <family val="2"/>
      </rPr>
      <t xml:space="preserve">
(Seleccionar  opción de la lista desplegable)</t>
    </r>
  </si>
  <si>
    <r>
      <rPr>
        <b/>
        <sz val="10"/>
        <color theme="0"/>
        <rFont val="Verdana"/>
        <family val="2"/>
      </rPr>
      <t xml:space="preserve">Fundamento
</t>
    </r>
    <r>
      <rPr>
        <sz val="10"/>
        <color theme="0"/>
        <rFont val="Verdana"/>
        <family val="2"/>
      </rPr>
      <t>(Describir requisitos faltantes)</t>
    </r>
  </si>
  <si>
    <t>Nombre del supervisor</t>
  </si>
  <si>
    <t>Fecha de revisión</t>
  </si>
  <si>
    <r>
      <rPr>
        <b/>
        <sz val="10"/>
        <color theme="0"/>
        <rFont val="Verdana"/>
        <family val="2"/>
      </rPr>
      <t xml:space="preserve">Estado del caso
</t>
    </r>
    <r>
      <rPr>
        <sz val="10"/>
        <color theme="0"/>
        <rFont val="Verdana"/>
        <family val="2"/>
      </rPr>
      <t>(Seleccionar opción de la lista desplegable)</t>
    </r>
  </si>
  <si>
    <r>
      <t xml:space="preserve">Población
</t>
    </r>
    <r>
      <rPr>
        <sz val="10"/>
        <color theme="0"/>
        <rFont val="Verdana"/>
        <family val="2"/>
      </rPr>
      <t>(Andres)</t>
    </r>
  </si>
  <si>
    <t>Estructura del analisis</t>
  </si>
  <si>
    <t>Codigo</t>
  </si>
  <si>
    <t>Fuente de información</t>
  </si>
  <si>
    <t>HC</t>
  </si>
  <si>
    <t>Niños 0-5</t>
  </si>
  <si>
    <t>FM</t>
  </si>
  <si>
    <t>LE</t>
  </si>
  <si>
    <t>RV</t>
  </si>
  <si>
    <t>Niños 6-9</t>
  </si>
  <si>
    <t>Adolecentes 10-19</t>
  </si>
  <si>
    <t>SI</t>
  </si>
  <si>
    <t>Mujeres 20-64</t>
  </si>
  <si>
    <t>CTC001A98</t>
  </si>
  <si>
    <t>SITAM</t>
  </si>
  <si>
    <t>LSI</t>
  </si>
  <si>
    <t>HCPB</t>
  </si>
  <si>
    <t>LL</t>
  </si>
  <si>
    <t>Hombres 20-64</t>
  </si>
  <si>
    <t>SIP</t>
  </si>
  <si>
    <t>Control de fuente de información</t>
  </si>
  <si>
    <t>Encuentros para promoción de pautas alimentarias en embarazadas, puérperas y niños menores de 6 años.</t>
  </si>
  <si>
    <t>Encuentros para promoción del desarrollo infantil, prevención de patologías prevalentes en la infancia, conductas saludables, hábitos de higiene.</t>
  </si>
  <si>
    <t>Control Odontológico</t>
  </si>
  <si>
    <t xml:space="preserve">Control Oftalmológico </t>
  </si>
  <si>
    <t>Dosis aplicada de dtap triple acelular (actualización de esquema en niños mayores a 7 años)</t>
  </si>
  <si>
    <t>Dosis aplicada de inmunización anti hepatitis B (actualización de esquema)</t>
  </si>
  <si>
    <t>Dosis aplicada de inmunización para hepatitis A en niños de 12 meses o actualización de esquema</t>
  </si>
  <si>
    <t>Dosis aplicada de sabín en niños de 6 años o actualización de esquema</t>
  </si>
  <si>
    <t>Dosis aplicada de Vacuna doble viral (SR) al ingreso escolar</t>
  </si>
  <si>
    <t>Dosis aplicada de Vacuna Antigripal en niños de 6 a 24 meses o con esquema atrasado en niños mayores con factores de riesgo</t>
  </si>
  <si>
    <t>Dosis aplicada de vacuna triple viral en niños menores de 6 años o actualización de esquema</t>
  </si>
  <si>
    <t>Atención ambulatoria de infección respiratoria aguda en niños menores de 6 años (inicial)</t>
  </si>
  <si>
    <t>Atención ambulatoria de infección respiratoria aguda en niños menores de 6 años (ulterior)</t>
  </si>
  <si>
    <t>Dosis aplicada de dtap triple acelular (refuerzo a los 11 años)</t>
  </si>
  <si>
    <t>Dosis aplicada de vacuna contra neumococo en pacientes de riesgo</t>
  </si>
  <si>
    <t>Mamografía bilateral craneocaudal y oblicua, con proyección axilar mujeres (en mayores de 49 años - cada 2 años con mamografía negativa)</t>
  </si>
  <si>
    <t>Lectura de la muestra tomada en mujeres entre 25 y 64 años, en laboratorio de Anatomía Patológica/Citología con diagnóstico firmado por anátomo-patólogo matriculado (tamizaje de CA cervicouterino)</t>
  </si>
  <si>
    <t xml:space="preserve">Consulta ulterior de control  prenatal. </t>
  </si>
  <si>
    <t>Control prenatal  de 1ra.vez</t>
  </si>
  <si>
    <t>Noviembre</t>
  </si>
  <si>
    <t>Diciembre</t>
  </si>
  <si>
    <t>Relevamiento de Cobertura Efectiva Básica</t>
  </si>
  <si>
    <r>
      <t xml:space="preserve">Verificación de casos
</t>
    </r>
    <r>
      <rPr>
        <sz val="10"/>
        <color theme="0"/>
        <rFont val="Verdana"/>
        <family val="2"/>
      </rPr>
      <t>(Esta columna indica el estado de los casos; si debe labrar acta, completar todos los campos necesarios o aclarar la fuente de información en las observaciones)</t>
    </r>
  </si>
  <si>
    <t>IGR031W78</t>
  </si>
  <si>
    <t>Ecografía ginecológica</t>
  </si>
  <si>
    <t>Ecografía obstétrica</t>
  </si>
  <si>
    <t>LBL116A98</t>
  </si>
  <si>
    <t>TSH</t>
  </si>
  <si>
    <t xml:space="preserve">Confeccionado por: </t>
  </si>
  <si>
    <t>Clave de beneficiario</t>
  </si>
  <si>
    <t>Completar formulario (Doble click)</t>
  </si>
  <si>
    <t>Poblacion</t>
  </si>
  <si>
    <t>Poblaciones permitidas dentro de la misma poblacion (PARA CTC001A97 NIÑOS)</t>
  </si>
  <si>
    <t>TA</t>
  </si>
  <si>
    <t>Informe o transcripción de estudios solicitados</t>
  </si>
  <si>
    <t>Evaluacion de riesgo</t>
  </si>
  <si>
    <t>Diagnostico</t>
  </si>
  <si>
    <t>Constancia de aplicación de inmunizaciones</t>
  </si>
  <si>
    <t>Firma</t>
  </si>
  <si>
    <t>Sello</t>
  </si>
  <si>
    <t>Altura uterina</t>
  </si>
  <si>
    <t>Apgar</t>
  </si>
  <si>
    <t>Calculo de amenorrea</t>
  </si>
  <si>
    <t>Constancia de solicitud de screening neonatal</t>
  </si>
  <si>
    <t>Diagnostico de embarazo de alto riesgo</t>
  </si>
  <si>
    <t>Diagnostico de vida fetal</t>
  </si>
  <si>
    <t>Perimetro cefalico</t>
  </si>
  <si>
    <t>Examen mamario</t>
  </si>
  <si>
    <t>Evaluacion genitourinaria</t>
  </si>
  <si>
    <t>Odontograma</t>
  </si>
  <si>
    <t>Medicion de agudeza visual</t>
  </si>
  <si>
    <t>Exámen periódico de salud de niños de 1 a 5 años</t>
  </si>
  <si>
    <t>1 a 5</t>
  </si>
  <si>
    <t>Exámen periódico de salud de niños de 6 a 9 años</t>
  </si>
  <si>
    <t>mayores a 6</t>
  </si>
  <si>
    <t>Examen Periódico de salud del adolescente</t>
  </si>
  <si>
    <t>Control periódico de salud  (inicial)</t>
  </si>
  <si>
    <t>Consulta  de consejería de antecedentes y riesgo de Cáncer colorrectal(inicial)</t>
  </si>
  <si>
    <t xml:space="preserve">Control ginecológico </t>
  </si>
  <si>
    <t>Dosis aplicada de inmunización anti hepatitis B monovalente (a partir de 11 años no inmunizados previamente)</t>
  </si>
  <si>
    <t>Dosis aplicada de Doble adultos  &gt;16 años</t>
  </si>
  <si>
    <t>Dosis aplicada de vacuna contra VPH  (Virus Papiloma Humano) en niñas de 11 años o esquema atrasado</t>
  </si>
  <si>
    <t>Toma de muestra citológica (25 a 64  años)  (Tamizaje CA cervicouterino)</t>
  </si>
  <si>
    <t>x</t>
  </si>
  <si>
    <t>N de Control Prenatal</t>
  </si>
  <si>
    <t>El objetivo de este documento es verificar la validez de los casos considerados como "Beneficiarios con Cobertura Efectiva Básica", presentados por las provincias en sus respectivos padrones.</t>
  </si>
  <si>
    <t>Composición del formulario.</t>
  </si>
  <si>
    <t>Formulario de relevamiento de "Beneficiarios con Cobertura Efectiva Basica"</t>
  </si>
  <si>
    <t>Para tener en cuenta</t>
  </si>
  <si>
    <t xml:space="preserve">En el momento del relevamiento el Auditor médico debe tener en cuenta:
-Verificar la totalidad de los casos enviados
-No dejar ningún campo en blanco
-En el caso que no se encuentre fuente de información o registro de datos de la prestación, labrar acta con las correspondientes firmas de los responsables
-Realizar cualquier tipo de observación que aporte datos a la auditoría
</t>
  </si>
  <si>
    <t>El Supervisor Regional, debe tener en cuenta:
-Controlar la totalidad de los casos que se reciben en los formularios
-Controlar las Actas de relevamiento, verificando que se transcriban correctamente los casos de los formularios a las Actas
-Verificar que los campos esten completos
-No dejar ningún beneficiario sin "Estado del caso" y fundamentar cada uno de ellos.</t>
  </si>
  <si>
    <t>El formulario de relevamiento y las Actas son papeles de trabajo obligatorios que se deben remitir al Equipo Central, para que se considere el proceso de Auditoría como "Finalizado".</t>
  </si>
  <si>
    <t>Objetivo General del Programa.</t>
  </si>
  <si>
    <t xml:space="preserve">Este procedimiento se realiza a los efectos de verificar que la persona inscripta haya recibido al menos unaprestación de Salud en el intervalo de tiempo predeterminado.
Asi mismo, las prestaciones elegidas para los beneficiarios en cada grupo etario, indican cada una en si misma, elementos aislados de progreso. Las mismas tienen un objetivo programático mayor: lograr un nivel de Cobertura Sanitaria Integral de la población beneficiaria en cada grupo de edad, dejando constancia tambien de dicha cobertura.
Es necesario fortalecer la utilización de las prestaciones, ya que algunos grupos poblacionales incluidos en el Programa Sumar, registran muy bajos niveles de consumo de productos sanitarios o el registro de los mismos no es el adecuado.
El consumo de prestaciones por parte de los beneficiarios afectara las transferencias de capitas de los Sitemas Públicos de Salud, debido a que percebiran transferencias capitadas solo por aquellos beneficiarios con al menos consumo de una prestación, según lo establecido el Manual Operativo Anexo B.
</t>
  </si>
  <si>
    <t>A modo de verificar el cumplimiento de la cobertura, el formulario esta compuesto por una muestra de casos que se verifican por provincias (archivo CEB_Base para tomar muestra). Dichos casos estan divididos por efector y contienen en cada columna una serie de datos que el auditor debe completar, dependiendo de lo que requiera la prestación.</t>
  </si>
  <si>
    <t>Contrarreferencia  o epicrisis de datos referidos al diagnostico y tratamiento indicado</t>
  </si>
  <si>
    <t>Nombre de la prestación</t>
  </si>
  <si>
    <t>CTC020P07.0</t>
  </si>
  <si>
    <t>CTC007O10.0</t>
  </si>
  <si>
    <t>CTC020P07.2</t>
  </si>
  <si>
    <t>CTC021Q39.0</t>
  </si>
  <si>
    <t>CTC021Q39.1</t>
  </si>
  <si>
    <t>CTC021Q39.2</t>
  </si>
  <si>
    <t>CTC022O10.0</t>
  </si>
  <si>
    <t>CTC021Q79.3</t>
  </si>
  <si>
    <t>CTC021Q41</t>
  </si>
  <si>
    <t>CTC021Q42</t>
  </si>
  <si>
    <t>CTC021Q43.3</t>
  </si>
  <si>
    <t>CTC021Q43.4</t>
  </si>
  <si>
    <t>CTC021Q42.0</t>
  </si>
  <si>
    <t>CTC021Q42.1</t>
  </si>
  <si>
    <t>CTC021Q42.2</t>
  </si>
  <si>
    <t>LBL090O16</t>
  </si>
  <si>
    <t>CTC021Q42.3</t>
  </si>
  <si>
    <t>CTC021Q03</t>
  </si>
  <si>
    <t>CTC021Q05</t>
  </si>
  <si>
    <t>CTC021P07.0</t>
  </si>
  <si>
    <t>CTC021P07.2</t>
  </si>
  <si>
    <t>IGR005A98</t>
  </si>
  <si>
    <t>IGR005L30</t>
  </si>
  <si>
    <t>LBL110W78</t>
  </si>
  <si>
    <t>IGR025A98</t>
  </si>
  <si>
    <t>LBL111W78</t>
  </si>
  <si>
    <t>IGR025L30</t>
  </si>
  <si>
    <t>LBL099W78</t>
  </si>
  <si>
    <t>LBL001A98</t>
  </si>
  <si>
    <t>LBL128W78</t>
  </si>
  <si>
    <t>LBL013A98</t>
  </si>
  <si>
    <t>LBL065W78</t>
  </si>
  <si>
    <t>LBL035A98</t>
  </si>
  <si>
    <t>LBL119W78</t>
  </si>
  <si>
    <t>LBL043A98</t>
  </si>
  <si>
    <t>LBL121W78</t>
  </si>
  <si>
    <t>LBL115A98</t>
  </si>
  <si>
    <t>LBL122W78</t>
  </si>
  <si>
    <t>CTC047A98</t>
  </si>
  <si>
    <t>CTC047U89</t>
  </si>
  <si>
    <t>CTC048K22</t>
  </si>
  <si>
    <t>NTN007K22</t>
  </si>
  <si>
    <t>NTN008K22</t>
  </si>
  <si>
    <t>NTN009K22</t>
  </si>
  <si>
    <t>NTN010K22</t>
  </si>
  <si>
    <t>CTC050A98</t>
  </si>
  <si>
    <t>CTC050T89</t>
  </si>
  <si>
    <t>CTC050T90</t>
  </si>
  <si>
    <t>IGR048A98</t>
  </si>
  <si>
    <t>IGR048D04</t>
  </si>
  <si>
    <t>IGR048D16</t>
  </si>
  <si>
    <t>IGR048D18</t>
  </si>
  <si>
    <t>IGR049A98</t>
  </si>
  <si>
    <t>IGR049D04</t>
  </si>
  <si>
    <t>IGR049D16</t>
  </si>
  <si>
    <t>IGR049D18</t>
  </si>
  <si>
    <t>LBL098A98</t>
  </si>
  <si>
    <t>CAW006T82</t>
  </si>
  <si>
    <t>CAW006T83</t>
  </si>
  <si>
    <t>CAW006T89</t>
  </si>
  <si>
    <t>CAW006T90</t>
  </si>
  <si>
    <t>CAW006Y70</t>
  </si>
  <si>
    <t>PRP006R96</t>
  </si>
  <si>
    <t xml:space="preserve">Búsqueda activa de niños con abandono de controles </t>
  </si>
  <si>
    <t>Consulta  para confirmación diagnóstico en Población Indígena con riesgo detectado en terreno.</t>
  </si>
  <si>
    <t>Oftalmoscopía binocular indirecta (OBI) a todo niño de riesgo (Pesquisa de la Retinopatía del prematuro.)</t>
  </si>
  <si>
    <t xml:space="preserve">Consulta de niños con especialistas (hipoacusia en lactante "No pasa" con Otoemisiones acústicas) </t>
  </si>
  <si>
    <t>Otoemisiones acústicas para Detección temprana de hipoacusia en RN</t>
  </si>
  <si>
    <t xml:space="preserve">Rescreening de hipoacusia en lactante "No pasa"  con BERA </t>
  </si>
  <si>
    <t> Consulta para la promoción de la salud renal, prevención, rastreo y/o diagnóstico precoz de la ERC en población vulnerable</t>
  </si>
  <si>
    <t>Consulta para la evaluación del nivel de riesgo cardiovascular en población de riesgo</t>
  </si>
  <si>
    <t>Notificación del nivel de riesgo cardiovascular &lt; 10%</t>
  </si>
  <si>
    <t>Notificación del nivel de riesgo cardiovascular   10%-&lt; 20%</t>
  </si>
  <si>
    <t>Notificación del nivel de riesgo cardiovascular 20%-&lt; 30%</t>
  </si>
  <si>
    <t>Notificación del nivel de riesgo cardiovascular  ≥ 30%</t>
  </si>
  <si>
    <t>Consulta para diagnóstico precoz en población vulnerable de Diabetes</t>
  </si>
  <si>
    <t xml:space="preserve">Colonoscopía con Toma de Biopsia Colorrectal </t>
  </si>
  <si>
    <t>Colonoscopía con polipectomía</t>
  </si>
  <si>
    <t>Salud Sexual en adolescente</t>
  </si>
  <si>
    <t>Consejería Post-aborto</t>
  </si>
  <si>
    <t>Consulta diagnóstica de leucemia</t>
  </si>
  <si>
    <t>Consulta de Seguimiento clínico  post tratamiento específico, de leucemia</t>
  </si>
  <si>
    <t>Consulta diagnóstica de linfoma</t>
  </si>
  <si>
    <t>Consulta de Seguimiento clínico  post tratamiento específico, de linfoma</t>
  </si>
  <si>
    <t>Enfermedades prevalentes de salud mental</t>
  </si>
  <si>
    <t>Hemorragia en el 1er y 2do trimestre</t>
  </si>
  <si>
    <t>17 Hidroxiprogesterona</t>
  </si>
  <si>
    <t>Biotinidasa neonatal</t>
  </si>
  <si>
    <t>Genilalanina</t>
  </si>
  <si>
    <t>Glactosemia</t>
  </si>
  <si>
    <t>Tripsina catiónica inmunorreactiva</t>
  </si>
  <si>
    <t>Ecografía bilateral de caderas (menores de 2 meses)</t>
  </si>
  <si>
    <t>Rx hombro, húmero, pelvis, cadera y fémur (total o focalizada) (frente o perfil)</t>
  </si>
  <si>
    <t>Espirometría</t>
  </si>
  <si>
    <t>Consulta de seguimiento de hipertensión gestacional</t>
  </si>
  <si>
    <t>Toxoplasmosis por IFI</t>
  </si>
  <si>
    <t>Toxoplasmosis por MEIA</t>
  </si>
  <si>
    <t>Serología para Chagas (Elisa)</t>
  </si>
  <si>
    <t>Hemoaglutinación indirecta Chagas</t>
  </si>
  <si>
    <t>IFI y Hemoaglutinación directa para Chagas</t>
  </si>
  <si>
    <t>VDRL</t>
  </si>
  <si>
    <t>VIH Elisa</t>
  </si>
  <si>
    <t>VIH WESTERN BLOT</t>
  </si>
  <si>
    <t>Test de sangre oculta en materia fecal inmunoquímico</t>
  </si>
  <si>
    <t>Proteinuria</t>
  </si>
  <si>
    <t>PAS</t>
  </si>
  <si>
    <t>FOd</t>
  </si>
  <si>
    <t>R.PAIERC-SISA</t>
  </si>
  <si>
    <t>Consulta seguimiento recien nacido de alto riesgo - consulta de ingreso del modulo</t>
  </si>
  <si>
    <t>Consulta seguimiento recien nacido de alto riesgo - consulta de egreso del modulo</t>
  </si>
  <si>
    <t>-</t>
  </si>
  <si>
    <t>ITE013P07.0</t>
  </si>
  <si>
    <t>ITE014P07.0</t>
  </si>
  <si>
    <t>ITE014P07.2</t>
  </si>
  <si>
    <t>Clinica neonatologica - modulo RNPT (500g a 1500g) sin requerimiento de ARM o CRAP</t>
  </si>
  <si>
    <t>Clinica obstetrica - alto riesgo - hospital de dia - modulo diabetes gestacional compensada no insulino dependiente</t>
  </si>
  <si>
    <t>IGR003</t>
  </si>
  <si>
    <t>Ecocardiograma con Fracción de eyección</t>
  </si>
  <si>
    <t>IGR004</t>
  </si>
  <si>
    <t>Eco-doppler color</t>
  </si>
  <si>
    <t>IGR007</t>
  </si>
  <si>
    <t>Ecografía de cuello</t>
  </si>
  <si>
    <t>IGR008</t>
  </si>
  <si>
    <t>IGR017</t>
  </si>
  <si>
    <t>Rx codo, antebrazo, muñeca, mano, dedos, rodilla, pierna, tobillo, pie (total o focalizada) (frente y perfil)</t>
  </si>
  <si>
    <t>IGR019</t>
  </si>
  <si>
    <t>Rx columna cervical (total o focalizada) (frente y perfil)</t>
  </si>
  <si>
    <t>IGR021</t>
  </si>
  <si>
    <t>IGR022</t>
  </si>
  <si>
    <t>IGR026</t>
  </si>
  <si>
    <t>IGR030</t>
  </si>
  <si>
    <t>IGR032</t>
  </si>
  <si>
    <t>IGR038</t>
  </si>
  <si>
    <t>LBL002</t>
  </si>
  <si>
    <t>Ácido úrico</t>
  </si>
  <si>
    <t>LBL004</t>
  </si>
  <si>
    <t>Amilasa pancreática</t>
  </si>
  <si>
    <t>LBL005</t>
  </si>
  <si>
    <t>Antibiograma micobacterias</t>
  </si>
  <si>
    <t>LBL006</t>
  </si>
  <si>
    <t>Anticuerpos antitreponémicos</t>
  </si>
  <si>
    <t>LBL008</t>
  </si>
  <si>
    <t>Apolipoproteína B</t>
  </si>
  <si>
    <t>LBL009</t>
  </si>
  <si>
    <t>ASTO</t>
  </si>
  <si>
    <t>LBL010</t>
  </si>
  <si>
    <t>Baciloscopía</t>
  </si>
  <si>
    <t>LBL011</t>
  </si>
  <si>
    <t>Bacteriología directa y cultivo</t>
  </si>
  <si>
    <t>LBL014</t>
  </si>
  <si>
    <t>Calcemia</t>
  </si>
  <si>
    <t>LBL015</t>
  </si>
  <si>
    <t>Calciuria</t>
  </si>
  <si>
    <t>LBL016</t>
  </si>
  <si>
    <t>Campo oscuro</t>
  </si>
  <si>
    <t>LBL018</t>
  </si>
  <si>
    <t>Colesterol</t>
  </si>
  <si>
    <t>LBL021</t>
  </si>
  <si>
    <t>Creatinina en orina</t>
  </si>
  <si>
    <t>LBL022</t>
  </si>
  <si>
    <t>Creatinina sérica</t>
  </si>
  <si>
    <t>LBL025</t>
  </si>
  <si>
    <t>Cultivo vaginal exudado flujo</t>
  </si>
  <si>
    <t>LBL026</t>
  </si>
  <si>
    <t>Cultivo y antibiograma general</t>
  </si>
  <si>
    <t>LBL027</t>
  </si>
  <si>
    <t>Electroforesis de proteínas</t>
  </si>
  <si>
    <t>LBL028</t>
  </si>
  <si>
    <t>Eritrosedimentación</t>
  </si>
  <si>
    <t>LBL029</t>
  </si>
  <si>
    <t>Esputo seriado</t>
  </si>
  <si>
    <t>LBL030</t>
  </si>
  <si>
    <t>Estado ácido base</t>
  </si>
  <si>
    <t>LBL031</t>
  </si>
  <si>
    <t>Estudio citoquímico de médula ósea: PAS- peroxidasa- esterasas</t>
  </si>
  <si>
    <t>LBL032</t>
  </si>
  <si>
    <t>Estudio citogenético de médula ósea (técnica de bandeo g)</t>
  </si>
  <si>
    <t>LBL033</t>
  </si>
  <si>
    <t>Estudio de genética molecular de médula ósea (BCR/ABL, MLL/AF4 y TEL/AML1 por técnicas de RT-PCR o FISH)</t>
  </si>
  <si>
    <t>LBL037</t>
  </si>
  <si>
    <t>Ferremia</t>
  </si>
  <si>
    <t>LBL038</t>
  </si>
  <si>
    <t>Ferritina</t>
  </si>
  <si>
    <t>LBL040</t>
  </si>
  <si>
    <t>Fosfatasa alcalina y ácida</t>
  </si>
  <si>
    <t>LBL041</t>
  </si>
  <si>
    <t>Fosfatemia</t>
  </si>
  <si>
    <t>LBL042</t>
  </si>
  <si>
    <t>FSH</t>
  </si>
  <si>
    <t>LBL044</t>
  </si>
  <si>
    <t>Gamma- GT (gamma glutamil transpeptidasa)</t>
  </si>
  <si>
    <t>LBL045</t>
  </si>
  <si>
    <t>Glucemia</t>
  </si>
  <si>
    <t>LBL047</t>
  </si>
  <si>
    <t>Gonadotrofina coriónica humana en sangre</t>
  </si>
  <si>
    <t>LBL048</t>
  </si>
  <si>
    <t>Gonadotrofina coriónica humana en orina</t>
  </si>
  <si>
    <t>LBL050</t>
  </si>
  <si>
    <t>Grupo y factor</t>
  </si>
  <si>
    <t>LBL051</t>
  </si>
  <si>
    <t>HBs Ag</t>
  </si>
  <si>
    <t>LBL052</t>
  </si>
  <si>
    <t>HDL y LDL</t>
  </si>
  <si>
    <t>LBL053</t>
  </si>
  <si>
    <t>Hematocrito</t>
  </si>
  <si>
    <t>LBL055</t>
  </si>
  <si>
    <t>Hemoglobina</t>
  </si>
  <si>
    <t>LBL057</t>
  </si>
  <si>
    <t>Hemograma completo</t>
  </si>
  <si>
    <t>LBL058</t>
  </si>
  <si>
    <t>Hepatitis B anti HBS anticore total</t>
  </si>
  <si>
    <t>LBL059</t>
  </si>
  <si>
    <t>Hepatograma</t>
  </si>
  <si>
    <t>LBL060</t>
  </si>
  <si>
    <t>Hidatidosis por hemoaglutinación</t>
  </si>
  <si>
    <t>LBL061</t>
  </si>
  <si>
    <t>Hidatidosis por IFI</t>
  </si>
  <si>
    <t>LBL062</t>
  </si>
  <si>
    <t>Hisopado de fauces</t>
  </si>
  <si>
    <t>LBL065</t>
  </si>
  <si>
    <t>IFI y hemoaglutinación directa para Chagas</t>
  </si>
  <si>
    <t>LBL066</t>
  </si>
  <si>
    <t>Insulinemia basal</t>
  </si>
  <si>
    <t>LBL067</t>
  </si>
  <si>
    <t>Inmunofenotipo de médula ósea por citometría de flujo</t>
  </si>
  <si>
    <t>LBL068</t>
  </si>
  <si>
    <t>Ionograma plasmático y orina</t>
  </si>
  <si>
    <t>LBL069</t>
  </si>
  <si>
    <t>KPTT</t>
  </si>
  <si>
    <t>LBL070</t>
  </si>
  <si>
    <t>LDH</t>
  </si>
  <si>
    <t>LBL072</t>
  </si>
  <si>
    <t>LH</t>
  </si>
  <si>
    <t>LBL073</t>
  </si>
  <si>
    <t>Lipidograma electroforético</t>
  </si>
  <si>
    <t>LBL075</t>
  </si>
  <si>
    <t>LBL076</t>
  </si>
  <si>
    <t>Micológico</t>
  </si>
  <si>
    <t>LBL078</t>
  </si>
  <si>
    <t>Monotest</t>
  </si>
  <si>
    <t>LBL079</t>
  </si>
  <si>
    <t>Orina completa</t>
  </si>
  <si>
    <t>LBL081</t>
  </si>
  <si>
    <t>LBL083</t>
  </si>
  <si>
    <t>Porcentaje de saturación de hierro funcional</t>
  </si>
  <si>
    <t>LBL084</t>
  </si>
  <si>
    <t>PPD</t>
  </si>
  <si>
    <t>LBL086</t>
  </si>
  <si>
    <t>Progesterona</t>
  </si>
  <si>
    <t>LBL087</t>
  </si>
  <si>
    <t>Prolactina</t>
  </si>
  <si>
    <t>LBL088</t>
  </si>
  <si>
    <t>LBL089</t>
  </si>
  <si>
    <t>Proteínas totales y fraccionadas</t>
  </si>
  <si>
    <t>LBL091</t>
  </si>
  <si>
    <t>Protoporfirina libre eritrocitaria</t>
  </si>
  <si>
    <t>LBL092</t>
  </si>
  <si>
    <t>Prueba de Coombs directa</t>
  </si>
  <si>
    <t>LBL094</t>
  </si>
  <si>
    <t>Prueba de tolerancia a la glucosa</t>
  </si>
  <si>
    <t>LBL095</t>
  </si>
  <si>
    <t>Reacción de Hudleson</t>
  </si>
  <si>
    <t>LBL097</t>
  </si>
  <si>
    <t>Receptores libres de transferrina</t>
  </si>
  <si>
    <t>LBL099</t>
  </si>
  <si>
    <t>LBL100</t>
  </si>
  <si>
    <t>LBL101</t>
  </si>
  <si>
    <t>Serología para hepatitis A total</t>
  </si>
  <si>
    <t>LBL103</t>
  </si>
  <si>
    <t>Sideremia</t>
  </si>
  <si>
    <t>LBL104</t>
  </si>
  <si>
    <t>T3</t>
  </si>
  <si>
    <t>LBL105</t>
  </si>
  <si>
    <t>T4 libre</t>
  </si>
  <si>
    <t>LBL108</t>
  </si>
  <si>
    <t>TIBC</t>
  </si>
  <si>
    <t>LBL112</t>
  </si>
  <si>
    <t>Transaminasas TGO/TGP</t>
  </si>
  <si>
    <t>LBL113</t>
  </si>
  <si>
    <t>Transferrinas</t>
  </si>
  <si>
    <t>LBL114</t>
  </si>
  <si>
    <t>Triglicéridos</t>
  </si>
  <si>
    <t>LBL116</t>
  </si>
  <si>
    <t>LBL117</t>
  </si>
  <si>
    <t>Urea</t>
  </si>
  <si>
    <t>LBL118</t>
  </si>
  <si>
    <t>Urocultivo</t>
  </si>
  <si>
    <t>LBL119</t>
  </si>
  <si>
    <t>LBL121</t>
  </si>
  <si>
    <t>VIH elisa</t>
  </si>
  <si>
    <t>LBL122</t>
  </si>
  <si>
    <t>VIH western blot</t>
  </si>
  <si>
    <t>LBL123</t>
  </si>
  <si>
    <t>Serología para hepatitis C</t>
  </si>
  <si>
    <t>LBL124</t>
  </si>
  <si>
    <t>Magnesemia</t>
  </si>
  <si>
    <t>LBL127</t>
  </si>
  <si>
    <t>Antígeno P24</t>
  </si>
  <si>
    <t>LBL128</t>
  </si>
  <si>
    <t>LBL129</t>
  </si>
  <si>
    <t>IgE sérica</t>
  </si>
  <si>
    <t>LBL130</t>
  </si>
  <si>
    <t>Tiempo de coagulación y sangría</t>
  </si>
  <si>
    <t>LBL131</t>
  </si>
  <si>
    <t>Tiempo de protrombina</t>
  </si>
  <si>
    <t>LBL132</t>
  </si>
  <si>
    <t>Tiempo de trombina</t>
  </si>
  <si>
    <t>LBL133</t>
  </si>
  <si>
    <t>Frotis de sangre periférica</t>
  </si>
  <si>
    <t>LBL134</t>
  </si>
  <si>
    <t>Recuento reticulocitario</t>
  </si>
  <si>
    <t>PRP001</t>
  </si>
  <si>
    <t>Cateterización</t>
  </si>
  <si>
    <t>PRP003</t>
  </si>
  <si>
    <t>PRP004</t>
  </si>
  <si>
    <t>Electrocardiograma</t>
  </si>
  <si>
    <t>PRP005</t>
  </si>
  <si>
    <t>Ergometría</t>
  </si>
  <si>
    <t>PRP006</t>
  </si>
  <si>
    <t>PRP007</t>
  </si>
  <si>
    <t>PRP008</t>
  </si>
  <si>
    <t>PRP009</t>
  </si>
  <si>
    <t>PRP010</t>
  </si>
  <si>
    <t>PRP011</t>
  </si>
  <si>
    <t>PRP014</t>
  </si>
  <si>
    <t>PRP017</t>
  </si>
  <si>
    <t>PRP028</t>
  </si>
  <si>
    <t>Fondo de ojo</t>
  </si>
  <si>
    <t>PRP029</t>
  </si>
  <si>
    <t>Consulta inicial de embarazada con hipertensión crónica</t>
  </si>
  <si>
    <t>Colonoscopia</t>
  </si>
  <si>
    <t>Consulta para confirmación diagnóstico en Población Indígena con riesgo detectado en terreno</t>
  </si>
  <si>
    <t>Consejería post-aborto</t>
  </si>
  <si>
    <t>Examen periódico de salud del adolescente</t>
  </si>
  <si>
    <t>Detección de Cáncer Prevalente</t>
  </si>
  <si>
    <t>Asma Bronquial</t>
  </si>
  <si>
    <t>Sobrepeso (incial)</t>
  </si>
  <si>
    <t>Ecografía en control prenatal</t>
  </si>
  <si>
    <t>Búsqueda activa de embarazadas adolescentes por agente sanitario y/o personal de salud</t>
  </si>
  <si>
    <t>Búsqueda activa de adolescentes para valoración integral</t>
  </si>
  <si>
    <t>Control prenatal de 1ra. Vez</t>
  </si>
  <si>
    <t>Dosis aplicada de doble adultos &gt;16 años</t>
  </si>
  <si>
    <t>Dosis aplicada de vacuna antigripal en personas con factores de riesgo</t>
  </si>
  <si>
    <t>Dosis aplicada de vacuna contra VPH (Virus Papiloma Humano) en niñas de 11 años)</t>
  </si>
  <si>
    <t>Control periódico de salud  del hombre (inicial)</t>
  </si>
  <si>
    <t>Consulta Oftalmológica</t>
  </si>
  <si>
    <t>Detección de riesgo de Enfermedades crónicas no transmisibles prevalentes</t>
  </si>
  <si>
    <t>Notificación del nivel de riesgo cardiovascular</t>
  </si>
  <si>
    <t>Consulta para la promoción de la salud renal, prevención, rastreo y/o diagnóstico precoz de la ERC en población vulnerable</t>
  </si>
  <si>
    <t>Consulta de Conserjería de antecedentes y riesgo de Cáncer colorrectal (inicial)</t>
  </si>
  <si>
    <t>Colonoscopía con toma de Biopsia Colorrectal</t>
  </si>
  <si>
    <t>Examen periódico de salud</t>
  </si>
  <si>
    <t>Toma de muestra citológica ( 25 a 64  años)</t>
  </si>
  <si>
    <t>Mamografía bilateral, craneocaudal y oblicua, con proyección axilar mujeres (en mayores de 49 años (cada 2 años con mamografía negativa)</t>
  </si>
  <si>
    <t>Lectura de la muestra tomada en mujeres entre 25 y 64 años, en laboratorio de Anatomía patológica/ Citología con diagnóstico firmado por anátomo-patólogo</t>
  </si>
  <si>
    <t>Toma de muestra citológica</t>
  </si>
  <si>
    <t>Consulta inicial hipertensión gestacional</t>
  </si>
  <si>
    <t>IFI y Hemoaglutinación Directa para Chagas</t>
  </si>
  <si>
    <t>VIH  Elisa</t>
  </si>
  <si>
    <t>Ecografía obstétrica (en control prenatal)</t>
  </si>
  <si>
    <t>Control prenatal de primera vez</t>
  </si>
  <si>
    <t>Consulta de niños con especialistas (hipoacusia en lactante "No pasa" con otoemisiones acústicas)</t>
  </si>
  <si>
    <t>Oftalmoscopía binocular indirecta (OBI) a todo niño de riesgo (pesquisa de la Retinopatía del prematuro)</t>
  </si>
  <si>
    <t>Rescreening de hipoacusia en lactante "No pasa" con otoemisiones acústicas</t>
  </si>
  <si>
    <t>Rescreening de hipoacusia en lactante "No pasa" con BERA</t>
  </si>
  <si>
    <t>Examen periódico de salud de niños de 1 a 5 años</t>
  </si>
  <si>
    <t>Consulta oftalmológica en niños de 5 años</t>
  </si>
  <si>
    <t>Rx hombro, húmero, pelvis, cadera y fémur (total o focalizada) (frente y perfil)</t>
  </si>
  <si>
    <t>Consulta buco-dental en salud de niños menores de 6 años</t>
  </si>
  <si>
    <t>Biotinidada neonatal</t>
  </si>
  <si>
    <t>Fenilalanina</t>
  </si>
  <si>
    <t>Galactosemia</t>
  </si>
  <si>
    <t>Dosis aplicada de vacuna triple viral en niños menores de 6 años</t>
  </si>
  <si>
    <t>Pgrup</t>
  </si>
  <si>
    <t>Encuentros para promoción de pautas alimentarias en embarazadas, puérperas y niños de 6 años</t>
  </si>
  <si>
    <t>Ingreso (Seguimiento Ambulatorio del Recién Nacido de Alto Riesgo)</t>
  </si>
  <si>
    <t>Egreso (Seguimiento Ambulatorio del Recién Nacido de Alto Riesgo)</t>
  </si>
  <si>
    <t>RNPT de 500 a 1500 g con requerimiento de ARM o CPAP</t>
  </si>
  <si>
    <t>ITE013P07.2</t>
  </si>
  <si>
    <t>RNPT de 500 a 1500 g sin requerimiento de ARM o CPAP</t>
  </si>
  <si>
    <t>Examen periódico de salud de niños de 6 a 9 años</t>
  </si>
  <si>
    <t>Consulta de anemia leve y moderada (inicial)</t>
  </si>
  <si>
    <t>Consulta de anemia leve y moderada (ulterior)</t>
  </si>
  <si>
    <t>Dosis aplicada de vacuna triple viral (actualización de esquema)</t>
  </si>
  <si>
    <t>Dosis aplicada de sabín en niños de 2, 4, 6 y 18 meses y 6 años o actualización de esquema</t>
  </si>
  <si>
    <t>Dosis aplicada de vacuna doble viral (SR) al ingreso escolar</t>
  </si>
  <si>
    <t>Líquido cefalorraquídeo - recuento celular (cámara), citología (MGG, cytospin ) e histoquímica</t>
  </si>
  <si>
    <t>Parasitológico de materia fecal</t>
  </si>
  <si>
    <t>Proteína C reactiva</t>
  </si>
  <si>
    <t>Serología para hepatitis A Ig M</t>
  </si>
  <si>
    <t>Práctica</t>
  </si>
  <si>
    <t>Escisión/remoción/toma para biopsia/punción lumbar</t>
  </si>
  <si>
    <t>Extracción de sangre</t>
  </si>
  <si>
    <t>Incisión/drenaje/lavado</t>
  </si>
  <si>
    <t>Inyección/infiltración local/venopuntura</t>
  </si>
  <si>
    <t>Medicina física/rehabilitación</t>
  </si>
  <si>
    <t>Pruebas de sensibilización</t>
  </si>
  <si>
    <t>Oftalmoscopía binocular indirecta (OBI)</t>
  </si>
  <si>
    <t>Punción de médula ósea</t>
  </si>
  <si>
    <t>RP</t>
  </si>
  <si>
    <t>IGR020</t>
  </si>
  <si>
    <t>Rx columna dorsal (total o focalizada) (frente y perfil)</t>
  </si>
  <si>
    <t>Rx columna lumbar (total o focalizada) (frente y perfil)</t>
  </si>
  <si>
    <t>Rx cráneo (frente y perfil). Rx senos paranasales</t>
  </si>
  <si>
    <t>Rx o telerx tórax (total o focalizada) (frente y perfil)</t>
  </si>
  <si>
    <t>Tomografía axial computada (TAC)</t>
  </si>
  <si>
    <t>Ecografía abdominal</t>
  </si>
  <si>
    <t>Ecografía renal</t>
  </si>
  <si>
    <t>Concatenamiento 1</t>
  </si>
  <si>
    <t>Concatenamiento 2</t>
  </si>
  <si>
    <t>Concatenamiento3</t>
  </si>
  <si>
    <t>PRP</t>
  </si>
  <si>
    <t>IGR</t>
  </si>
  <si>
    <t>LBL</t>
  </si>
  <si>
    <t xml:space="preserve">Provincia </t>
  </si>
  <si>
    <t>Periodo bis</t>
  </si>
  <si>
    <t>Válidos</t>
  </si>
  <si>
    <t>Inválidos</t>
  </si>
  <si>
    <t>Total del periodo</t>
  </si>
  <si>
    <t>Porcentaje validos</t>
  </si>
  <si>
    <t>Porcentaje invalidos</t>
  </si>
  <si>
    <t>Motivo</t>
  </si>
  <si>
    <t>Cantidad</t>
  </si>
  <si>
    <t>Porcentaje respecto a lo debitado</t>
  </si>
  <si>
    <t>sep-oct 2015</t>
  </si>
  <si>
    <t>nov 2015-feb 2016</t>
  </si>
  <si>
    <t>No consta fuente de información válida</t>
  </si>
  <si>
    <t>mar-abr 2016</t>
  </si>
  <si>
    <t>Prestación inexistente</t>
  </si>
  <si>
    <t>may-jun 2016</t>
  </si>
  <si>
    <t>Datos requeridos incompletos</t>
  </si>
  <si>
    <t>jul-ago 2016</t>
  </si>
  <si>
    <t>Codificación errónea</t>
  </si>
  <si>
    <t>sep-oct 2016</t>
  </si>
  <si>
    <t>Fuente invalida</t>
  </si>
  <si>
    <t>Total de debitos</t>
  </si>
</sst>
</file>

<file path=xl/styles.xml><?xml version="1.0" encoding="utf-8"?>
<styleSheet xmlns="http://schemas.openxmlformats.org/spreadsheetml/2006/main" xmlns:mc="http://schemas.openxmlformats.org/markup-compatibility/2006" xmlns:x14ac="http://schemas.microsoft.com/office/spreadsheetml/2009/9/ac" mc:Ignorable="x14ac">
  <fonts count="28">
    <font>
      <sz val="11"/>
      <color theme="1"/>
      <name val="Calibri"/>
      <family val="2"/>
      <scheme val="minor"/>
    </font>
    <font>
      <sz val="10"/>
      <color theme="1"/>
      <name val="Verdana"/>
      <family val="2"/>
    </font>
    <font>
      <b/>
      <sz val="10"/>
      <color theme="0"/>
      <name val="Verdana"/>
      <family val="2"/>
    </font>
    <font>
      <b/>
      <u/>
      <sz val="12"/>
      <color theme="1"/>
      <name val="Verdana"/>
      <family val="2"/>
    </font>
    <font>
      <b/>
      <sz val="13"/>
      <color rgb="FF002D62"/>
      <name val="Verdana"/>
      <family val="2"/>
    </font>
    <font>
      <b/>
      <sz val="10"/>
      <color theme="1"/>
      <name val="Verdana"/>
      <family val="2"/>
    </font>
    <font>
      <i/>
      <sz val="10"/>
      <color theme="1"/>
      <name val="Verdana"/>
      <family val="2"/>
    </font>
    <font>
      <b/>
      <i/>
      <sz val="11"/>
      <color theme="1"/>
      <name val="Verdana"/>
      <family val="2"/>
    </font>
    <font>
      <sz val="10"/>
      <color theme="0"/>
      <name val="Verdana"/>
      <family val="2"/>
    </font>
    <font>
      <u/>
      <sz val="10"/>
      <name val="Verdana"/>
      <family val="2"/>
    </font>
    <font>
      <u/>
      <sz val="10"/>
      <color theme="1"/>
      <name val="Verdana"/>
      <family val="2"/>
    </font>
    <font>
      <sz val="10"/>
      <name val="Arial"/>
      <family val="2"/>
    </font>
    <font>
      <sz val="8"/>
      <color rgb="FFFFFFFF"/>
      <name val="Verdana"/>
      <family val="2"/>
    </font>
    <font>
      <sz val="8"/>
      <color rgb="FF000000"/>
      <name val="Verdana"/>
      <family val="2"/>
    </font>
    <font>
      <b/>
      <sz val="8"/>
      <color rgb="FF002D62"/>
      <name val="Verdana"/>
      <family val="2"/>
    </font>
    <font>
      <sz val="10"/>
      <color indexed="81"/>
      <name val="Tahoma"/>
      <family val="2"/>
    </font>
    <font>
      <b/>
      <sz val="10"/>
      <color indexed="81"/>
      <name val="Tahoma"/>
      <family val="2"/>
    </font>
    <font>
      <sz val="11"/>
      <color theme="1"/>
      <name val="Verdana"/>
      <family val="2"/>
    </font>
    <font>
      <b/>
      <sz val="11"/>
      <color theme="0"/>
      <name val="Calibri"/>
      <family val="2"/>
      <scheme val="minor"/>
    </font>
    <font>
      <sz val="11"/>
      <color theme="1"/>
      <name val="Calibri"/>
      <family val="2"/>
      <scheme val="minor"/>
    </font>
    <font>
      <sz val="8"/>
      <color theme="1"/>
      <name val="Verdana"/>
      <family val="2"/>
    </font>
    <font>
      <b/>
      <sz val="12"/>
      <color theme="0"/>
      <name val="Calibri"/>
      <family val="2"/>
      <scheme val="minor"/>
    </font>
    <font>
      <sz val="11"/>
      <name val="Calibri"/>
      <family val="2"/>
      <scheme val="minor"/>
    </font>
    <font>
      <sz val="11"/>
      <color indexed="8"/>
      <name val="Helvetica Neue"/>
    </font>
    <font>
      <sz val="10"/>
      <color theme="1"/>
      <name val="Calibri"/>
      <family val="2"/>
      <scheme val="minor"/>
    </font>
    <font>
      <sz val="12"/>
      <name val="Calibri"/>
      <family val="2"/>
      <scheme val="minor"/>
    </font>
    <font>
      <b/>
      <sz val="11"/>
      <color theme="1"/>
      <name val="Calibri"/>
      <family val="2"/>
      <scheme val="minor"/>
    </font>
    <font>
      <sz val="11"/>
      <color theme="1"/>
      <name val="Calibri"/>
      <scheme val="minor"/>
    </font>
  </fonts>
  <fills count="10">
    <fill>
      <patternFill patternType="none"/>
    </fill>
    <fill>
      <patternFill patternType="gray125"/>
    </fill>
    <fill>
      <patternFill patternType="solid">
        <fgColor rgb="FF002D62"/>
        <bgColor indexed="64"/>
      </patternFill>
    </fill>
    <fill>
      <patternFill patternType="solid">
        <fgColor rgb="FF80A1B6"/>
        <bgColor indexed="64"/>
      </patternFill>
    </fill>
    <fill>
      <patternFill patternType="solid">
        <fgColor theme="0"/>
        <bgColor indexed="64"/>
      </patternFill>
    </fill>
    <fill>
      <patternFill patternType="solid">
        <fgColor theme="4" tint="-0.249977111117893"/>
        <bgColor indexed="64"/>
      </patternFill>
    </fill>
    <fill>
      <patternFill patternType="solid">
        <fgColor rgb="FFE7D8AC"/>
        <bgColor indexed="64"/>
      </patternFill>
    </fill>
    <fill>
      <patternFill patternType="solid">
        <fgColor rgb="FF00B0F0"/>
        <bgColor indexed="64"/>
      </patternFill>
    </fill>
    <fill>
      <patternFill patternType="solid">
        <fgColor indexed="9"/>
        <bgColor indexed="64"/>
      </patternFill>
    </fill>
    <fill>
      <patternFill patternType="solid">
        <fgColor rgb="FFFF0000"/>
        <bgColor indexed="64"/>
      </patternFill>
    </fill>
  </fills>
  <borders count="50">
    <border>
      <left/>
      <right/>
      <top/>
      <bottom/>
      <diagonal/>
    </border>
    <border>
      <left/>
      <right/>
      <top/>
      <bottom style="double">
        <color theme="0"/>
      </bottom>
      <diagonal/>
    </border>
    <border>
      <left/>
      <right style="double">
        <color theme="0"/>
      </right>
      <top/>
      <bottom/>
      <diagonal/>
    </border>
    <border>
      <left/>
      <right style="double">
        <color rgb="FF002D62"/>
      </right>
      <top/>
      <bottom style="double">
        <color rgb="FF002D62"/>
      </bottom>
      <diagonal/>
    </border>
    <border>
      <left style="double">
        <color theme="2"/>
      </left>
      <right style="double">
        <color theme="2"/>
      </right>
      <top style="double">
        <color theme="0"/>
      </top>
      <bottom/>
      <diagonal/>
    </border>
    <border>
      <left/>
      <right/>
      <top style="double">
        <color rgb="FF002D62"/>
      </top>
      <bottom/>
      <diagonal/>
    </border>
    <border>
      <left style="double">
        <color rgb="FF002D62"/>
      </left>
      <right/>
      <top/>
      <bottom/>
      <diagonal/>
    </border>
    <border>
      <left style="double">
        <color rgb="FF002D62"/>
      </left>
      <right style="double">
        <color rgb="FF002D62"/>
      </right>
      <top style="double">
        <color rgb="FF002D62"/>
      </top>
      <bottom style="double">
        <color rgb="FF002D62"/>
      </bottom>
      <diagonal/>
    </border>
    <border>
      <left style="double">
        <color rgb="FF002D62"/>
      </left>
      <right style="double">
        <color rgb="FF002D62"/>
      </right>
      <top/>
      <bottom/>
      <diagonal/>
    </border>
    <border>
      <left/>
      <right style="double">
        <color rgb="FF002D62"/>
      </right>
      <top style="double">
        <color theme="0"/>
      </top>
      <bottom style="double">
        <color rgb="FF002D62"/>
      </bottom>
      <diagonal/>
    </border>
    <border>
      <left style="slantDashDot">
        <color auto="1"/>
      </left>
      <right style="slantDashDot">
        <color auto="1"/>
      </right>
      <top style="slantDashDot">
        <color auto="1"/>
      </top>
      <bottom/>
      <diagonal/>
    </border>
    <border>
      <left style="slantDashDot">
        <color auto="1"/>
      </left>
      <right style="slantDashDot">
        <color auto="1"/>
      </right>
      <top/>
      <bottom/>
      <diagonal/>
    </border>
    <border>
      <left style="slantDashDot">
        <color auto="1"/>
      </left>
      <right style="slantDashDot">
        <color auto="1"/>
      </right>
      <top/>
      <bottom style="slantDashDot">
        <color auto="1"/>
      </bottom>
      <diagonal/>
    </border>
    <border>
      <left style="thin">
        <color indexed="64"/>
      </left>
      <right style="thin">
        <color indexed="64"/>
      </right>
      <top style="thin">
        <color indexed="64"/>
      </top>
      <bottom style="thin">
        <color indexed="64"/>
      </bottom>
      <diagonal/>
    </border>
    <border>
      <left style="double">
        <color theme="0"/>
      </left>
      <right style="double">
        <color theme="2"/>
      </right>
      <top style="double">
        <color theme="0"/>
      </top>
      <bottom style="double">
        <color rgb="FF002D62"/>
      </bottom>
      <diagonal/>
    </border>
    <border>
      <left/>
      <right/>
      <top/>
      <bottom style="double">
        <color rgb="FF002D62"/>
      </bottom>
      <diagonal/>
    </border>
    <border>
      <left style="double">
        <color rgb="FF002D62"/>
      </left>
      <right/>
      <top style="double">
        <color rgb="FF002D62"/>
      </top>
      <bottom/>
      <diagonal/>
    </border>
    <border>
      <left style="double">
        <color rgb="FF002D62"/>
      </left>
      <right/>
      <top style="double">
        <color rgb="FF002D62"/>
      </top>
      <bottom style="double">
        <color rgb="FF002D62"/>
      </bottom>
      <diagonal/>
    </border>
    <border>
      <left style="double">
        <color rgb="FF80A1B6"/>
      </left>
      <right/>
      <top/>
      <bottom/>
      <diagonal/>
    </border>
    <border>
      <left style="double">
        <color theme="2"/>
      </left>
      <right style="double">
        <color theme="2"/>
      </right>
      <top style="double">
        <color theme="0" tint="-4.9989318521683403E-2"/>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style="double">
        <color rgb="FF80A1B6"/>
      </right>
      <top style="double">
        <color theme="0"/>
      </top>
      <bottom style="double">
        <color theme="0"/>
      </bottom>
      <diagonal/>
    </border>
    <border>
      <left style="double">
        <color theme="0"/>
      </left>
      <right style="double">
        <color theme="0"/>
      </right>
      <top style="double">
        <color theme="0"/>
      </top>
      <bottom style="double">
        <color rgb="FF002D62"/>
      </bottom>
      <diagonal/>
    </border>
    <border>
      <left style="medium">
        <color indexed="64"/>
      </left>
      <right style="medium">
        <color indexed="64"/>
      </right>
      <top style="medium">
        <color indexed="64"/>
      </top>
      <bottom style="medium">
        <color indexed="64"/>
      </bottom>
      <diagonal/>
    </border>
    <border>
      <left style="double">
        <color theme="2"/>
      </left>
      <right style="double">
        <color theme="0"/>
      </right>
      <top style="double">
        <color theme="0"/>
      </top>
      <bottom style="double">
        <color rgb="FF002D62"/>
      </bottom>
      <diagonal/>
    </border>
    <border>
      <left style="double">
        <color theme="0"/>
      </left>
      <right/>
      <top style="double">
        <color theme="0"/>
      </top>
      <bottom style="double">
        <color theme="0"/>
      </bottom>
      <diagonal/>
    </border>
    <border>
      <left/>
      <right style="double">
        <color rgb="FF80A1B6"/>
      </right>
      <top/>
      <bottom style="double">
        <color rgb="FF002D62"/>
      </bottom>
      <diagonal/>
    </border>
    <border>
      <left style="double">
        <color theme="0"/>
      </left>
      <right style="double">
        <color rgb="FF002D62"/>
      </right>
      <top style="double">
        <color theme="0" tint="-4.9989318521683403E-2"/>
      </top>
      <bottom/>
      <diagonal/>
    </border>
    <border>
      <left style="double">
        <color theme="2"/>
      </left>
      <right style="double">
        <color theme="0"/>
      </right>
      <top style="double">
        <color theme="0" tint="-4.9989318521683403E-2"/>
      </top>
      <bottom/>
      <diagonal/>
    </border>
    <border>
      <left style="double">
        <color theme="0"/>
      </left>
      <right style="double">
        <color theme="2"/>
      </right>
      <top style="double">
        <color theme="0"/>
      </top>
      <bottom/>
      <diagonal/>
    </border>
    <border>
      <left style="double">
        <color theme="0"/>
      </left>
      <right style="double">
        <color theme="0"/>
      </right>
      <top style="double">
        <color theme="0"/>
      </top>
      <bottom/>
      <diagonal/>
    </border>
    <border>
      <left/>
      <right style="double">
        <color rgb="FF002D62"/>
      </right>
      <top/>
      <bottom/>
      <diagonal/>
    </border>
    <border>
      <left style="double">
        <color rgb="FF002D62"/>
      </left>
      <right style="double">
        <color rgb="FF002D62"/>
      </right>
      <top style="double">
        <color rgb="FF002D62"/>
      </top>
      <bottom style="thin">
        <color rgb="FF002D62"/>
      </bottom>
      <diagonal/>
    </border>
    <border>
      <left style="double">
        <color rgb="FF002D62"/>
      </left>
      <right style="double">
        <color rgb="FF002D62"/>
      </right>
      <top style="thin">
        <color rgb="FF002D62"/>
      </top>
      <bottom style="thin">
        <color rgb="FF002D62"/>
      </bottom>
      <diagonal/>
    </border>
    <border>
      <left style="double">
        <color rgb="FF002D62"/>
      </left>
      <right style="double">
        <color rgb="FF002D62"/>
      </right>
      <top style="thin">
        <color rgb="FF002D62"/>
      </top>
      <bottom style="double">
        <color rgb="FF002D62"/>
      </bottom>
      <diagonal/>
    </border>
    <border>
      <left style="double">
        <color rgb="FF002D62"/>
      </left>
      <right style="double">
        <color rgb="FF002D62"/>
      </right>
      <top/>
      <bottom style="thin">
        <color rgb="FF002D62"/>
      </bottom>
      <diagonal/>
    </border>
    <border>
      <left style="double">
        <color theme="0"/>
      </left>
      <right style="double">
        <color theme="0"/>
      </right>
      <top style="double">
        <color theme="0"/>
      </top>
      <bottom style="double">
        <color theme="0"/>
      </bottom>
      <diagonal/>
    </border>
    <border>
      <left style="double">
        <color theme="0"/>
      </left>
      <right style="double">
        <color theme="2"/>
      </right>
      <top style="double">
        <color theme="0"/>
      </top>
      <bottom style="double">
        <color theme="0"/>
      </bottom>
      <diagonal/>
    </border>
    <border>
      <left style="double">
        <color theme="2"/>
      </left>
      <right style="double">
        <color theme="2"/>
      </right>
      <top style="double">
        <color theme="0"/>
      </top>
      <bottom style="double">
        <color theme="2"/>
      </bottom>
      <diagonal/>
    </border>
    <border>
      <left style="double">
        <color theme="2"/>
      </left>
      <right style="double">
        <color theme="2"/>
      </right>
      <top style="double">
        <color theme="0" tint="-4.9989318521683403E-2"/>
      </top>
      <bottom style="double">
        <color theme="2"/>
      </bottom>
      <diagonal/>
    </border>
    <border>
      <left style="double">
        <color theme="2"/>
      </left>
      <right style="double">
        <color theme="0"/>
      </right>
      <top style="double">
        <color theme="0" tint="-4.9989318521683403E-2"/>
      </top>
      <bottom style="double">
        <color theme="2"/>
      </bottom>
      <diagonal/>
    </border>
    <border>
      <left style="double">
        <color theme="0"/>
      </left>
      <right style="double">
        <color theme="2"/>
      </right>
      <top style="double">
        <color theme="0" tint="-4.9989318521683403E-2"/>
      </top>
      <bottom style="double">
        <color theme="2"/>
      </bottom>
      <diagonal/>
    </border>
    <border>
      <left style="double">
        <color theme="2"/>
      </left>
      <right style="double">
        <color theme="2"/>
      </right>
      <top style="double">
        <color theme="2"/>
      </top>
      <bottom/>
      <diagonal/>
    </border>
    <border>
      <left style="double">
        <color rgb="FF002D62"/>
      </left>
      <right style="double">
        <color rgb="FF002D62"/>
      </right>
      <top style="double">
        <color rgb="FF002D62"/>
      </top>
      <bottom style="thin">
        <color auto="1"/>
      </bottom>
      <diagonal/>
    </border>
    <border>
      <left style="double">
        <color rgb="FF002D62"/>
      </left>
      <right style="double">
        <color rgb="FF002D62"/>
      </right>
      <top style="thin">
        <color auto="1"/>
      </top>
      <bottom style="thin">
        <color auto="1"/>
      </bottom>
      <diagonal/>
    </border>
    <border>
      <left style="double">
        <color rgb="FF002D62"/>
      </left>
      <right style="double">
        <color rgb="FF002D62"/>
      </right>
      <top style="thin">
        <color auto="1"/>
      </top>
      <bottom style="double">
        <color rgb="FF002D62"/>
      </bottom>
      <diagonal/>
    </border>
    <border>
      <left style="double">
        <color rgb="FF002D62"/>
      </left>
      <right style="double">
        <color rgb="FF002D62"/>
      </right>
      <top/>
      <bottom style="thin">
        <color auto="1"/>
      </bottom>
      <diagonal/>
    </border>
    <border>
      <left style="thin">
        <color indexed="64"/>
      </left>
      <right style="thin">
        <color indexed="64"/>
      </right>
      <top/>
      <bottom/>
      <diagonal/>
    </border>
  </borders>
  <cellStyleXfs count="7">
    <xf numFmtId="0" fontId="0" fillId="0" borderId="0"/>
    <xf numFmtId="0" fontId="11" fillId="0" borderId="0"/>
    <xf numFmtId="0" fontId="11" fillId="0" borderId="0"/>
    <xf numFmtId="0" fontId="11" fillId="0" borderId="0"/>
    <xf numFmtId="0" fontId="11" fillId="0" borderId="0"/>
    <xf numFmtId="0" fontId="23" fillId="0" borderId="0" applyNumberFormat="0" applyFill="0" applyBorder="0" applyProtection="0">
      <alignment vertical="top"/>
    </xf>
    <xf numFmtId="9" fontId="19" fillId="0" borderId="0" applyFont="0" applyFill="0" applyBorder="0" applyAlignment="0" applyProtection="0"/>
  </cellStyleXfs>
  <cellXfs count="217">
    <xf numFmtId="0" fontId="0" fillId="0" borderId="0" xfId="0"/>
    <xf numFmtId="0" fontId="2" fillId="5" borderId="10" xfId="0" applyFont="1" applyFill="1" applyBorder="1" applyAlignment="1">
      <alignment horizontal="center" vertical="center"/>
    </xf>
    <xf numFmtId="0" fontId="2" fillId="0" borderId="11" xfId="0" applyFont="1" applyFill="1" applyBorder="1" applyAlignment="1">
      <alignment vertical="center"/>
    </xf>
    <xf numFmtId="0" fontId="9" fillId="0" borderId="11" xfId="0" applyFont="1" applyFill="1" applyBorder="1" applyAlignment="1">
      <alignment vertical="center"/>
    </xf>
    <xf numFmtId="0" fontId="1" fillId="0" borderId="11" xfId="0" applyFont="1" applyBorder="1" applyAlignment="1">
      <alignment vertical="center" wrapText="1"/>
    </xf>
    <xf numFmtId="0" fontId="10" fillId="0" borderId="11" xfId="0" applyFont="1" applyBorder="1" applyAlignment="1">
      <alignment wrapText="1"/>
    </xf>
    <xf numFmtId="0" fontId="1" fillId="0" borderId="11" xfId="0" applyFont="1" applyBorder="1" applyAlignment="1">
      <alignment wrapText="1"/>
    </xf>
    <xf numFmtId="0" fontId="5" fillId="0" borderId="11" xfId="0" applyFont="1" applyBorder="1" applyAlignment="1">
      <alignment wrapText="1"/>
    </xf>
    <xf numFmtId="0" fontId="10" fillId="0" borderId="11" xfId="0" applyFont="1" applyBorder="1" applyAlignment="1">
      <alignment vertical="center" wrapText="1"/>
    </xf>
    <xf numFmtId="0" fontId="1" fillId="0" borderId="12" xfId="0" applyFont="1" applyBorder="1" applyAlignment="1">
      <alignment vertical="center" wrapText="1"/>
    </xf>
    <xf numFmtId="0" fontId="1" fillId="0" borderId="0" xfId="0" applyFont="1" applyAlignment="1">
      <alignment wrapText="1"/>
    </xf>
    <xf numFmtId="0" fontId="0" fillId="0" borderId="0" xfId="0" applyFill="1"/>
    <xf numFmtId="0" fontId="14" fillId="6" borderId="0" xfId="0" applyFont="1" applyFill="1" applyBorder="1" applyAlignment="1">
      <alignment horizontal="center" vertical="center"/>
    </xf>
    <xf numFmtId="0" fontId="14" fillId="6" borderId="0" xfId="0" applyFont="1" applyFill="1" applyAlignment="1">
      <alignment horizontal="center" vertical="center"/>
    </xf>
    <xf numFmtId="0" fontId="12" fillId="2" borderId="0" xfId="0" applyFont="1" applyFill="1" applyAlignment="1">
      <alignment horizontal="center" vertical="center" wrapText="1"/>
    </xf>
    <xf numFmtId="0" fontId="12" fillId="2" borderId="0" xfId="0" applyFont="1" applyFill="1" applyAlignment="1">
      <alignment horizontal="center" vertical="center"/>
    </xf>
    <xf numFmtId="0" fontId="14" fillId="6" borderId="0" xfId="0" applyFont="1" applyFill="1" applyAlignment="1">
      <alignment vertical="center"/>
    </xf>
    <xf numFmtId="0" fontId="0" fillId="4" borderId="0" xfId="0" applyFill="1"/>
    <xf numFmtId="0" fontId="13" fillId="4" borderId="20" xfId="0" applyFont="1" applyFill="1" applyBorder="1" applyAlignment="1">
      <alignment vertical="center"/>
    </xf>
    <xf numFmtId="0" fontId="13" fillId="4" borderId="20" xfId="0" applyFont="1" applyFill="1" applyBorder="1" applyAlignment="1">
      <alignment horizontal="left" vertical="center"/>
    </xf>
    <xf numFmtId="0" fontId="13" fillId="4" borderId="20" xfId="0" applyFont="1" applyFill="1" applyBorder="1" applyAlignment="1">
      <alignment horizontal="center" vertical="center"/>
    </xf>
    <xf numFmtId="0" fontId="13" fillId="4" borderId="0" xfId="0" applyFont="1" applyFill="1" applyBorder="1" applyAlignment="1">
      <alignment horizontal="left" vertical="center"/>
    </xf>
    <xf numFmtId="0" fontId="13" fillId="4" borderId="0" xfId="0" applyFont="1" applyFill="1" applyBorder="1" applyAlignment="1">
      <alignment horizontal="center" vertical="center"/>
    </xf>
    <xf numFmtId="0" fontId="13" fillId="4" borderId="21" xfId="0" applyFont="1" applyFill="1" applyBorder="1" applyAlignment="1">
      <alignment vertical="center"/>
    </xf>
    <xf numFmtId="0" fontId="13" fillId="4" borderId="22" xfId="0" applyFont="1" applyFill="1" applyBorder="1" applyAlignment="1">
      <alignment vertical="center"/>
    </xf>
    <xf numFmtId="0" fontId="13" fillId="4" borderId="21" xfId="0" applyFont="1" applyFill="1" applyBorder="1" applyAlignment="1">
      <alignment horizontal="left" vertical="center"/>
    </xf>
    <xf numFmtId="0" fontId="13" fillId="4" borderId="21" xfId="0" applyFont="1" applyFill="1" applyBorder="1" applyAlignment="1">
      <alignment horizontal="center" vertical="center"/>
    </xf>
    <xf numFmtId="0" fontId="13" fillId="4" borderId="22" xfId="0" applyFont="1" applyFill="1" applyBorder="1" applyAlignment="1">
      <alignment horizontal="left" vertical="center"/>
    </xf>
    <xf numFmtId="0" fontId="13" fillId="4" borderId="22" xfId="0" applyFont="1" applyFill="1" applyBorder="1" applyAlignment="1">
      <alignment horizontal="center" vertical="center"/>
    </xf>
    <xf numFmtId="0" fontId="0" fillId="4" borderId="0" xfId="0" applyFill="1" applyAlignment="1">
      <alignment horizontal="left" vertical="center"/>
    </xf>
    <xf numFmtId="0" fontId="0" fillId="4" borderId="0" xfId="0" applyFill="1" applyAlignment="1">
      <alignment horizontal="center" vertical="center"/>
    </xf>
    <xf numFmtId="0" fontId="0" fillId="4" borderId="0" xfId="0" applyFill="1" applyAlignment="1">
      <alignment vertical="center"/>
    </xf>
    <xf numFmtId="0" fontId="13" fillId="4" borderId="21" xfId="0" applyFont="1" applyFill="1" applyBorder="1" applyAlignment="1">
      <alignment horizontal="center" vertical="center" wrapText="1"/>
    </xf>
    <xf numFmtId="0" fontId="13" fillId="4" borderId="22" xfId="0" applyFont="1" applyFill="1" applyBorder="1" applyAlignment="1">
      <alignment horizontal="center" vertical="center" wrapText="1"/>
    </xf>
    <xf numFmtId="0" fontId="12" fillId="2" borderId="0" xfId="0" applyFont="1" applyFill="1" applyAlignment="1">
      <alignment horizontal="center" vertical="center"/>
    </xf>
    <xf numFmtId="0" fontId="13" fillId="4" borderId="21" xfId="0" applyFont="1" applyFill="1" applyBorder="1" applyAlignment="1">
      <alignment horizontal="center" vertical="center"/>
    </xf>
    <xf numFmtId="0" fontId="13" fillId="4" borderId="22" xfId="0" applyFont="1" applyFill="1" applyBorder="1" applyAlignment="1">
      <alignment horizontal="center" vertical="center"/>
    </xf>
    <xf numFmtId="0" fontId="20" fillId="4" borderId="0" xfId="0" applyFont="1" applyFill="1"/>
    <xf numFmtId="0" fontId="13" fillId="4" borderId="0" xfId="0" applyFont="1" applyFill="1" applyBorder="1" applyAlignment="1">
      <alignment vertical="center"/>
    </xf>
    <xf numFmtId="0" fontId="0" fillId="0" borderId="13" xfId="0" applyBorder="1" applyAlignment="1">
      <alignment horizontal="center" vertical="center"/>
    </xf>
    <xf numFmtId="0" fontId="13" fillId="4" borderId="22" xfId="0" applyFont="1" applyFill="1" applyBorder="1" applyAlignment="1">
      <alignment horizontal="center" vertical="center"/>
    </xf>
    <xf numFmtId="0" fontId="0" fillId="0" borderId="13" xfId="0" applyBorder="1"/>
    <xf numFmtId="0" fontId="18" fillId="7" borderId="25" xfId="0" applyFont="1" applyFill="1" applyBorder="1" applyAlignment="1">
      <alignment horizontal="center" vertical="center"/>
    </xf>
    <xf numFmtId="14" fontId="18" fillId="7" borderId="25" xfId="0" applyNumberFormat="1" applyFont="1" applyFill="1" applyBorder="1" applyAlignment="1">
      <alignment horizontal="center" vertical="center"/>
    </xf>
    <xf numFmtId="1" fontId="0" fillId="4" borderId="0" xfId="0" applyNumberFormat="1" applyFill="1" applyAlignment="1">
      <alignment horizontal="left" vertical="center"/>
    </xf>
    <xf numFmtId="14" fontId="0" fillId="4" borderId="0" xfId="0" applyNumberFormat="1" applyFill="1" applyAlignment="1">
      <alignment horizontal="center" vertical="center"/>
    </xf>
    <xf numFmtId="0" fontId="21" fillId="7" borderId="13" xfId="0" applyFont="1" applyFill="1" applyBorder="1" applyAlignment="1">
      <alignment horizontal="center" vertical="center"/>
    </xf>
    <xf numFmtId="0" fontId="21" fillId="7" borderId="13" xfId="1" applyFont="1" applyFill="1" applyBorder="1" applyAlignment="1">
      <alignment horizontal="center" vertical="center"/>
    </xf>
    <xf numFmtId="0" fontId="0" fillId="0" borderId="13" xfId="0" applyFont="1" applyFill="1" applyBorder="1" applyAlignment="1">
      <alignment horizontal="left" vertical="center"/>
    </xf>
    <xf numFmtId="0" fontId="0" fillId="0" borderId="13" xfId="1" applyFont="1" applyFill="1" applyBorder="1" applyAlignment="1">
      <alignment horizontal="center" vertical="center"/>
    </xf>
    <xf numFmtId="49" fontId="22" fillId="0" borderId="13" xfId="1" applyNumberFormat="1" applyFont="1" applyFill="1" applyBorder="1" applyAlignment="1">
      <alignment horizontal="center" vertical="center"/>
    </xf>
    <xf numFmtId="0" fontId="0" fillId="0" borderId="13" xfId="4" applyFont="1" applyFill="1" applyBorder="1" applyAlignment="1">
      <alignment horizontal="center" vertical="center"/>
    </xf>
    <xf numFmtId="0" fontId="0" fillId="0" borderId="13" xfId="0" applyFont="1" applyFill="1" applyBorder="1" applyAlignment="1">
      <alignment horizontal="center" vertical="center"/>
    </xf>
    <xf numFmtId="0" fontId="22" fillId="0" borderId="13" xfId="1" applyFont="1" applyFill="1" applyBorder="1" applyAlignment="1">
      <alignment horizontal="center" vertical="center"/>
    </xf>
    <xf numFmtId="49" fontId="0" fillId="0" borderId="13" xfId="1" applyNumberFormat="1" applyFont="1" applyFill="1" applyBorder="1" applyAlignment="1">
      <alignment horizontal="center" vertical="center"/>
    </xf>
    <xf numFmtId="0" fontId="0" fillId="0" borderId="13" xfId="1" applyNumberFormat="1" applyFont="1" applyFill="1" applyBorder="1" applyAlignment="1">
      <alignment horizontal="center" vertical="center"/>
    </xf>
    <xf numFmtId="0" fontId="19" fillId="0" borderId="13" xfId="0" applyFont="1" applyFill="1" applyBorder="1" applyAlignment="1">
      <alignment horizontal="left" vertical="center"/>
    </xf>
    <xf numFmtId="0" fontId="24" fillId="0" borderId="13" xfId="0" applyFont="1" applyFill="1" applyBorder="1" applyAlignment="1">
      <alignment horizontal="center" vertical="center"/>
    </xf>
    <xf numFmtId="0" fontId="25" fillId="0" borderId="13" xfId="0" applyFont="1" applyFill="1" applyBorder="1" applyAlignment="1">
      <alignment horizontal="center" vertical="center"/>
    </xf>
    <xf numFmtId="0" fontId="0" fillId="0" borderId="13" xfId="0" applyFill="1" applyBorder="1" applyAlignment="1">
      <alignment horizontal="center" vertical="center"/>
    </xf>
    <xf numFmtId="0" fontId="0" fillId="0" borderId="13" xfId="0" applyFill="1" applyBorder="1" applyAlignment="1">
      <alignment vertical="center"/>
    </xf>
    <xf numFmtId="0" fontId="0" fillId="0" borderId="13" xfId="0" applyFill="1" applyBorder="1" applyAlignment="1">
      <alignment horizontal="left" vertical="center"/>
    </xf>
    <xf numFmtId="0" fontId="17" fillId="0" borderId="0" xfId="0" applyFont="1" applyProtection="1"/>
    <xf numFmtId="0" fontId="1" fillId="4" borderId="0" xfId="0" applyFont="1" applyFill="1" applyProtection="1"/>
    <xf numFmtId="0" fontId="1" fillId="4" borderId="0" xfId="0" applyFont="1" applyFill="1" applyAlignment="1" applyProtection="1">
      <alignment horizontal="center" vertical="center"/>
    </xf>
    <xf numFmtId="0" fontId="1" fillId="4" borderId="0" xfId="0" applyFont="1" applyFill="1" applyAlignment="1" applyProtection="1">
      <alignment horizontal="center"/>
    </xf>
    <xf numFmtId="0" fontId="17" fillId="4" borderId="0" xfId="0" applyFont="1" applyFill="1" applyProtection="1"/>
    <xf numFmtId="0" fontId="17" fillId="0" borderId="0" xfId="0" applyNumberFormat="1" applyFont="1" applyAlignment="1" applyProtection="1">
      <alignment horizontal="center"/>
    </xf>
    <xf numFmtId="0" fontId="3" fillId="4" borderId="0" xfId="0" applyFont="1" applyFill="1" applyProtection="1"/>
    <xf numFmtId="0" fontId="17" fillId="0" borderId="1" xfId="0" applyFont="1" applyBorder="1" applyProtection="1"/>
    <xf numFmtId="0" fontId="1" fillId="4" borderId="1" xfId="0" applyFont="1" applyFill="1" applyBorder="1" applyProtection="1"/>
    <xf numFmtId="0" fontId="1" fillId="4" borderId="0" xfId="0" applyFont="1" applyFill="1" applyBorder="1" applyProtection="1"/>
    <xf numFmtId="0" fontId="17" fillId="0" borderId="18" xfId="0" applyFont="1" applyBorder="1" applyProtection="1"/>
    <xf numFmtId="0" fontId="2" fillId="2" borderId="24" xfId="0" applyFont="1" applyFill="1" applyBorder="1" applyAlignment="1" applyProtection="1">
      <alignment horizontal="center" vertical="center"/>
    </xf>
    <xf numFmtId="0" fontId="2" fillId="2" borderId="14" xfId="0" applyFont="1" applyFill="1" applyBorder="1" applyAlignment="1" applyProtection="1">
      <alignment horizontal="center" vertical="center" wrapText="1"/>
    </xf>
    <xf numFmtId="0" fontId="2" fillId="2" borderId="4" xfId="0" applyFont="1" applyFill="1" applyBorder="1" applyAlignment="1" applyProtection="1">
      <alignment horizontal="center" vertical="center"/>
    </xf>
    <xf numFmtId="0" fontId="2" fillId="2" borderId="26" xfId="0" applyFont="1" applyFill="1" applyBorder="1" applyAlignment="1" applyProtection="1">
      <alignment horizontal="center" vertical="center"/>
    </xf>
    <xf numFmtId="0" fontId="1" fillId="4" borderId="0" xfId="0" applyFont="1" applyFill="1" applyBorder="1" applyAlignment="1" applyProtection="1">
      <alignment horizontal="center" vertical="center"/>
    </xf>
    <xf numFmtId="0" fontId="17" fillId="0" borderId="0" xfId="0" applyFont="1" applyBorder="1" applyProtection="1"/>
    <xf numFmtId="0" fontId="2" fillId="2" borderId="24" xfId="0" applyFont="1" applyFill="1" applyBorder="1" applyAlignment="1" applyProtection="1">
      <alignment horizontal="center" vertical="center" wrapText="1"/>
    </xf>
    <xf numFmtId="0" fontId="2" fillId="2" borderId="9" xfId="0" applyFont="1" applyFill="1" applyBorder="1" applyAlignment="1" applyProtection="1">
      <alignment horizontal="center" vertical="center" wrapText="1"/>
    </xf>
    <xf numFmtId="0" fontId="2" fillId="2" borderId="28" xfId="0" applyFont="1" applyFill="1" applyBorder="1" applyAlignment="1" applyProtection="1">
      <alignment horizontal="center" vertical="center" wrapText="1"/>
    </xf>
    <xf numFmtId="0" fontId="17" fillId="4" borderId="18" xfId="0" applyFont="1" applyFill="1" applyBorder="1" applyProtection="1"/>
    <xf numFmtId="0" fontId="1" fillId="3" borderId="16" xfId="0" applyNumberFormat="1" applyFont="1" applyFill="1" applyBorder="1" applyAlignment="1" applyProtection="1">
      <alignment horizontal="center" vertical="center"/>
    </xf>
    <xf numFmtId="49" fontId="1" fillId="3" borderId="7" xfId="0" applyNumberFormat="1" applyFont="1" applyFill="1" applyBorder="1" applyAlignment="1" applyProtection="1">
      <alignment horizontal="center" vertical="center"/>
    </xf>
    <xf numFmtId="0" fontId="1" fillId="3" borderId="17" xfId="0" applyNumberFormat="1" applyFont="1" applyFill="1" applyBorder="1" applyAlignment="1" applyProtection="1">
      <alignment horizontal="left" vertical="center"/>
    </xf>
    <xf numFmtId="14" fontId="1" fillId="4" borderId="7" xfId="0" applyNumberFormat="1" applyFont="1" applyFill="1" applyBorder="1" applyAlignment="1" applyProtection="1">
      <alignment horizontal="center" vertical="center"/>
    </xf>
    <xf numFmtId="14" fontId="1" fillId="4" borderId="0" xfId="0" applyNumberFormat="1" applyFont="1" applyFill="1" applyBorder="1" applyAlignment="1" applyProtection="1">
      <alignment horizontal="center" vertical="center"/>
    </xf>
    <xf numFmtId="14" fontId="1" fillId="4" borderId="7" xfId="0" applyNumberFormat="1" applyFont="1" applyFill="1" applyBorder="1" applyAlignment="1" applyProtection="1">
      <alignment horizontal="left" vertical="center"/>
    </xf>
    <xf numFmtId="14" fontId="1" fillId="4" borderId="3" xfId="0" applyNumberFormat="1" applyFont="1" applyFill="1" applyBorder="1" applyAlignment="1" applyProtection="1">
      <alignment horizontal="center" vertical="center"/>
    </xf>
    <xf numFmtId="0" fontId="7" fillId="4" borderId="0" xfId="0" applyFont="1" applyFill="1" applyBorder="1" applyAlignment="1" applyProtection="1">
      <alignment horizontal="left" vertical="top"/>
    </xf>
    <xf numFmtId="14" fontId="1" fillId="4" borderId="15" xfId="0" applyNumberFormat="1" applyFont="1" applyFill="1" applyBorder="1" applyAlignment="1" applyProtection="1">
      <alignment horizontal="center" vertical="center"/>
    </xf>
    <xf numFmtId="0" fontId="7" fillId="4" borderId="18" xfId="0" applyFont="1" applyFill="1" applyBorder="1" applyAlignment="1" applyProtection="1">
      <alignment horizontal="left" vertical="top"/>
    </xf>
    <xf numFmtId="0" fontId="1" fillId="4" borderId="5" xfId="0" applyFont="1" applyFill="1" applyBorder="1" applyProtection="1"/>
    <xf numFmtId="0" fontId="3" fillId="4" borderId="5" xfId="0" applyFont="1" applyFill="1" applyBorder="1" applyProtection="1"/>
    <xf numFmtId="0" fontId="7" fillId="4" borderId="5" xfId="0" applyFont="1" applyFill="1" applyBorder="1" applyAlignment="1" applyProtection="1">
      <alignment horizontal="left" vertical="center"/>
    </xf>
    <xf numFmtId="0" fontId="7" fillId="4" borderId="0" xfId="0" applyFont="1" applyFill="1" applyBorder="1" applyAlignment="1" applyProtection="1">
      <alignment horizontal="left" vertical="center"/>
    </xf>
    <xf numFmtId="0" fontId="3" fillId="4" borderId="0" xfId="0" applyFont="1" applyFill="1" applyAlignment="1" applyProtection="1">
      <alignment horizontal="center" vertical="center"/>
    </xf>
    <xf numFmtId="0" fontId="6" fillId="4" borderId="0" xfId="0" applyFont="1" applyFill="1" applyBorder="1" applyAlignment="1" applyProtection="1">
      <alignment vertical="center"/>
    </xf>
    <xf numFmtId="0" fontId="4" fillId="4" borderId="0" xfId="0" applyFont="1" applyFill="1" applyBorder="1" applyAlignment="1" applyProtection="1">
      <alignment horizontal="left" vertical="center"/>
    </xf>
    <xf numFmtId="0" fontId="1" fillId="4" borderId="0" xfId="0" applyFont="1" applyFill="1" applyBorder="1" applyAlignment="1" applyProtection="1">
      <alignment horizontal="center"/>
    </xf>
    <xf numFmtId="0" fontId="17" fillId="4" borderId="0" xfId="0" applyFont="1" applyFill="1" applyBorder="1" applyProtection="1"/>
    <xf numFmtId="0" fontId="4" fillId="4" borderId="0" xfId="0" applyFont="1" applyFill="1" applyBorder="1" applyAlignment="1" applyProtection="1"/>
    <xf numFmtId="0" fontId="1" fillId="4" borderId="2" xfId="0" applyFont="1" applyFill="1" applyBorder="1" applyProtection="1"/>
    <xf numFmtId="0" fontId="2" fillId="2" borderId="31" xfId="0" applyFont="1" applyFill="1" applyBorder="1" applyAlignment="1" applyProtection="1">
      <alignment horizontal="center" vertical="center" wrapText="1"/>
    </xf>
    <xf numFmtId="0" fontId="2" fillId="2" borderId="4" xfId="0" applyFont="1" applyFill="1" applyBorder="1" applyAlignment="1" applyProtection="1">
      <alignment horizontal="center" vertical="center" wrapText="1"/>
    </xf>
    <xf numFmtId="0" fontId="2" fillId="2" borderId="44" xfId="0" applyFont="1" applyFill="1" applyBorder="1" applyAlignment="1" applyProtection="1">
      <alignment horizontal="center" vertical="center" wrapText="1"/>
    </xf>
    <xf numFmtId="0" fontId="2" fillId="2" borderId="19" xfId="0" applyFont="1" applyFill="1" applyBorder="1" applyAlignment="1" applyProtection="1">
      <alignment horizontal="center" vertical="center" wrapText="1"/>
    </xf>
    <xf numFmtId="0" fontId="2" fillId="2" borderId="41" xfId="0" applyFont="1" applyFill="1" applyBorder="1" applyAlignment="1" applyProtection="1">
      <alignment horizontal="center" vertical="center" wrapText="1"/>
    </xf>
    <xf numFmtId="0" fontId="2" fillId="2" borderId="42" xfId="0" applyFont="1" applyFill="1" applyBorder="1" applyAlignment="1" applyProtection="1">
      <alignment horizontal="center" vertical="center" wrapText="1"/>
    </xf>
    <xf numFmtId="0" fontId="2" fillId="2" borderId="43" xfId="0" applyFont="1" applyFill="1" applyBorder="1" applyAlignment="1" applyProtection="1">
      <alignment horizontal="center" vertical="center" wrapText="1"/>
    </xf>
    <xf numFmtId="0" fontId="2" fillId="2" borderId="30" xfId="0" applyFont="1" applyFill="1" applyBorder="1" applyAlignment="1" applyProtection="1">
      <alignment horizontal="center" vertical="center" wrapText="1"/>
    </xf>
    <xf numFmtId="0" fontId="2" fillId="2" borderId="29" xfId="0" applyFont="1" applyFill="1" applyBorder="1" applyAlignment="1" applyProtection="1">
      <alignment horizontal="center" vertical="center" wrapText="1"/>
    </xf>
    <xf numFmtId="0" fontId="1" fillId="4" borderId="6" xfId="0" applyFont="1" applyFill="1" applyBorder="1" applyProtection="1"/>
    <xf numFmtId="0" fontId="8" fillId="2" borderId="32" xfId="0" applyFont="1" applyFill="1" applyBorder="1" applyAlignment="1" applyProtection="1">
      <alignment horizontal="center" vertical="center" wrapText="1"/>
    </xf>
    <xf numFmtId="0" fontId="8" fillId="2" borderId="39" xfId="0" applyFont="1" applyFill="1" applyBorder="1" applyAlignment="1" applyProtection="1">
      <alignment horizontal="center" vertical="center" wrapText="1"/>
    </xf>
    <xf numFmtId="0" fontId="17" fillId="0" borderId="0" xfId="0" applyFont="1" applyBorder="1" applyAlignment="1" applyProtection="1">
      <alignment horizontal="center"/>
    </xf>
    <xf numFmtId="0" fontId="8" fillId="2" borderId="38" xfId="0" applyNumberFormat="1" applyFont="1" applyFill="1" applyBorder="1" applyAlignment="1" applyProtection="1">
      <alignment horizontal="center" vertical="center" wrapText="1"/>
    </xf>
    <xf numFmtId="0" fontId="2" fillId="2" borderId="40" xfId="0" applyFont="1" applyFill="1" applyBorder="1" applyAlignment="1" applyProtection="1">
      <alignment horizontal="center" vertical="center" wrapText="1"/>
    </xf>
    <xf numFmtId="1" fontId="1" fillId="3" borderId="45" xfId="0" applyNumberFormat="1" applyFont="1" applyFill="1" applyBorder="1" applyAlignment="1" applyProtection="1">
      <alignment horizontal="center" vertical="center"/>
    </xf>
    <xf numFmtId="0" fontId="1" fillId="3" borderId="45" xfId="0" applyNumberFormat="1" applyFont="1" applyFill="1" applyBorder="1" applyAlignment="1" applyProtection="1">
      <alignment horizontal="left" vertical="center"/>
    </xf>
    <xf numFmtId="3" fontId="1" fillId="3" borderId="45" xfId="0" applyNumberFormat="1" applyFont="1" applyFill="1" applyBorder="1" applyAlignment="1" applyProtection="1">
      <alignment horizontal="center" vertical="center"/>
    </xf>
    <xf numFmtId="49" fontId="1" fillId="3" borderId="45" xfId="0" applyNumberFormat="1" applyFont="1" applyFill="1" applyBorder="1" applyAlignment="1" applyProtection="1">
      <alignment horizontal="center" vertical="center"/>
    </xf>
    <xf numFmtId="0" fontId="1" fillId="3" borderId="45" xfId="0" applyNumberFormat="1" applyFont="1" applyFill="1" applyBorder="1" applyAlignment="1" applyProtection="1">
      <alignment horizontal="center" vertical="center"/>
    </xf>
    <xf numFmtId="14" fontId="1" fillId="3" borderId="45" xfId="0" applyNumberFormat="1" applyFont="1" applyFill="1" applyBorder="1" applyAlignment="1" applyProtection="1">
      <alignment horizontal="center"/>
    </xf>
    <xf numFmtId="0" fontId="1" fillId="8" borderId="45" xfId="0" applyNumberFormat="1" applyFont="1" applyFill="1" applyBorder="1" applyAlignment="1" applyProtection="1">
      <alignment horizontal="center" vertical="center"/>
    </xf>
    <xf numFmtId="0" fontId="1" fillId="3" borderId="45" xfId="0" applyFont="1" applyFill="1" applyBorder="1" applyAlignment="1" applyProtection="1">
      <alignment horizontal="center" vertical="center"/>
    </xf>
    <xf numFmtId="1" fontId="1" fillId="0" borderId="48" xfId="0" applyNumberFormat="1" applyFont="1" applyFill="1" applyBorder="1" applyAlignment="1" applyProtection="1">
      <alignment horizontal="center" vertical="center"/>
    </xf>
    <xf numFmtId="14" fontId="1" fillId="3" borderId="45" xfId="0" applyNumberFormat="1" applyFont="1" applyFill="1" applyBorder="1" applyAlignment="1" applyProtection="1">
      <alignment horizontal="center" vertical="center"/>
    </xf>
    <xf numFmtId="0" fontId="1" fillId="0" borderId="48" xfId="0" applyNumberFormat="1" applyFont="1" applyFill="1" applyBorder="1" applyAlignment="1" applyProtection="1">
      <alignment horizontal="center" vertical="center" wrapText="1"/>
    </xf>
    <xf numFmtId="0" fontId="1" fillId="0" borderId="48" xfId="0" applyNumberFormat="1" applyFont="1" applyFill="1" applyBorder="1" applyAlignment="1" applyProtection="1">
      <alignment horizontal="center" vertical="center"/>
    </xf>
    <xf numFmtId="0" fontId="1" fillId="4" borderId="45" xfId="0" applyNumberFormat="1" applyFont="1" applyFill="1" applyBorder="1" applyAlignment="1" applyProtection="1">
      <alignment horizontal="left" vertical="center"/>
    </xf>
    <xf numFmtId="2" fontId="1" fillId="3" borderId="45" xfId="0" applyNumberFormat="1" applyFont="1" applyFill="1" applyBorder="1" applyAlignment="1" applyProtection="1">
      <alignment horizontal="center" vertical="center"/>
    </xf>
    <xf numFmtId="0" fontId="5" fillId="4" borderId="45" xfId="0" applyNumberFormat="1" applyFont="1" applyFill="1" applyBorder="1" applyAlignment="1" applyProtection="1">
      <alignment horizontal="left" vertical="center"/>
    </xf>
    <xf numFmtId="0" fontId="1" fillId="4" borderId="33" xfId="0" applyFont="1" applyFill="1" applyBorder="1" applyProtection="1"/>
    <xf numFmtId="14" fontId="1" fillId="4" borderId="34" xfId="0" applyNumberFormat="1" applyFont="1" applyFill="1" applyBorder="1" applyAlignment="1" applyProtection="1">
      <alignment horizontal="left" vertical="center"/>
    </xf>
    <xf numFmtId="0" fontId="1" fillId="0" borderId="37" xfId="0" applyFont="1" applyBorder="1" applyAlignment="1" applyProtection="1">
      <alignment horizontal="left" vertical="center"/>
    </xf>
    <xf numFmtId="0" fontId="1" fillId="4" borderId="34" xfId="0" applyFont="1" applyFill="1" applyBorder="1" applyAlignment="1" applyProtection="1">
      <alignment horizontal="left" vertical="center"/>
    </xf>
    <xf numFmtId="0" fontId="17" fillId="0" borderId="8" xfId="0" applyFont="1" applyBorder="1" applyProtection="1"/>
    <xf numFmtId="0" fontId="17" fillId="0" borderId="37" xfId="0" applyNumberFormat="1" applyFont="1" applyBorder="1" applyAlignment="1" applyProtection="1">
      <alignment horizontal="center"/>
    </xf>
    <xf numFmtId="0" fontId="1" fillId="0" borderId="37" xfId="0" applyFont="1" applyBorder="1" applyAlignment="1" applyProtection="1">
      <alignment horizontal="center" vertical="center"/>
    </xf>
    <xf numFmtId="0" fontId="1" fillId="3" borderId="34" xfId="0" applyFont="1" applyFill="1" applyBorder="1" applyAlignment="1" applyProtection="1">
      <alignment horizontal="center" vertical="center"/>
    </xf>
    <xf numFmtId="49" fontId="1" fillId="3" borderId="46" xfId="0" applyNumberFormat="1" applyFont="1" applyFill="1" applyBorder="1" applyAlignment="1" applyProtection="1">
      <alignment horizontal="center" vertical="center"/>
    </xf>
    <xf numFmtId="0" fontId="1" fillId="3" borderId="46" xfId="0" applyNumberFormat="1" applyFont="1" applyFill="1" applyBorder="1" applyAlignment="1" applyProtection="1">
      <alignment horizontal="left" vertical="center"/>
    </xf>
    <xf numFmtId="3" fontId="1" fillId="3" borderId="46" xfId="0" applyNumberFormat="1" applyFont="1" applyFill="1" applyBorder="1" applyAlignment="1" applyProtection="1">
      <alignment horizontal="center" vertical="center"/>
    </xf>
    <xf numFmtId="0" fontId="1" fillId="3" borderId="46" xfId="0" applyNumberFormat="1" applyFont="1" applyFill="1" applyBorder="1" applyAlignment="1" applyProtection="1">
      <alignment horizontal="center" vertical="center"/>
    </xf>
    <xf numFmtId="14" fontId="1" fillId="3" borderId="46" xfId="0" applyNumberFormat="1" applyFont="1" applyFill="1" applyBorder="1" applyAlignment="1" applyProtection="1">
      <alignment horizontal="center"/>
    </xf>
    <xf numFmtId="0" fontId="1" fillId="4" borderId="46" xfId="0" applyNumberFormat="1" applyFont="1" applyFill="1" applyBorder="1" applyAlignment="1" applyProtection="1">
      <alignment horizontal="center" vertical="center"/>
    </xf>
    <xf numFmtId="0" fontId="1" fillId="3" borderId="46" xfId="0" applyFont="1" applyFill="1" applyBorder="1" applyAlignment="1" applyProtection="1">
      <alignment horizontal="center" vertical="center"/>
    </xf>
    <xf numFmtId="1" fontId="1" fillId="4" borderId="46" xfId="0" applyNumberFormat="1" applyFont="1" applyFill="1" applyBorder="1" applyAlignment="1" applyProtection="1">
      <alignment horizontal="center" vertical="center"/>
    </xf>
    <xf numFmtId="14" fontId="1" fillId="3" borderId="46" xfId="0" applyNumberFormat="1" applyFont="1" applyFill="1" applyBorder="1" applyAlignment="1" applyProtection="1">
      <alignment horizontal="center" vertical="center"/>
    </xf>
    <xf numFmtId="0" fontId="1" fillId="4" borderId="46" xfId="0" applyNumberFormat="1" applyFont="1" applyFill="1" applyBorder="1" applyAlignment="1" applyProtection="1">
      <alignment horizontal="center" vertical="center" wrapText="1"/>
    </xf>
    <xf numFmtId="0" fontId="1" fillId="4" borderId="46" xfId="0" applyNumberFormat="1" applyFont="1" applyFill="1" applyBorder="1" applyAlignment="1" applyProtection="1">
      <alignment horizontal="left" vertical="center"/>
    </xf>
    <xf numFmtId="2" fontId="1" fillId="3" borderId="46" xfId="0" applyNumberFormat="1" applyFont="1" applyFill="1" applyBorder="1" applyAlignment="1" applyProtection="1">
      <alignment horizontal="center" vertical="center"/>
    </xf>
    <xf numFmtId="0" fontId="5" fillId="4" borderId="46" xfId="0" applyNumberFormat="1" applyFont="1" applyFill="1" applyBorder="1" applyAlignment="1" applyProtection="1">
      <alignment horizontal="left" vertical="center"/>
    </xf>
    <xf numFmtId="14" fontId="1" fillId="4" borderId="35" xfId="0" applyNumberFormat="1" applyFont="1" applyFill="1" applyBorder="1" applyAlignment="1" applyProtection="1">
      <alignment horizontal="left" vertical="center"/>
    </xf>
    <xf numFmtId="0" fontId="1" fillId="0" borderId="35" xfId="0" applyFont="1" applyBorder="1" applyAlignment="1" applyProtection="1">
      <alignment horizontal="left" vertical="center"/>
    </xf>
    <xf numFmtId="0" fontId="1" fillId="4" borderId="35" xfId="0" applyFont="1" applyFill="1" applyBorder="1" applyAlignment="1" applyProtection="1">
      <alignment horizontal="left" vertical="center"/>
    </xf>
    <xf numFmtId="0" fontId="17" fillId="0" borderId="35" xfId="0" applyNumberFormat="1" applyFont="1" applyBorder="1" applyAlignment="1" applyProtection="1">
      <alignment horizontal="center"/>
    </xf>
    <xf numFmtId="0" fontId="1" fillId="0" borderId="35" xfId="0" applyFont="1" applyBorder="1" applyAlignment="1" applyProtection="1">
      <alignment horizontal="center" vertical="center"/>
    </xf>
    <xf numFmtId="0" fontId="1" fillId="3" borderId="35" xfId="0" applyFont="1" applyFill="1" applyBorder="1" applyAlignment="1" applyProtection="1">
      <alignment horizontal="center" vertical="center"/>
    </xf>
    <xf numFmtId="2" fontId="1" fillId="4" borderId="35" xfId="0" applyNumberFormat="1" applyFont="1" applyFill="1" applyBorder="1" applyAlignment="1" applyProtection="1">
      <alignment horizontal="center" vertical="center"/>
    </xf>
    <xf numFmtId="0" fontId="1" fillId="4" borderId="35" xfId="0" applyNumberFormat="1" applyFont="1" applyFill="1" applyBorder="1" applyAlignment="1" applyProtection="1">
      <alignment horizontal="center" vertical="center"/>
    </xf>
    <xf numFmtId="49" fontId="1" fillId="3" borderId="47" xfId="0" applyNumberFormat="1" applyFont="1" applyFill="1" applyBorder="1" applyAlignment="1" applyProtection="1">
      <alignment horizontal="center" vertical="center"/>
    </xf>
    <xf numFmtId="0" fontId="1" fillId="3" borderId="47" xfId="0" applyNumberFormat="1" applyFont="1" applyFill="1" applyBorder="1" applyAlignment="1" applyProtection="1">
      <alignment horizontal="left" vertical="center"/>
    </xf>
    <xf numFmtId="3" fontId="1" fillId="3" borderId="47" xfId="0" applyNumberFormat="1" applyFont="1" applyFill="1" applyBorder="1" applyAlignment="1" applyProtection="1">
      <alignment horizontal="center" vertical="center"/>
    </xf>
    <xf numFmtId="0" fontId="1" fillId="3" borderId="47" xfId="0" applyNumberFormat="1" applyFont="1" applyFill="1" applyBorder="1" applyAlignment="1" applyProtection="1">
      <alignment horizontal="center" vertical="center"/>
    </xf>
    <xf numFmtId="14" fontId="1" fillId="3" borderId="47" xfId="0" applyNumberFormat="1" applyFont="1" applyFill="1" applyBorder="1" applyAlignment="1" applyProtection="1">
      <alignment horizontal="center"/>
    </xf>
    <xf numFmtId="0" fontId="1" fillId="4" borderId="47" xfId="0" applyNumberFormat="1" applyFont="1" applyFill="1" applyBorder="1" applyAlignment="1" applyProtection="1">
      <alignment horizontal="center" vertical="center"/>
    </xf>
    <xf numFmtId="0" fontId="1" fillId="3" borderId="47" xfId="0" applyFont="1" applyFill="1" applyBorder="1" applyAlignment="1" applyProtection="1">
      <alignment horizontal="center" vertical="center"/>
    </xf>
    <xf numFmtId="1" fontId="1" fillId="4" borderId="47" xfId="0" applyNumberFormat="1" applyFont="1" applyFill="1" applyBorder="1" applyAlignment="1" applyProtection="1">
      <alignment horizontal="center" vertical="center"/>
    </xf>
    <xf numFmtId="14" fontId="1" fillId="3" borderId="47" xfId="0" applyNumberFormat="1" applyFont="1" applyFill="1" applyBorder="1" applyAlignment="1" applyProtection="1">
      <alignment horizontal="center" vertical="center"/>
    </xf>
    <xf numFmtId="0" fontId="1" fillId="4" borderId="47" xfId="0" applyNumberFormat="1" applyFont="1" applyFill="1" applyBorder="1" applyAlignment="1" applyProtection="1">
      <alignment horizontal="center" vertical="center" wrapText="1"/>
    </xf>
    <xf numFmtId="0" fontId="1" fillId="4" borderId="47" xfId="0" applyNumberFormat="1" applyFont="1" applyFill="1" applyBorder="1" applyAlignment="1" applyProtection="1">
      <alignment horizontal="left" vertical="center"/>
    </xf>
    <xf numFmtId="2" fontId="1" fillId="3" borderId="47" xfId="0" applyNumberFormat="1" applyFont="1" applyFill="1" applyBorder="1" applyAlignment="1" applyProtection="1">
      <alignment horizontal="center" vertical="center"/>
    </xf>
    <xf numFmtId="0" fontId="5" fillId="4" borderId="47" xfId="0" applyNumberFormat="1" applyFont="1" applyFill="1" applyBorder="1" applyAlignment="1" applyProtection="1">
      <alignment horizontal="left" vertical="center"/>
    </xf>
    <xf numFmtId="14" fontId="1" fillId="4" borderId="36" xfId="0" applyNumberFormat="1" applyFont="1" applyFill="1" applyBorder="1" applyAlignment="1" applyProtection="1">
      <alignment horizontal="left" vertical="center"/>
    </xf>
    <xf numFmtId="0" fontId="1" fillId="0" borderId="36" xfId="0" applyFont="1" applyBorder="1" applyAlignment="1" applyProtection="1">
      <alignment horizontal="left" vertical="center"/>
    </xf>
    <xf numFmtId="0" fontId="1" fillId="4" borderId="36" xfId="0" applyFont="1" applyFill="1" applyBorder="1" applyAlignment="1" applyProtection="1">
      <alignment horizontal="left" vertical="center"/>
    </xf>
    <xf numFmtId="0" fontId="17" fillId="0" borderId="36" xfId="0" applyNumberFormat="1" applyFont="1" applyBorder="1" applyAlignment="1" applyProtection="1">
      <alignment horizontal="center"/>
    </xf>
    <xf numFmtId="2" fontId="1" fillId="4" borderId="36" xfId="0" applyNumberFormat="1" applyFont="1" applyFill="1" applyBorder="1" applyAlignment="1" applyProtection="1">
      <alignment horizontal="center" vertical="center"/>
    </xf>
    <xf numFmtId="0" fontId="1" fillId="3" borderId="36" xfId="0" applyFont="1" applyFill="1" applyBorder="1" applyAlignment="1" applyProtection="1">
      <alignment horizontal="center" vertical="center"/>
    </xf>
    <xf numFmtId="0" fontId="17" fillId="0" borderId="0" xfId="0" applyNumberFormat="1" applyFont="1" applyProtection="1"/>
    <xf numFmtId="0" fontId="17" fillId="0" borderId="0" xfId="0" applyNumberFormat="1" applyFont="1" applyAlignment="1" applyProtection="1">
      <alignment horizontal="left" vertical="center"/>
    </xf>
    <xf numFmtId="3" fontId="17" fillId="0" borderId="0" xfId="0" applyNumberFormat="1" applyFont="1" applyProtection="1"/>
    <xf numFmtId="14" fontId="17" fillId="0" borderId="0" xfId="0" applyNumberFormat="1" applyFont="1" applyProtection="1"/>
    <xf numFmtId="0" fontId="17" fillId="0" borderId="0" xfId="0" applyFont="1" applyAlignment="1" applyProtection="1">
      <alignment horizontal="center" vertical="center"/>
    </xf>
    <xf numFmtId="1" fontId="17" fillId="0" borderId="0" xfId="0" applyNumberFormat="1" applyFont="1" applyAlignment="1" applyProtection="1">
      <alignment horizontal="center" vertical="center"/>
    </xf>
    <xf numFmtId="0" fontId="17" fillId="0" borderId="0" xfId="0" applyFont="1" applyAlignment="1" applyProtection="1">
      <alignment horizontal="center"/>
    </xf>
    <xf numFmtId="1" fontId="17" fillId="0" borderId="0" xfId="0" applyNumberFormat="1" applyFont="1" applyProtection="1"/>
    <xf numFmtId="0" fontId="1" fillId="0" borderId="0" xfId="0" applyFont="1" applyProtection="1"/>
    <xf numFmtId="0" fontId="0" fillId="0" borderId="0" xfId="0" applyAlignment="1">
      <alignment horizontal="center" vertical="center"/>
    </xf>
    <xf numFmtId="0" fontId="22" fillId="4" borderId="0" xfId="0" applyFont="1" applyFill="1" applyAlignment="1">
      <alignment horizontal="center" vertical="center"/>
    </xf>
    <xf numFmtId="16" fontId="0" fillId="0" borderId="13" xfId="0" applyNumberFormat="1" applyFill="1" applyBorder="1" applyAlignment="1">
      <alignment vertical="center"/>
    </xf>
    <xf numFmtId="0" fontId="18" fillId="7" borderId="13" xfId="0" applyFont="1" applyFill="1" applyBorder="1" applyAlignment="1">
      <alignment horizontal="center" vertical="center" wrapText="1"/>
    </xf>
    <xf numFmtId="0" fontId="0" fillId="0" borderId="0" xfId="0" applyAlignment="1">
      <alignment wrapText="1"/>
    </xf>
    <xf numFmtId="0" fontId="18" fillId="7" borderId="49" xfId="0" applyFont="1" applyFill="1" applyBorder="1" applyAlignment="1">
      <alignment horizontal="center" vertical="center" wrapText="1"/>
    </xf>
    <xf numFmtId="0" fontId="18" fillId="7" borderId="13" xfId="0" applyFont="1" applyFill="1" applyBorder="1" applyAlignment="1">
      <alignment horizontal="center" vertical="center"/>
    </xf>
    <xf numFmtId="0" fontId="0" fillId="4" borderId="13" xfId="0" applyFill="1" applyBorder="1" applyAlignment="1">
      <alignment vertical="center"/>
    </xf>
    <xf numFmtId="0" fontId="0" fillId="4" borderId="13" xfId="0" applyFill="1" applyBorder="1" applyAlignment="1">
      <alignment horizontal="center" vertical="center"/>
    </xf>
    <xf numFmtId="0" fontId="0" fillId="9" borderId="0" xfId="0" applyFill="1" applyAlignment="1">
      <alignment horizontal="left" vertical="center"/>
    </xf>
    <xf numFmtId="0" fontId="0" fillId="9" borderId="0" xfId="0" applyFill="1" applyAlignment="1">
      <alignment horizontal="center" vertical="center"/>
    </xf>
    <xf numFmtId="0" fontId="0" fillId="9" borderId="0" xfId="0" applyFill="1" applyAlignment="1">
      <alignment vertical="center"/>
    </xf>
    <xf numFmtId="0" fontId="26" fillId="7" borderId="0" xfId="0" applyFont="1" applyFill="1" applyAlignment="1">
      <alignment horizontal="center" vertical="center"/>
    </xf>
    <xf numFmtId="0" fontId="26" fillId="4" borderId="0" xfId="0" applyFont="1" applyFill="1" applyAlignment="1">
      <alignment horizontal="center" vertical="center"/>
    </xf>
    <xf numFmtId="0" fontId="26" fillId="7" borderId="0" xfId="0" applyFont="1" applyFill="1" applyAlignment="1">
      <alignment horizontal="center" vertical="center" wrapText="1"/>
    </xf>
    <xf numFmtId="9" fontId="0" fillId="4" borderId="0" xfId="6" applyFont="1" applyFill="1" applyAlignment="1">
      <alignment horizontal="center" vertical="center"/>
    </xf>
    <xf numFmtId="9" fontId="0" fillId="4" borderId="0" xfId="6" applyFont="1" applyFill="1" applyAlignment="1">
      <alignment horizontal="center" vertical="center" wrapText="1"/>
    </xf>
    <xf numFmtId="9" fontId="27" fillId="4" borderId="0" xfId="0" applyNumberFormat="1" applyFont="1" applyFill="1" applyAlignment="1">
      <alignment horizontal="center" vertical="center"/>
    </xf>
    <xf numFmtId="0" fontId="2" fillId="2" borderId="27" xfId="0" applyFont="1" applyFill="1" applyBorder="1" applyAlignment="1" applyProtection="1">
      <alignment horizontal="center" vertical="center" wrapText="1"/>
    </xf>
    <xf numFmtId="0" fontId="2" fillId="2" borderId="23" xfId="0" applyFont="1" applyFill="1" applyBorder="1" applyAlignment="1" applyProtection="1">
      <alignment horizontal="center" vertical="center" wrapText="1"/>
    </xf>
    <xf numFmtId="0" fontId="14" fillId="6" borderId="0" xfId="0" applyFont="1" applyFill="1" applyAlignment="1">
      <alignment vertical="center"/>
    </xf>
    <xf numFmtId="0" fontId="12" fillId="2" borderId="0" xfId="0" applyFont="1" applyFill="1" applyAlignment="1">
      <alignment horizontal="center" vertical="center"/>
    </xf>
    <xf numFmtId="0" fontId="14" fillId="6" borderId="0" xfId="0" applyFont="1" applyFill="1" applyBorder="1" applyAlignment="1">
      <alignment vertical="center"/>
    </xf>
    <xf numFmtId="0" fontId="13" fillId="4" borderId="22" xfId="0" applyFont="1" applyFill="1" applyBorder="1" applyAlignment="1">
      <alignment horizontal="center" vertical="center"/>
    </xf>
    <xf numFmtId="0" fontId="13" fillId="4" borderId="0" xfId="0" applyFont="1" applyFill="1" applyBorder="1" applyAlignment="1">
      <alignment horizontal="center" vertical="center"/>
    </xf>
    <xf numFmtId="0" fontId="13" fillId="4" borderId="20" xfId="0" applyFont="1" applyFill="1" applyBorder="1" applyAlignment="1">
      <alignment horizontal="center" vertical="center"/>
    </xf>
  </cellXfs>
  <cellStyles count="7">
    <cellStyle name="Normal" xfId="0" builtinId="0"/>
    <cellStyle name="Normal 2" xfId="1"/>
    <cellStyle name="Normal 2 2" xfId="4"/>
    <cellStyle name="Normal 3" xfId="2"/>
    <cellStyle name="Normal 4" xfId="3"/>
    <cellStyle name="Normal 6" xfId="5"/>
    <cellStyle name="Porcentaje" xfId="6" builtinId="5"/>
  </cellStyles>
  <dxfs count="32">
    <dxf>
      <font>
        <b val="0"/>
        <i val="0"/>
        <strike val="0"/>
        <condense val="0"/>
        <extend val="0"/>
        <outline val="0"/>
        <shadow val="0"/>
        <u val="none"/>
        <vertAlign val="baseline"/>
        <sz val="11"/>
        <color theme="1"/>
        <name val="Calibri"/>
        <scheme val="minor"/>
      </font>
      <numFmt numFmtId="13" formatCode="0%"/>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left" vertical="center" textRotation="0" wrapText="0" indent="0" justifyLastLine="0" shrinkToFit="0" readingOrder="0"/>
    </dxf>
    <dxf>
      <numFmt numFmtId="13" formatCode="0%"/>
      <fill>
        <patternFill patternType="solid">
          <fgColor indexed="64"/>
          <bgColor theme="0"/>
        </patternFill>
      </fill>
      <alignment horizontal="center" vertical="center" textRotation="0" wrapText="0" indent="0" justifyLastLine="0" shrinkToFit="0" readingOrder="0"/>
    </dxf>
    <dxf>
      <numFmt numFmtId="0" formatCode="General"/>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left" vertical="center" textRotation="0" wrapText="0" indent="0" justifyLastLine="0" shrinkToFit="0" readingOrder="0"/>
    </dxf>
    <dxf>
      <alignment vertical="center" textRotation="0" indent="0" justifyLastLine="0" shrinkToFit="0" readingOrder="0"/>
    </dxf>
    <dxf>
      <fill>
        <patternFill patternType="solid">
          <fgColor indexed="64"/>
          <bgColor theme="0"/>
        </patternFill>
      </fill>
      <alignment horizontal="center" vertical="center" textRotation="0" wrapText="0" indent="0" justifyLastLine="0" shrinkToFit="0" readingOrder="0"/>
    </dxf>
    <dxf>
      <font>
        <b/>
      </font>
      <fill>
        <patternFill patternType="solid">
          <fgColor indexed="64"/>
          <bgColor rgb="FF00B0F0"/>
        </patternFill>
      </fill>
      <alignment horizontal="center" vertical="center" textRotation="0" wrapText="0" indent="0" justifyLastLine="0" shrinkToFit="0" readingOrder="0"/>
    </dxf>
    <dxf>
      <numFmt numFmtId="13" formatCode="0%"/>
      <fill>
        <patternFill patternType="solid">
          <fgColor indexed="64"/>
          <bgColor theme="0"/>
        </patternFill>
      </fill>
      <alignment horizontal="center" vertical="center" textRotation="0" wrapText="0" indent="0" justifyLastLine="0" shrinkToFit="0" readingOrder="0"/>
    </dxf>
    <dxf>
      <numFmt numFmtId="13" formatCode="0%"/>
      <fill>
        <patternFill patternType="solid">
          <fgColor indexed="64"/>
          <bgColor theme="0"/>
        </patternFill>
      </fill>
      <alignment horizontal="center" vertical="center" textRotation="0" wrapText="0" indent="0" justifyLastLine="0" shrinkToFit="0" readingOrder="0"/>
    </dxf>
    <dxf>
      <numFmt numFmtId="0" formatCode="General"/>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left"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left"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ont>
        <b/>
      </font>
      <fill>
        <patternFill patternType="solid">
          <fgColor indexed="64"/>
          <bgColor rgb="FF00B0F0"/>
        </patternFill>
      </fill>
      <alignment horizontal="center" vertical="center" textRotation="0" wrapText="0" indent="0" justifyLastLine="0" shrinkToFit="0" readingOrder="0"/>
    </dxf>
    <dxf>
      <fill>
        <patternFill>
          <bgColor rgb="FFFFC000"/>
        </patternFill>
      </fill>
    </dxf>
    <dxf>
      <fill>
        <patternFill>
          <bgColor theme="0" tint="-0.34998626667073579"/>
        </patternFill>
      </fill>
    </dxf>
    <dxf>
      <fill>
        <patternFill>
          <bgColor rgb="FFFFC000"/>
        </patternFill>
      </fill>
    </dxf>
    <dxf>
      <fill>
        <patternFill>
          <bgColor rgb="FFFFFF00"/>
        </patternFill>
      </fill>
    </dxf>
    <dxf>
      <fill>
        <patternFill>
          <bgColor rgb="FF92D050"/>
        </patternFill>
      </fill>
    </dxf>
    <dxf>
      <fill>
        <patternFill>
          <bgColor rgb="FFFF0000"/>
        </patternFill>
      </fill>
    </dxf>
    <dxf>
      <fill>
        <patternFill>
          <bgColor theme="9" tint="-0.24994659260841701"/>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92D050"/>
        </patternFill>
      </fill>
    </dxf>
    <dxf>
      <font>
        <b/>
        <i val="0"/>
        <strike val="0"/>
        <color rgb="FFFF0000"/>
      </font>
      <fill>
        <patternFill patternType="solid">
          <bgColor theme="0" tint="-0.14996795556505021"/>
        </patternFill>
      </fill>
    </dxf>
  </dxfs>
  <tableStyles count="0" defaultTableStyle="TableStyleMedium2" defaultPivotStyle="PivotStyleLight16"/>
  <colors>
    <mruColors>
      <color rgb="FFFF0000"/>
      <color rgb="FF002D62"/>
      <color rgb="FF80A1B6"/>
      <color rgb="FFE7D8AC"/>
      <color rgb="FFD5DFFF"/>
      <color rgb="FFFFABAB"/>
      <color rgb="FFC9E7A7"/>
      <color rgb="FFAFDC7E"/>
      <color rgb="FFBCE292"/>
      <color rgb="FFD6ED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A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s-AR" sz="1000"/>
              <a:t>Evolución de los resultados obtenidos de la revisión</a:t>
            </a:r>
            <a:r>
              <a:rPr lang="es-AR" sz="1000" baseline="0"/>
              <a:t> de terreno</a:t>
            </a:r>
            <a:endParaRPr lang="es-AR" sz="1000"/>
          </a:p>
        </c:rich>
      </c:tx>
      <c:layout/>
      <c:overlay val="0"/>
    </c:title>
    <c:autoTitleDeleted val="0"/>
    <c:view3D>
      <c:rotX val="15"/>
      <c:rotY val="20"/>
      <c:rAngAx val="1"/>
    </c:view3D>
    <c:floor>
      <c:thickness val="0"/>
    </c:floor>
    <c:sideWall>
      <c:thickness val="0"/>
    </c:sideWall>
    <c:backWall>
      <c:thickness val="0"/>
    </c:backWall>
    <c:plotArea>
      <c:layout/>
      <c:bar3DChart>
        <c:barDir val="col"/>
        <c:grouping val="percentStacked"/>
        <c:varyColors val="0"/>
        <c:ser>
          <c:idx val="0"/>
          <c:order val="0"/>
          <c:tx>
            <c:strRef>
              <c:f>'[1]Graficos para informe'!$D$1</c:f>
              <c:strCache>
                <c:ptCount val="1"/>
                <c:pt idx="0">
                  <c:v>Válidos</c:v>
                </c:pt>
              </c:strCache>
            </c:strRef>
          </c:tx>
          <c:invertIfNegative val="0"/>
          <c:dLbls>
            <c:showLegendKey val="0"/>
            <c:showVal val="1"/>
            <c:showCatName val="0"/>
            <c:showSerName val="0"/>
            <c:showPercent val="0"/>
            <c:showBubbleSize val="0"/>
            <c:showLeaderLines val="0"/>
          </c:dLbls>
          <c:cat>
            <c:strRef>
              <c:f>'[1]Graficos para informe'!$C$2:$C$7</c:f>
              <c:strCache>
                <c:ptCount val="6"/>
                <c:pt idx="0">
                  <c:v>sep-oct 2015</c:v>
                </c:pt>
                <c:pt idx="1">
                  <c:v>nov 2015-feb 2016</c:v>
                </c:pt>
                <c:pt idx="2">
                  <c:v>mar-abr 2016</c:v>
                </c:pt>
                <c:pt idx="3">
                  <c:v>may-jun 2016</c:v>
                </c:pt>
                <c:pt idx="4">
                  <c:v>jul-ago 2016</c:v>
                </c:pt>
                <c:pt idx="5">
                  <c:v>sep-oct 2016</c:v>
                </c:pt>
              </c:strCache>
            </c:strRef>
          </c:cat>
          <c:val>
            <c:numRef>
              <c:f>'[1]Graficos para informe'!$G$2:$G$7</c:f>
              <c:numCache>
                <c:formatCode>General</c:formatCode>
                <c:ptCount val="6"/>
                <c:pt idx="0">
                  <c:v>0</c:v>
                </c:pt>
                <c:pt idx="1">
                  <c:v>0</c:v>
                </c:pt>
                <c:pt idx="2">
                  <c:v>0</c:v>
                </c:pt>
                <c:pt idx="3">
                  <c:v>0</c:v>
                </c:pt>
                <c:pt idx="4">
                  <c:v>0</c:v>
                </c:pt>
                <c:pt idx="5">
                  <c:v>0</c:v>
                </c:pt>
              </c:numCache>
            </c:numRef>
          </c:val>
        </c:ser>
        <c:ser>
          <c:idx val="1"/>
          <c:order val="1"/>
          <c:tx>
            <c:strRef>
              <c:f>'[1]Graficos para informe'!$E$1</c:f>
              <c:strCache>
                <c:ptCount val="1"/>
                <c:pt idx="0">
                  <c:v>Inválidos</c:v>
                </c:pt>
              </c:strCache>
            </c:strRef>
          </c:tx>
          <c:invertIfNegative val="0"/>
          <c:dLbls>
            <c:txPr>
              <a:bodyPr/>
              <a:lstStyle/>
              <a:p>
                <a:pPr>
                  <a:defRPr sz="1000"/>
                </a:pPr>
                <a:endParaRPr lang="es-AR"/>
              </a:p>
            </c:txPr>
            <c:showLegendKey val="0"/>
            <c:showVal val="1"/>
            <c:showCatName val="0"/>
            <c:showSerName val="0"/>
            <c:showPercent val="0"/>
            <c:showBubbleSize val="0"/>
            <c:showLeaderLines val="0"/>
          </c:dLbls>
          <c:cat>
            <c:strRef>
              <c:f>'[1]Graficos para informe'!$C$2:$C$7</c:f>
              <c:strCache>
                <c:ptCount val="6"/>
                <c:pt idx="0">
                  <c:v>sep-oct 2015</c:v>
                </c:pt>
                <c:pt idx="1">
                  <c:v>nov 2015-feb 2016</c:v>
                </c:pt>
                <c:pt idx="2">
                  <c:v>mar-abr 2016</c:v>
                </c:pt>
                <c:pt idx="3">
                  <c:v>may-jun 2016</c:v>
                </c:pt>
                <c:pt idx="4">
                  <c:v>jul-ago 2016</c:v>
                </c:pt>
                <c:pt idx="5">
                  <c:v>sep-oct 2016</c:v>
                </c:pt>
              </c:strCache>
            </c:strRef>
          </c:cat>
          <c:val>
            <c:numRef>
              <c:f>'[1]Graficos para informe'!$H$2:$H$7</c:f>
              <c:numCache>
                <c:formatCode>General</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shape val="box"/>
        <c:axId val="224923008"/>
        <c:axId val="224973952"/>
        <c:axId val="0"/>
      </c:bar3DChart>
      <c:catAx>
        <c:axId val="224923008"/>
        <c:scaling>
          <c:orientation val="minMax"/>
        </c:scaling>
        <c:delete val="0"/>
        <c:axPos val="b"/>
        <c:majorGridlines>
          <c:spPr>
            <a:ln>
              <a:noFill/>
            </a:ln>
          </c:spPr>
        </c:majorGridlines>
        <c:minorGridlines>
          <c:spPr>
            <a:ln>
              <a:noFill/>
            </a:ln>
          </c:spPr>
        </c:minorGridlines>
        <c:majorTickMark val="out"/>
        <c:minorTickMark val="none"/>
        <c:tickLblPos val="nextTo"/>
        <c:txPr>
          <a:bodyPr/>
          <a:lstStyle/>
          <a:p>
            <a:pPr>
              <a:defRPr sz="800"/>
            </a:pPr>
            <a:endParaRPr lang="es-AR"/>
          </a:p>
        </c:txPr>
        <c:crossAx val="224973952"/>
        <c:crosses val="autoZero"/>
        <c:auto val="1"/>
        <c:lblAlgn val="ctr"/>
        <c:lblOffset val="100"/>
        <c:noMultiLvlLbl val="0"/>
      </c:catAx>
      <c:valAx>
        <c:axId val="224973952"/>
        <c:scaling>
          <c:orientation val="minMax"/>
        </c:scaling>
        <c:delete val="0"/>
        <c:axPos val="l"/>
        <c:majorGridlines/>
        <c:numFmt formatCode="0%" sourceLinked="1"/>
        <c:majorTickMark val="out"/>
        <c:minorTickMark val="none"/>
        <c:tickLblPos val="nextTo"/>
        <c:txPr>
          <a:bodyPr/>
          <a:lstStyle/>
          <a:p>
            <a:pPr>
              <a:defRPr sz="1000"/>
            </a:pPr>
            <a:endParaRPr lang="es-AR"/>
          </a:p>
        </c:txPr>
        <c:crossAx val="224923008"/>
        <c:crosses val="autoZero"/>
        <c:crossBetween val="between"/>
      </c:valAx>
    </c:plotArea>
    <c:legend>
      <c:legendPos val="r"/>
      <c:layout/>
      <c:overlay val="0"/>
      <c:txPr>
        <a:bodyPr/>
        <a:lstStyle/>
        <a:p>
          <a:pPr>
            <a:defRPr sz="800"/>
          </a:pPr>
          <a:endParaRPr lang="es-AR"/>
        </a:p>
      </c:txPr>
    </c:legend>
    <c:plotVisOnly val="1"/>
    <c:dispBlanksAs val="gap"/>
    <c:showDLblsOverMax val="0"/>
  </c:chart>
  <c:spPr>
    <a:ln>
      <a:noFill/>
    </a:ln>
  </c:spPr>
  <c:txPr>
    <a:bodyPr/>
    <a:lstStyle/>
    <a:p>
      <a:pPr>
        <a:defRPr sz="1000">
          <a:latin typeface="Verdana" panose="020B0604030504040204" pitchFamily="34" charset="0"/>
          <a:ea typeface="Verdana" panose="020B0604030504040204" pitchFamily="34" charset="0"/>
          <a:cs typeface="Verdana" panose="020B0604030504040204" pitchFamily="34" charset="0"/>
        </a:defRPr>
      </a:pPr>
      <a:endParaRPr lang="es-A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A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s-AR" sz="1000"/>
              <a:t>Distribución</a:t>
            </a:r>
            <a:r>
              <a:rPr lang="es-AR" sz="1000" baseline="0"/>
              <a:t> de rechazos por motivo</a:t>
            </a:r>
            <a:endParaRPr lang="es-AR" sz="1000"/>
          </a:p>
        </c:rich>
      </c:tx>
      <c:layout/>
      <c:overlay val="0"/>
    </c:title>
    <c:autoTitleDeleted val="0"/>
    <c:view3D>
      <c:rotX val="15"/>
      <c:rotY val="20"/>
      <c:rAngAx val="1"/>
    </c:view3D>
    <c:floor>
      <c:thickness val="0"/>
    </c:floor>
    <c:sideWall>
      <c:thickness val="0"/>
    </c:sideWall>
    <c:backWall>
      <c:thickness val="0"/>
    </c:backWall>
    <c:plotArea>
      <c:layout/>
      <c:bar3DChart>
        <c:barDir val="col"/>
        <c:grouping val="percentStacked"/>
        <c:varyColors val="0"/>
        <c:ser>
          <c:idx val="0"/>
          <c:order val="0"/>
          <c:tx>
            <c:strRef>
              <c:f>'[1]Graficos para informe'!$J$3</c:f>
              <c:strCache>
                <c:ptCount val="1"/>
                <c:pt idx="0">
                  <c:v>No consta fuente de información válida</c:v>
                </c:pt>
              </c:strCache>
            </c:strRef>
          </c:tx>
          <c:invertIfNegative val="0"/>
          <c:dLbls>
            <c:showLegendKey val="0"/>
            <c:showVal val="1"/>
            <c:showCatName val="0"/>
            <c:showSerName val="0"/>
            <c:showPercent val="0"/>
            <c:showBubbleSize val="0"/>
            <c:showLeaderLines val="0"/>
          </c:dLbls>
          <c:cat>
            <c:strLit>
              <c:ptCount val="1"/>
              <c:pt idx="0">
                <c:v>sep-oct 2016</c:v>
              </c:pt>
            </c:strLit>
          </c:cat>
          <c:val>
            <c:numRef>
              <c:f>'[1]Graficos para informe'!$L$3</c:f>
              <c:numCache>
                <c:formatCode>General</c:formatCode>
                <c:ptCount val="1"/>
                <c:pt idx="0">
                  <c:v>0</c:v>
                </c:pt>
              </c:numCache>
            </c:numRef>
          </c:val>
        </c:ser>
        <c:ser>
          <c:idx val="1"/>
          <c:order val="1"/>
          <c:tx>
            <c:strRef>
              <c:f>'[1]Graficos para informe'!$J$4</c:f>
              <c:strCache>
                <c:ptCount val="1"/>
                <c:pt idx="0">
                  <c:v>Prestación inexistente</c:v>
                </c:pt>
              </c:strCache>
            </c:strRef>
          </c:tx>
          <c:invertIfNegative val="0"/>
          <c:dLbls>
            <c:showLegendKey val="0"/>
            <c:showVal val="1"/>
            <c:showCatName val="0"/>
            <c:showSerName val="0"/>
            <c:showPercent val="0"/>
            <c:showBubbleSize val="0"/>
            <c:showLeaderLines val="0"/>
          </c:dLbls>
          <c:cat>
            <c:strLit>
              <c:ptCount val="1"/>
              <c:pt idx="0">
                <c:v>sep-oct 2016</c:v>
              </c:pt>
            </c:strLit>
          </c:cat>
          <c:val>
            <c:numRef>
              <c:f>'[1]Graficos para informe'!$L$4</c:f>
              <c:numCache>
                <c:formatCode>General</c:formatCode>
                <c:ptCount val="1"/>
                <c:pt idx="0">
                  <c:v>0</c:v>
                </c:pt>
              </c:numCache>
            </c:numRef>
          </c:val>
        </c:ser>
        <c:ser>
          <c:idx val="4"/>
          <c:order val="2"/>
          <c:tx>
            <c:strRef>
              <c:f>'[1]Graficos para informe'!$J$5</c:f>
              <c:strCache>
                <c:ptCount val="1"/>
                <c:pt idx="0">
                  <c:v>Datos requeridos incompletos</c:v>
                </c:pt>
              </c:strCache>
            </c:strRef>
          </c:tx>
          <c:invertIfNegative val="0"/>
          <c:dLbls>
            <c:showLegendKey val="0"/>
            <c:showVal val="1"/>
            <c:showCatName val="0"/>
            <c:showSerName val="0"/>
            <c:showPercent val="0"/>
            <c:showBubbleSize val="0"/>
            <c:showLeaderLines val="0"/>
          </c:dLbls>
          <c:val>
            <c:numRef>
              <c:f>'[1]Graficos para informe'!$L$5</c:f>
              <c:numCache>
                <c:formatCode>General</c:formatCode>
                <c:ptCount val="1"/>
                <c:pt idx="0">
                  <c:v>0</c:v>
                </c:pt>
              </c:numCache>
            </c:numRef>
          </c:val>
        </c:ser>
        <c:ser>
          <c:idx val="2"/>
          <c:order val="3"/>
          <c:tx>
            <c:strRef>
              <c:f>'[1]Graficos para informe'!$J$6</c:f>
              <c:strCache>
                <c:ptCount val="1"/>
                <c:pt idx="0">
                  <c:v>Codificación errónea</c:v>
                </c:pt>
              </c:strCache>
            </c:strRef>
          </c:tx>
          <c:invertIfNegative val="0"/>
          <c:dLbls>
            <c:showLegendKey val="0"/>
            <c:showVal val="1"/>
            <c:showCatName val="0"/>
            <c:showSerName val="0"/>
            <c:showPercent val="0"/>
            <c:showBubbleSize val="0"/>
            <c:showLeaderLines val="0"/>
          </c:dLbls>
          <c:cat>
            <c:strLit>
              <c:ptCount val="1"/>
              <c:pt idx="0">
                <c:v>sep-oct 2016</c:v>
              </c:pt>
            </c:strLit>
          </c:cat>
          <c:val>
            <c:numRef>
              <c:f>'[1]Graficos para informe'!$L$6</c:f>
              <c:numCache>
                <c:formatCode>General</c:formatCode>
                <c:ptCount val="1"/>
                <c:pt idx="0">
                  <c:v>0</c:v>
                </c:pt>
              </c:numCache>
            </c:numRef>
          </c:val>
        </c:ser>
        <c:ser>
          <c:idx val="3"/>
          <c:order val="4"/>
          <c:tx>
            <c:strRef>
              <c:f>'[1]Graficos para informe'!$J$7</c:f>
              <c:strCache>
                <c:ptCount val="1"/>
                <c:pt idx="0">
                  <c:v>Fuente invalida</c:v>
                </c:pt>
              </c:strCache>
            </c:strRef>
          </c:tx>
          <c:invertIfNegative val="0"/>
          <c:dLbls>
            <c:showLegendKey val="0"/>
            <c:showVal val="1"/>
            <c:showCatName val="0"/>
            <c:showSerName val="0"/>
            <c:showPercent val="0"/>
            <c:showBubbleSize val="0"/>
            <c:showLeaderLines val="0"/>
          </c:dLbls>
          <c:cat>
            <c:strLit>
              <c:ptCount val="1"/>
              <c:pt idx="0">
                <c:v>sep-oct 2016</c:v>
              </c:pt>
            </c:strLit>
          </c:cat>
          <c:val>
            <c:numRef>
              <c:f>'[1]Graficos para informe'!$L$7</c:f>
              <c:numCache>
                <c:formatCode>General</c:formatCode>
                <c:ptCount val="1"/>
                <c:pt idx="0">
                  <c:v>0</c:v>
                </c:pt>
              </c:numCache>
            </c:numRef>
          </c:val>
        </c:ser>
        <c:dLbls>
          <c:showLegendKey val="0"/>
          <c:showVal val="0"/>
          <c:showCatName val="0"/>
          <c:showSerName val="0"/>
          <c:showPercent val="0"/>
          <c:showBubbleSize val="0"/>
        </c:dLbls>
        <c:gapWidth val="150"/>
        <c:shape val="box"/>
        <c:axId val="226196096"/>
        <c:axId val="226218368"/>
        <c:axId val="0"/>
      </c:bar3DChart>
      <c:catAx>
        <c:axId val="226196096"/>
        <c:scaling>
          <c:orientation val="minMax"/>
        </c:scaling>
        <c:delete val="0"/>
        <c:axPos val="b"/>
        <c:majorTickMark val="out"/>
        <c:minorTickMark val="none"/>
        <c:tickLblPos val="nextTo"/>
        <c:txPr>
          <a:bodyPr/>
          <a:lstStyle/>
          <a:p>
            <a:pPr>
              <a:defRPr sz="800"/>
            </a:pPr>
            <a:endParaRPr lang="es-AR"/>
          </a:p>
        </c:txPr>
        <c:crossAx val="226218368"/>
        <c:crosses val="autoZero"/>
        <c:auto val="1"/>
        <c:lblAlgn val="ctr"/>
        <c:lblOffset val="100"/>
        <c:noMultiLvlLbl val="0"/>
      </c:catAx>
      <c:valAx>
        <c:axId val="226218368"/>
        <c:scaling>
          <c:orientation val="minMax"/>
        </c:scaling>
        <c:delete val="0"/>
        <c:axPos val="l"/>
        <c:majorGridlines/>
        <c:numFmt formatCode="0%" sourceLinked="1"/>
        <c:majorTickMark val="out"/>
        <c:minorTickMark val="none"/>
        <c:tickLblPos val="nextTo"/>
        <c:crossAx val="226196096"/>
        <c:crosses val="autoZero"/>
        <c:crossBetween val="between"/>
      </c:valAx>
    </c:plotArea>
    <c:legend>
      <c:legendPos val="r"/>
      <c:layout/>
      <c:overlay val="0"/>
      <c:txPr>
        <a:bodyPr/>
        <a:lstStyle/>
        <a:p>
          <a:pPr>
            <a:defRPr sz="800"/>
          </a:pPr>
          <a:endParaRPr lang="es-AR"/>
        </a:p>
      </c:txPr>
    </c:legend>
    <c:plotVisOnly val="1"/>
    <c:dispBlanksAs val="gap"/>
    <c:showDLblsOverMax val="0"/>
  </c:chart>
  <c:spPr>
    <a:noFill/>
    <a:ln>
      <a:noFill/>
    </a:ln>
  </c:spPr>
  <c:txPr>
    <a:bodyPr/>
    <a:lstStyle/>
    <a:p>
      <a:pPr>
        <a:defRPr>
          <a:latin typeface="Verdana" panose="020B0604030504040204" pitchFamily="34" charset="0"/>
          <a:ea typeface="Verdana" panose="020B0604030504040204" pitchFamily="34" charset="0"/>
          <a:cs typeface="Verdana" panose="020B0604030504040204" pitchFamily="34" charset="0"/>
        </a:defRPr>
      </a:pPr>
      <a:endParaRPr lang="es-A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47625</xdr:colOff>
      <xdr:row>3</xdr:row>
      <xdr:rowOff>46566</xdr:rowOff>
    </xdr:from>
    <xdr:to>
      <xdr:col>3</xdr:col>
      <xdr:colOff>964406</xdr:colOff>
      <xdr:row>6</xdr:row>
      <xdr:rowOff>76201</xdr:rowOff>
    </xdr:to>
    <xdr:pic>
      <xdr:nvPicPr>
        <xdr:cNvPr id="2" name="Imagen 2" descr="Crowe_Horwath_B_TM_hi"/>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618066"/>
          <a:ext cx="4560094" cy="815447"/>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40216</xdr:colOff>
      <xdr:row>8</xdr:row>
      <xdr:rowOff>105833</xdr:rowOff>
    </xdr:from>
    <xdr:to>
      <xdr:col>7</xdr:col>
      <xdr:colOff>31750</xdr:colOff>
      <xdr:row>22</xdr:row>
      <xdr:rowOff>169332</xdr:rowOff>
    </xdr:to>
    <xdr:graphicFrame macro="">
      <xdr:nvGraphicFramePr>
        <xdr:cNvPr id="2" name="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166158</xdr:colOff>
      <xdr:row>8</xdr:row>
      <xdr:rowOff>84136</xdr:rowOff>
    </xdr:from>
    <xdr:to>
      <xdr:col>12</xdr:col>
      <xdr:colOff>137583</xdr:colOff>
      <xdr:row>22</xdr:row>
      <xdr:rowOff>190499</xdr:rowOff>
    </xdr:to>
    <xdr:graphicFrame macro="">
      <xdr:nvGraphicFramePr>
        <xdr:cNvPr id="3" name="2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ersiones%20anteriores/F-001.3%20Relevamiento%20CEB%20(userform)%20V2.5.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Auditoria CEB"/>
      <sheetName val="Requerimientos"/>
      <sheetName val="Cuadros para informe"/>
      <sheetName val="Resumen"/>
      <sheetName val="Cruce sistemas"/>
      <sheetName val="Graficos para informe"/>
      <sheetName val="Base de datos"/>
      <sheetName val="Cuadro para cruce"/>
      <sheetName val="Cuadro para cruce (elegibles)"/>
      <sheetName val="Fuentes de informacion validas"/>
    </sheetNames>
    <sheetDataSet>
      <sheetData sheetId="0" refreshError="1"/>
      <sheetData sheetId="1"/>
      <sheetData sheetId="2" refreshError="1"/>
      <sheetData sheetId="3" refreshError="1"/>
      <sheetData sheetId="4" refreshError="1"/>
      <sheetData sheetId="5" refreshError="1"/>
      <sheetData sheetId="6">
        <row r="1">
          <cell r="D1" t="str">
            <v>Válidos</v>
          </cell>
          <cell r="E1" t="str">
            <v>Inválidos</v>
          </cell>
        </row>
        <row r="2">
          <cell r="C2" t="str">
            <v>sep-oct 2015</v>
          </cell>
          <cell r="G2" t="str">
            <v xml:space="preserve"> </v>
          </cell>
          <cell r="H2" t="str">
            <v xml:space="preserve"> </v>
          </cell>
        </row>
        <row r="3">
          <cell r="C3" t="str">
            <v>nov 2015-feb 2016</v>
          </cell>
          <cell r="G3" t="str">
            <v xml:space="preserve"> </v>
          </cell>
          <cell r="H3" t="str">
            <v xml:space="preserve"> </v>
          </cell>
          <cell r="J3" t="str">
            <v>No consta fuente de información válida</v>
          </cell>
          <cell r="L3" t="str">
            <v xml:space="preserve"> </v>
          </cell>
        </row>
        <row r="4">
          <cell r="C4" t="str">
            <v>mar-abr 2016</v>
          </cell>
          <cell r="G4" t="str">
            <v xml:space="preserve"> </v>
          </cell>
          <cell r="H4" t="str">
            <v xml:space="preserve"> </v>
          </cell>
          <cell r="J4" t="str">
            <v>Prestación inexistente</v>
          </cell>
          <cell r="L4" t="str">
            <v xml:space="preserve"> </v>
          </cell>
        </row>
        <row r="5">
          <cell r="C5" t="str">
            <v>may-jun 2016</v>
          </cell>
          <cell r="G5" t="str">
            <v xml:space="preserve"> </v>
          </cell>
          <cell r="H5" t="str">
            <v xml:space="preserve"> </v>
          </cell>
          <cell r="J5" t="str">
            <v>Datos requeridos incompletos</v>
          </cell>
          <cell r="L5" t="str">
            <v xml:space="preserve"> </v>
          </cell>
        </row>
        <row r="6">
          <cell r="C6" t="str">
            <v>jul-ago 2016</v>
          </cell>
          <cell r="G6" t="str">
            <v xml:space="preserve"> </v>
          </cell>
          <cell r="H6" t="str">
            <v xml:space="preserve"> </v>
          </cell>
          <cell r="J6" t="str">
            <v>Codificación errónea</v>
          </cell>
          <cell r="L6" t="str">
            <v xml:space="preserve"> </v>
          </cell>
        </row>
        <row r="7">
          <cell r="C7" t="str">
            <v>sep-oct 2016</v>
          </cell>
          <cell r="G7" t="str">
            <v xml:space="preserve"> </v>
          </cell>
          <cell r="H7" t="str">
            <v xml:space="preserve"> </v>
          </cell>
          <cell r="J7" t="str">
            <v>Fuente invalida</v>
          </cell>
          <cell r="L7" t="str">
            <v xml:space="preserve"> </v>
          </cell>
        </row>
      </sheetData>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1" name="Tabla2" displayName="Tabla2" ref="A1:H7" totalsRowShown="0" headerRowDxfId="18" dataDxfId="17">
  <autoFilter ref="A1:H7"/>
  <tableColumns count="8">
    <tableColumn id="1" name="Provincia " dataDxfId="16"/>
    <tableColumn id="2" name="Periodo" dataDxfId="15"/>
    <tableColumn id="3" name="Periodo bis" dataDxfId="14"/>
    <tableColumn id="4" name="Válidos" dataDxfId="13"/>
    <tableColumn id="5" name="Inválidos" dataDxfId="12"/>
    <tableColumn id="6" name="Total del periodo" dataDxfId="11">
      <calculatedColumnFormula>IF(AND(ISBLANK(Tabla2[[#This Row],[Válidos]]),ISBLANK(Tabla2[[#This Row],[Inválidos]]))," ",Tabla2[[#This Row],[Válidos]]+Tabla2[[#This Row],[Inválidos]])</calculatedColumnFormula>
    </tableColumn>
    <tableColumn id="7" name="Porcentaje validos" dataDxfId="10" dataCellStyle="Porcentaje">
      <calculatedColumnFormula>IFERROR(Tabla2[[#This Row],[Válidos]]/Tabla2[[#This Row],[Total del periodo]]," ")</calculatedColumnFormula>
    </tableColumn>
    <tableColumn id="8" name="Porcentaje invalidos" dataDxfId="9" dataCellStyle="Porcentaje">
      <calculatedColumnFormula>IFERROR(Tabla2[[#This Row],[Inválidos]]/Tabla2[[#This Row],[Total del periodo]]," ")</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a4" displayName="Tabla4" ref="J1:L8" totalsRowCount="1" headerRowDxfId="8" dataDxfId="7" totalsRowDxfId="6">
  <autoFilter ref="J1:L7"/>
  <tableColumns count="3">
    <tableColumn id="1" name="Motivo" totalsRowLabel="Total de debitos" dataDxfId="5" totalsRowDxfId="2"/>
    <tableColumn id="2" name="Cantidad" totalsRowFunction="custom" dataDxfId="4" totalsRowDxfId="1">
      <calculatedColumnFormula>COUNTIF($AM$11:$AM$414,3)</calculatedColumnFormula>
      <totalsRowFormula>SUM(K3:K7)</totalsRowFormula>
    </tableColumn>
    <tableColumn id="3" name="Porcentaje respecto a lo debitado" dataDxfId="3" totalsRowDxfId="0" dataCellStyle="Porcentaje">
      <calculatedColumnFormula>IFERROR(Tabla4[[#This Row],[Cantidad]]/Tabla4[[#Totals],[Cantidad]],"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B1:J13"/>
  <sheetViews>
    <sheetView showGridLines="0" tabSelected="1" zoomScaleNormal="100" workbookViewId="0"/>
  </sheetViews>
  <sheetFormatPr baseColWidth="10" defaultColWidth="9.140625" defaultRowHeight="15"/>
  <cols>
    <col min="2" max="2" width="88.85546875" customWidth="1"/>
    <col min="4" max="4" width="70.7109375" customWidth="1"/>
  </cols>
  <sheetData>
    <row r="1" spans="2:10" ht="41.25" customHeight="1">
      <c r="B1" s="1" t="s">
        <v>193</v>
      </c>
    </row>
    <row r="2" spans="2:10">
      <c r="B2" s="2"/>
      <c r="D2" s="10"/>
      <c r="E2" s="11"/>
      <c r="F2" s="11"/>
      <c r="G2" s="11"/>
      <c r="H2" s="11"/>
      <c r="I2" s="11"/>
      <c r="J2" s="11"/>
    </row>
    <row r="3" spans="2:10">
      <c r="B3" s="3" t="s">
        <v>310</v>
      </c>
    </row>
    <row r="4" spans="2:10" ht="38.25">
      <c r="B4" s="4" t="s">
        <v>308</v>
      </c>
    </row>
    <row r="5" spans="2:10" ht="9" customHeight="1">
      <c r="B5" s="3"/>
    </row>
    <row r="6" spans="2:10">
      <c r="B6" s="5" t="s">
        <v>309</v>
      </c>
    </row>
    <row r="7" spans="2:10" ht="64.5" customHeight="1">
      <c r="B7" s="4" t="s">
        <v>317</v>
      </c>
    </row>
    <row r="8" spans="2:10">
      <c r="B8" s="3" t="s">
        <v>311</v>
      </c>
    </row>
    <row r="9" spans="2:10" ht="100.5" customHeight="1">
      <c r="B9" s="6" t="s">
        <v>312</v>
      </c>
    </row>
    <row r="10" spans="2:10" ht="87.75" customHeight="1">
      <c r="B10" s="4" t="s">
        <v>313</v>
      </c>
    </row>
    <row r="11" spans="2:10" ht="45.75" customHeight="1">
      <c r="B11" s="7" t="s">
        <v>314</v>
      </c>
    </row>
    <row r="12" spans="2:10" ht="32.25" customHeight="1">
      <c r="B12" s="8" t="s">
        <v>315</v>
      </c>
    </row>
    <row r="13" spans="2:10" ht="179.25" thickBot="1">
      <c r="B13" s="9" t="s">
        <v>316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R416"/>
  <sheetViews>
    <sheetView showGridLines="0" showRuler="0" zoomScale="85" zoomScaleNormal="85" workbookViewId="0"/>
  </sheetViews>
  <sheetFormatPr baseColWidth="10" defaultColWidth="11.42578125" defaultRowHeight="14.25"/>
  <cols>
    <col min="1" max="1" width="2.85546875" style="62" customWidth="1"/>
    <col min="2" max="2" width="15.28515625" style="62" customWidth="1"/>
    <col min="3" max="3" width="39.28515625" style="182" bestFit="1" customWidth="1"/>
    <col min="4" max="4" width="30.140625" style="183" bestFit="1" customWidth="1"/>
    <col min="5" max="5" width="37" style="183" bestFit="1" customWidth="1"/>
    <col min="6" max="6" width="37" style="183" customWidth="1"/>
    <col min="7" max="7" width="27.28515625" style="184" bestFit="1" customWidth="1"/>
    <col min="8" max="8" width="28.5703125" style="184" customWidth="1"/>
    <col min="9" max="9" width="39.5703125" style="62" customWidth="1"/>
    <col min="10" max="10" width="53.85546875" style="62" bestFit="1" customWidth="1"/>
    <col min="11" max="11" width="25.85546875" style="185" bestFit="1" customWidth="1"/>
    <col min="12" max="12" width="25.85546875" style="185" customWidth="1"/>
    <col min="13" max="13" width="49.42578125" style="186" customWidth="1"/>
    <col min="14" max="14" width="24" style="186" customWidth="1"/>
    <col min="15" max="15" width="32.28515625" style="187" customWidth="1"/>
    <col min="16" max="16" width="31.42578125" style="62" customWidth="1"/>
    <col min="17" max="17" width="24.140625" style="186" customWidth="1"/>
    <col min="18" max="19" width="35.85546875" style="186" customWidth="1"/>
    <col min="20" max="20" width="8.7109375" style="62" customWidth="1"/>
    <col min="21" max="21" width="6.28515625" style="62" customWidth="1"/>
    <col min="22" max="22" width="13.42578125" style="188" customWidth="1"/>
    <col min="23" max="23" width="7.28515625" style="189" customWidth="1"/>
    <col min="24" max="24" width="7.5703125" style="189" customWidth="1"/>
    <col min="25" max="25" width="16.28515625" style="62" customWidth="1"/>
    <col min="26" max="26" width="15.85546875" style="62" customWidth="1"/>
    <col min="27" max="27" width="18.42578125" style="62" customWidth="1"/>
    <col min="28" max="28" width="20.28515625" style="62" customWidth="1"/>
    <col min="29" max="30" width="16.5703125" style="62" customWidth="1"/>
    <col min="31" max="32" width="38.140625" style="62" customWidth="1"/>
    <col min="33" max="33" width="84" style="62" customWidth="1"/>
    <col min="34" max="34" width="7.28515625" style="62" customWidth="1"/>
    <col min="35" max="35" width="38.5703125" style="190" customWidth="1"/>
    <col min="36" max="36" width="38.42578125" style="190" customWidth="1"/>
    <col min="37" max="37" width="27.140625" style="190" customWidth="1"/>
    <col min="38" max="38" width="7.28515625" style="62" customWidth="1"/>
    <col min="39" max="39" width="33.140625" style="67" customWidth="1"/>
    <col min="40" max="41" width="31.140625" style="190" customWidth="1"/>
    <col min="42" max="42" width="20.140625" style="190" customWidth="1"/>
    <col min="43" max="43" width="20.28515625" style="190" customWidth="1"/>
    <col min="44" max="44" width="15.5703125" style="62" customWidth="1"/>
    <col min="45" max="16384" width="11.42578125" style="62"/>
  </cols>
  <sheetData>
    <row r="1" spans="1:44">
      <c r="C1" s="62"/>
      <c r="D1" s="62"/>
      <c r="E1" s="62"/>
      <c r="F1" s="62"/>
      <c r="G1" s="62"/>
      <c r="H1" s="62"/>
      <c r="K1" s="62"/>
      <c r="L1" s="62"/>
      <c r="M1" s="62"/>
      <c r="N1" s="62"/>
      <c r="O1" s="62"/>
      <c r="Q1" s="62"/>
      <c r="R1" s="62"/>
      <c r="S1" s="62"/>
      <c r="V1" s="62"/>
      <c r="W1" s="62"/>
      <c r="X1" s="62"/>
      <c r="AI1" s="62"/>
      <c r="AJ1" s="62"/>
      <c r="AK1" s="62"/>
      <c r="AM1" s="62"/>
      <c r="AN1" s="62"/>
      <c r="AO1" s="62"/>
      <c r="AP1" s="62"/>
      <c r="AQ1" s="62"/>
    </row>
    <row r="2" spans="1:44" ht="22.5" customHeight="1">
      <c r="A2" s="63"/>
      <c r="B2" s="63"/>
      <c r="C2" s="63"/>
      <c r="D2" s="63"/>
      <c r="E2" s="63"/>
      <c r="F2" s="63"/>
      <c r="G2" s="63"/>
      <c r="H2" s="63"/>
      <c r="I2" s="63"/>
      <c r="J2" s="63"/>
      <c r="K2" s="63"/>
      <c r="L2" s="63"/>
      <c r="M2" s="64"/>
      <c r="N2" s="64"/>
      <c r="O2" s="63"/>
      <c r="P2" s="64"/>
      <c r="Q2" s="64"/>
      <c r="R2" s="63"/>
      <c r="S2" s="64"/>
      <c r="T2" s="64"/>
      <c r="U2" s="63"/>
      <c r="V2" s="64"/>
      <c r="W2" s="64"/>
      <c r="X2" s="63"/>
      <c r="Y2" s="64"/>
      <c r="Z2" s="64"/>
      <c r="AA2" s="63"/>
      <c r="AB2" s="64"/>
      <c r="AC2" s="64"/>
      <c r="AD2" s="63"/>
      <c r="AE2" s="64"/>
      <c r="AF2" s="64"/>
      <c r="AG2" s="63"/>
      <c r="AH2" s="64"/>
      <c r="AI2" s="64"/>
      <c r="AJ2" s="63"/>
      <c r="AK2" s="64"/>
      <c r="AL2" s="64"/>
      <c r="AM2" s="63"/>
      <c r="AN2" s="64"/>
      <c r="AO2" s="64"/>
      <c r="AP2" s="63"/>
      <c r="AQ2" s="64"/>
      <c r="AR2" s="64"/>
    </row>
    <row r="3" spans="1:44" ht="7.5" customHeight="1" thickBot="1">
      <c r="A3" s="63"/>
      <c r="B3" s="63"/>
      <c r="C3" s="63"/>
      <c r="D3" s="63"/>
      <c r="E3" s="63"/>
      <c r="F3" s="63"/>
      <c r="G3" s="63"/>
      <c r="H3" s="63"/>
      <c r="I3" s="63"/>
      <c r="J3" s="63"/>
      <c r="K3" s="63"/>
      <c r="L3" s="63"/>
      <c r="M3" s="64"/>
      <c r="N3" s="64"/>
      <c r="O3" s="64"/>
      <c r="P3" s="63"/>
      <c r="Q3" s="63"/>
      <c r="R3" s="63"/>
      <c r="S3" s="63"/>
      <c r="T3" s="63"/>
      <c r="U3" s="63"/>
      <c r="V3" s="65"/>
      <c r="W3" s="63"/>
      <c r="X3" s="66"/>
      <c r="Y3" s="66"/>
      <c r="Z3" s="66"/>
      <c r="AA3" s="66"/>
      <c r="AB3" s="66"/>
      <c r="AC3" s="66"/>
      <c r="AD3" s="66"/>
      <c r="AE3" s="66"/>
      <c r="AF3" s="66"/>
      <c r="AG3" s="66"/>
      <c r="AI3" s="62"/>
      <c r="AJ3" s="62"/>
      <c r="AK3" s="62"/>
      <c r="AN3" s="62"/>
      <c r="AO3" s="62"/>
      <c r="AP3" s="62"/>
      <c r="AQ3" s="62"/>
    </row>
    <row r="4" spans="1:44" ht="17.25" customHeight="1" thickTop="1" thickBot="1">
      <c r="A4" s="63"/>
      <c r="B4" s="68"/>
      <c r="C4" s="68"/>
      <c r="D4" s="68"/>
      <c r="E4" s="68"/>
      <c r="F4" s="68"/>
      <c r="G4" s="68"/>
      <c r="H4" s="69"/>
      <c r="I4" s="69"/>
      <c r="J4" s="70"/>
      <c r="K4" s="64"/>
      <c r="L4" s="64"/>
      <c r="M4" s="64"/>
      <c r="N4" s="64"/>
      <c r="O4" s="70"/>
      <c r="P4" s="70"/>
      <c r="Q4" s="70"/>
      <c r="R4" s="71"/>
      <c r="S4" s="63"/>
      <c r="T4" s="63"/>
      <c r="U4" s="65"/>
      <c r="V4" s="63"/>
      <c r="W4" s="66"/>
      <c r="X4" s="66"/>
      <c r="Y4" s="66"/>
      <c r="Z4" s="66"/>
      <c r="AA4" s="66"/>
      <c r="AB4" s="66"/>
      <c r="AC4" s="66"/>
      <c r="AD4" s="66"/>
      <c r="AE4" s="66"/>
      <c r="AF4" s="66"/>
      <c r="AG4" s="66"/>
      <c r="AI4" s="62"/>
      <c r="AJ4" s="62"/>
      <c r="AK4" s="62"/>
      <c r="AN4" s="209" t="s">
        <v>223</v>
      </c>
      <c r="AO4" s="210"/>
      <c r="AP4" s="72"/>
      <c r="AQ4" s="62"/>
    </row>
    <row r="5" spans="1:44" ht="27.75" customHeight="1" thickTop="1" thickBot="1">
      <c r="A5" s="63"/>
      <c r="B5" s="63"/>
      <c r="C5" s="63"/>
      <c r="D5" s="71"/>
      <c r="E5" s="73" t="s">
        <v>1</v>
      </c>
      <c r="F5" s="74" t="s">
        <v>171</v>
      </c>
      <c r="G5" s="75" t="s">
        <v>0</v>
      </c>
      <c r="H5" s="76" t="s">
        <v>200</v>
      </c>
      <c r="K5" s="62"/>
      <c r="L5" s="62"/>
      <c r="M5" s="77"/>
      <c r="N5" s="77"/>
      <c r="O5" s="64"/>
      <c r="Q5" s="62"/>
      <c r="R5" s="62"/>
      <c r="S5" s="63"/>
      <c r="T5" s="63"/>
      <c r="U5" s="65"/>
      <c r="V5" s="63"/>
      <c r="W5" s="66"/>
      <c r="X5" s="66"/>
      <c r="Y5" s="66"/>
      <c r="Z5" s="66"/>
      <c r="AA5" s="66"/>
      <c r="AB5" s="66"/>
      <c r="AC5" s="66"/>
      <c r="AD5" s="66"/>
      <c r="AE5" s="66"/>
      <c r="AF5" s="66"/>
      <c r="AG5" s="66"/>
      <c r="AH5" s="78"/>
      <c r="AI5" s="79" t="s">
        <v>219</v>
      </c>
      <c r="AJ5" s="80" t="s">
        <v>220</v>
      </c>
      <c r="AK5" s="66"/>
      <c r="AN5" s="79" t="s">
        <v>9</v>
      </c>
      <c r="AO5" s="81" t="s">
        <v>220</v>
      </c>
      <c r="AP5" s="82"/>
      <c r="AQ5" s="62"/>
    </row>
    <row r="6" spans="1:44" ht="16.5" customHeight="1" thickTop="1" thickBot="1">
      <c r="A6" s="63"/>
      <c r="B6" s="63"/>
      <c r="C6" s="63"/>
      <c r="D6" s="71"/>
      <c r="E6" s="83"/>
      <c r="F6" s="84"/>
      <c r="G6" s="85"/>
      <c r="H6" s="86"/>
      <c r="I6" s="87"/>
      <c r="K6" s="62"/>
      <c r="L6" s="62"/>
      <c r="M6" s="77"/>
      <c r="N6" s="77"/>
      <c r="O6" s="64"/>
      <c r="Q6" s="62"/>
      <c r="R6" s="62"/>
      <c r="S6" s="62"/>
      <c r="T6" s="63"/>
      <c r="U6" s="65"/>
      <c r="V6" s="71"/>
      <c r="W6" s="62"/>
      <c r="X6" s="62"/>
      <c r="Z6" s="66"/>
      <c r="AA6" s="66"/>
      <c r="AB6" s="66"/>
      <c r="AC6" s="66"/>
      <c r="AD6" s="66"/>
      <c r="AE6" s="66"/>
      <c r="AF6" s="66"/>
      <c r="AG6" s="66"/>
      <c r="AH6" s="78"/>
      <c r="AI6" s="88"/>
      <c r="AJ6" s="89"/>
      <c r="AK6" s="90" t="str">
        <f>IF(AJ6=ISBLANK(""),"Completar fecha de análisis y supervisión","")</f>
        <v>Completar fecha de análisis y supervisión</v>
      </c>
      <c r="AN6" s="86"/>
      <c r="AO6" s="91"/>
      <c r="AP6" s="92" t="str">
        <f>IF(AO6=ISBLANK(""),"Completar fecha de análisis","")</f>
        <v>Completar fecha de análisis</v>
      </c>
      <c r="AQ6" s="62"/>
    </row>
    <row r="7" spans="1:44" ht="23.25" customHeight="1" thickTop="1">
      <c r="A7" s="63"/>
      <c r="B7" s="63"/>
      <c r="C7" s="63"/>
      <c r="D7" s="63"/>
      <c r="E7" s="93"/>
      <c r="F7" s="93"/>
      <c r="G7" s="94"/>
      <c r="H7" s="95" t="str">
        <f>IF(H6=ISBLANK(""),"Introducir fecha de confección","")</f>
        <v>Introducir fecha de confección</v>
      </c>
      <c r="I7" s="96"/>
      <c r="K7" s="62"/>
      <c r="L7" s="62"/>
      <c r="M7" s="97"/>
      <c r="N7" s="97"/>
      <c r="O7" s="68"/>
      <c r="Q7" s="62"/>
      <c r="R7" s="62"/>
      <c r="S7" s="98"/>
      <c r="T7" s="63"/>
      <c r="U7" s="65"/>
      <c r="V7" s="71"/>
      <c r="W7" s="62"/>
      <c r="X7" s="62"/>
      <c r="Z7" s="66"/>
      <c r="AA7" s="66"/>
      <c r="AB7" s="66"/>
      <c r="AC7" s="66"/>
      <c r="AD7" s="66"/>
      <c r="AE7" s="66"/>
      <c r="AF7" s="66"/>
      <c r="AG7" s="66"/>
      <c r="AI7" s="90" t="str">
        <f>IF(AI6=ISBLANK(""),"Introducir nombre completo","")</f>
        <v>Introducir nombre completo</v>
      </c>
      <c r="AJ7" s="66"/>
      <c r="AK7" s="66"/>
      <c r="AN7" s="90" t="str">
        <f>IF(AN6=ISBLANK(""),"Introducir nombre completo","")</f>
        <v>Introducir nombre completo</v>
      </c>
      <c r="AO7" s="66"/>
      <c r="AP7" s="66"/>
      <c r="AQ7" s="62"/>
    </row>
    <row r="8" spans="1:44" ht="15" customHeight="1">
      <c r="A8" s="63"/>
      <c r="C8" s="99"/>
      <c r="D8" s="99"/>
      <c r="E8" s="62"/>
      <c r="F8" s="62"/>
      <c r="G8" s="62"/>
      <c r="H8" s="62"/>
      <c r="I8" s="63"/>
      <c r="J8" s="63"/>
      <c r="K8" s="66"/>
      <c r="L8" s="62"/>
      <c r="M8" s="77"/>
      <c r="N8" s="77"/>
      <c r="O8" s="77"/>
      <c r="P8" s="71"/>
      <c r="Q8" s="71"/>
      <c r="R8" s="71"/>
      <c r="S8" s="71"/>
      <c r="T8" s="71"/>
      <c r="U8" s="71"/>
      <c r="V8" s="100"/>
      <c r="W8" s="71"/>
      <c r="X8" s="101"/>
      <c r="Y8" s="101"/>
      <c r="Z8" s="101"/>
      <c r="AA8" s="101"/>
      <c r="AB8" s="101"/>
      <c r="AC8" s="101"/>
      <c r="AD8" s="101"/>
      <c r="AE8" s="101"/>
      <c r="AF8" s="101"/>
      <c r="AG8" s="101"/>
      <c r="AI8" s="62"/>
      <c r="AJ8" s="62"/>
      <c r="AK8" s="62"/>
      <c r="AN8" s="62"/>
      <c r="AO8" s="62"/>
      <c r="AP8" s="62"/>
      <c r="AQ8" s="62"/>
    </row>
    <row r="9" spans="1:44" ht="42" customHeight="1" thickBot="1">
      <c r="A9" s="63"/>
      <c r="B9" s="102" t="s">
        <v>264</v>
      </c>
      <c r="C9" s="70"/>
      <c r="D9" s="70"/>
      <c r="E9" s="70"/>
      <c r="F9" s="70"/>
      <c r="G9" s="70"/>
      <c r="H9" s="70"/>
      <c r="I9" s="70"/>
      <c r="J9" s="70"/>
      <c r="K9" s="70"/>
      <c r="L9" s="71"/>
      <c r="M9"/>
      <c r="N9"/>
      <c r="O9"/>
      <c r="P9"/>
      <c r="Q9"/>
      <c r="R9"/>
      <c r="S9"/>
      <c r="T9"/>
      <c r="U9"/>
      <c r="V9"/>
      <c r="W9"/>
      <c r="X9"/>
      <c r="Y9"/>
      <c r="Z9"/>
      <c r="AA9"/>
      <c r="AB9"/>
      <c r="AC9"/>
      <c r="AD9"/>
      <c r="AE9"/>
      <c r="AF9"/>
      <c r="AG9"/>
      <c r="AH9" s="71"/>
      <c r="AI9"/>
      <c r="AJ9"/>
      <c r="AK9"/>
      <c r="AL9"/>
      <c r="AM9"/>
      <c r="AN9"/>
      <c r="AO9"/>
      <c r="AP9"/>
      <c r="AQ9"/>
      <c r="AR9"/>
    </row>
    <row r="10" spans="1:44" ht="68.25" customHeight="1" thickTop="1" thickBot="1">
      <c r="A10" s="103"/>
      <c r="B10" s="104" t="s">
        <v>194</v>
      </c>
      <c r="C10" s="105" t="s">
        <v>195</v>
      </c>
      <c r="D10" s="105" t="s">
        <v>196</v>
      </c>
      <c r="E10" s="105" t="s">
        <v>197</v>
      </c>
      <c r="F10" s="105" t="s">
        <v>198</v>
      </c>
      <c r="G10" s="105" t="s">
        <v>272</v>
      </c>
      <c r="H10" s="105" t="s">
        <v>39</v>
      </c>
      <c r="I10" s="105" t="s">
        <v>199</v>
      </c>
      <c r="J10" s="105" t="s">
        <v>319</v>
      </c>
      <c r="K10" s="105" t="s">
        <v>201</v>
      </c>
      <c r="L10" s="106" t="s">
        <v>273</v>
      </c>
      <c r="M10" s="107" t="s">
        <v>202</v>
      </c>
      <c r="N10" s="107" t="s">
        <v>242</v>
      </c>
      <c r="O10" s="108" t="s">
        <v>203</v>
      </c>
      <c r="P10" s="107" t="s">
        <v>204</v>
      </c>
      <c r="Q10" s="109" t="s">
        <v>205</v>
      </c>
      <c r="R10" s="110" t="s">
        <v>206</v>
      </c>
      <c r="S10" s="108" t="s">
        <v>207</v>
      </c>
      <c r="T10" s="108" t="s">
        <v>208</v>
      </c>
      <c r="U10" s="108" t="s">
        <v>5</v>
      </c>
      <c r="V10" s="108" t="s">
        <v>6</v>
      </c>
      <c r="W10" s="108" t="s">
        <v>3</v>
      </c>
      <c r="X10" s="108" t="s">
        <v>4</v>
      </c>
      <c r="Y10" s="108" t="s">
        <v>209</v>
      </c>
      <c r="Z10" s="108" t="s">
        <v>210</v>
      </c>
      <c r="AA10" s="108" t="s">
        <v>212</v>
      </c>
      <c r="AB10" s="108" t="s">
        <v>213</v>
      </c>
      <c r="AC10" s="108" t="s">
        <v>214</v>
      </c>
      <c r="AD10" s="108" t="s">
        <v>211</v>
      </c>
      <c r="AE10" s="111" t="s">
        <v>215</v>
      </c>
      <c r="AF10" s="79" t="s">
        <v>216</v>
      </c>
      <c r="AG10" s="112" t="s">
        <v>265</v>
      </c>
      <c r="AH10" s="113"/>
      <c r="AI10" s="114" t="s">
        <v>217</v>
      </c>
      <c r="AJ10" s="115" t="s">
        <v>218</v>
      </c>
      <c r="AK10" s="105" t="s">
        <v>2</v>
      </c>
      <c r="AL10" s="116"/>
      <c r="AM10" s="117" t="s">
        <v>151</v>
      </c>
      <c r="AN10" s="114" t="s">
        <v>221</v>
      </c>
      <c r="AO10" s="115" t="s">
        <v>218</v>
      </c>
      <c r="AP10" s="105" t="s">
        <v>2</v>
      </c>
      <c r="AQ10" s="118" t="s">
        <v>222</v>
      </c>
      <c r="AR10" s="105" t="s">
        <v>172</v>
      </c>
    </row>
    <row r="11" spans="1:44" ht="15" thickTop="1">
      <c r="A11" s="71"/>
      <c r="B11" s="119"/>
      <c r="C11" s="120"/>
      <c r="D11" s="120"/>
      <c r="E11" s="120"/>
      <c r="F11" s="121"/>
      <c r="G11" s="122"/>
      <c r="H11" s="121" t="str">
        <f>IF(OR(ISBLANK(I11),ISBLANK(AQ11))," ",IFERROR(VLOOKUP(CONCATENATE(I11,AQ11),Prestaciones!$E$1:$H$488,4,FALSE),IFERROR(VLOOKUP(CONCATENATE(LEFT(I11,6),AQ11),Prestaciones!$E$491:$H$836,4,FALSE),"La prestación no corresponde al grupo poblacional")))</f>
        <v xml:space="preserve"> </v>
      </c>
      <c r="I11" s="123"/>
      <c r="J11" s="123" t="str">
        <f>IF(OR(ISBLANK(I11),ISBLANK(AQ11))," ",IFERROR(VLOOKUP(CONCATENATE(I11,AQ11),Prestaciones!$E$1:$G$488,3,FALSE),IFERROR(VLOOKUP(CONCATENATE(LEFT(I11,6),AQ11),Prestaciones!$E$491:$H$836,3,FALSE),"La prestación no corresponde al grupo poblacional")))</f>
        <v xml:space="preserve"> </v>
      </c>
      <c r="K11" s="124"/>
      <c r="L11" s="124"/>
      <c r="M11" s="125"/>
      <c r="N11" s="126"/>
      <c r="O11" s="127"/>
      <c r="P11" s="128"/>
      <c r="Q11" s="129"/>
      <c r="R11" s="129"/>
      <c r="S11" s="129"/>
      <c r="T11" s="130"/>
      <c r="U11" s="130"/>
      <c r="V11" s="130"/>
      <c r="W11" s="127"/>
      <c r="X11" s="127"/>
      <c r="Y11" s="130"/>
      <c r="Z11" s="130"/>
      <c r="AA11" s="130"/>
      <c r="AB11" s="130"/>
      <c r="AC11" s="130"/>
      <c r="AD11" s="130"/>
      <c r="AE11" s="131"/>
      <c r="AF11" s="132" t="str">
        <f>IF(ISBLANK(P11)," ",(K11-P11)/365)</f>
        <v xml:space="preserve"> </v>
      </c>
      <c r="AG11" s="133" t="str">
        <f>IF(M11="No consta fuente de información","Se debe labrar acta",IF(M11="Prestación inexistente","Se debe labrar acta e indicar el tipo de fuente de información en observaciones",IF(M11="","Ingresar fuente de información",IF(AND(OR(M11="HC",M11="Ficha odontológica",M11="Libro de enfermería",M11="SIP",M11="Registro vacunatorio",M11="HCPB",M11="Ficha médica",M11="Libro del servicio de imágenes",M11="Registro del servicio de anatomía patológica",M11="Sistema informático",M11="Caso duplicado"),(OR(ISBLANK(O11),ISBLANK(Q11),ISBLANK(R11),ISBLANK(S11),ISBLANK(T11),ISBLANK(U11),ISBLANK(V11),ISBLANK(W11),ISBLANK(X11),ISBLANK(Y11),ISBLANK(Z11),ISBLANK(AA11),ISBLANK(AB11),ISBLANK(AC11),ISBLANK(AD11)))),"Completar todos los campos","OK"))))</f>
        <v>Ingresar fuente de información</v>
      </c>
      <c r="AH11" s="134"/>
      <c r="AI11" s="135"/>
      <c r="AJ11" s="136"/>
      <c r="AK11" s="137"/>
      <c r="AL11" s="138"/>
      <c r="AM11" s="139"/>
      <c r="AN11" s="135" t="str">
        <f>IF(ISBLANK(AM11)," ",IF(AM11=0,"Valido",IF(AM11=1,"No consta fuente de informacion valida",IF(AM11=2,"Prestación inexistente",IF(AM11=3,"Datos requeridos incompletos",IF(AM11=4,"Codificación erronea",IF(AM11=5,"Fuente invalida","Categoria invalida")))))))</f>
        <v xml:space="preserve"> </v>
      </c>
      <c r="AO11" s="136"/>
      <c r="AP11" s="137"/>
      <c r="AQ11" s="140"/>
      <c r="AR11" s="141" t="str">
        <f t="shared" ref="AR11:AR25" si="0">IF(ISBLANK(P11)," ",IF(AND(AF11&lt;10),"Niños",IF(AND(AF11&gt;=10,AF11&lt;20),"Adolescentes",IF(AND(AF11&gt;=20,AF11&lt;65),"Adultos","No valido"))))</f>
        <v xml:space="preserve"> </v>
      </c>
    </row>
    <row r="12" spans="1:44">
      <c r="A12" s="71"/>
      <c r="B12" s="142"/>
      <c r="C12" s="143"/>
      <c r="D12" s="143"/>
      <c r="E12" s="143"/>
      <c r="F12" s="144"/>
      <c r="G12" s="142"/>
      <c r="H12" s="144" t="str">
        <f>IF(OR(ISBLANK(I12),ISBLANK(AQ12))," ",IFERROR(VLOOKUP(CONCATENATE(I12,AQ12),Prestaciones!$E$1:$H$488,4,FALSE),IFERROR(VLOOKUP(CONCATENATE(LEFT(I12,6),AQ12),Prestaciones!$E$491:$H$836,4,FALSE),"La prestación no corresponde al grupo poblacional")))</f>
        <v xml:space="preserve"> </v>
      </c>
      <c r="I12" s="145"/>
      <c r="J12" s="145" t="str">
        <f>IF(OR(ISBLANK(I12),ISBLANK(AQ12))," ",IFERROR(VLOOKUP(CONCATENATE(I12,AQ12),Prestaciones!$E$1:$G$488,3,FALSE),IFERROR(VLOOKUP(CONCATENATE(LEFT(I12,6),AQ12),Prestaciones!$E$491:$H$836,3,FALSE),"La prestación no corresponde al grupo poblacional")))</f>
        <v xml:space="preserve"> </v>
      </c>
      <c r="K12" s="146"/>
      <c r="L12" s="146"/>
      <c r="M12" s="147"/>
      <c r="N12" s="148"/>
      <c r="O12" s="149"/>
      <c r="P12" s="150"/>
      <c r="Q12" s="151"/>
      <c r="R12" s="151"/>
      <c r="S12" s="151"/>
      <c r="T12" s="147"/>
      <c r="U12" s="147"/>
      <c r="V12" s="147"/>
      <c r="W12" s="149"/>
      <c r="X12" s="149"/>
      <c r="Y12" s="147"/>
      <c r="Z12" s="147"/>
      <c r="AA12" s="147"/>
      <c r="AB12" s="147"/>
      <c r="AC12" s="147"/>
      <c r="AD12" s="147"/>
      <c r="AE12" s="152"/>
      <c r="AF12" s="153" t="str">
        <f>IF(ISBLANK(P12)," ",(K12-P12)/365)</f>
        <v xml:space="preserve"> </v>
      </c>
      <c r="AG12" s="154" t="str">
        <f t="shared" ref="AG12:AG94" si="1">IF(M12="No consta fuente de información","Se debe labrar acta",IF(M12="Prestación inexistente","Se debe labrar acta e indicar el tipo de fuente de información en observaciones",IF(M12="","Ingresar fuente de información",IF(AND(OR(M12="HC",M12="Ficha odontológica",M12="Libro de enfermería",M12="SIP",M12="Registro vacunatorio",M12="HCPB",M12="Ficha médica",M12="Libro del servicio de imágenes",M12="Registro del servicio de anatomía patológica",M12="Sistema informático",M12="Caso duplicado"),(OR(ISBLANK(O12),ISBLANK(Q12),ISBLANK(R12),ISBLANK(S12),ISBLANK(T12),ISBLANK(U12),ISBLANK(V12),ISBLANK(W12),ISBLANK(X12),ISBLANK(Y12),ISBLANK(Z12),ISBLANK(AA12),ISBLANK(AB12),ISBLANK(AC12),ISBLANK(AD12)))),"Completar todos los campos","OK"))))</f>
        <v>Ingresar fuente de información</v>
      </c>
      <c r="AH12" s="134"/>
      <c r="AI12" s="155"/>
      <c r="AJ12" s="156"/>
      <c r="AK12" s="157"/>
      <c r="AM12" s="158"/>
      <c r="AN12" s="155" t="str">
        <f t="shared" ref="AN12:AN75" si="2">IF(ISBLANK(AM12)," ",IF(AM12=0,"Valido",IF(AM12=1,"No consta fuente de informacion valida",IF(AM12=2,"Prestación inexistente",IF(AM12=3,"Datos requeridos incompletos",IF(AM12=4,"Codificación erronea",IF(AM12=5,"Fuente invalida","Categoria invalida")))))))</f>
        <v xml:space="preserve"> </v>
      </c>
      <c r="AO12" s="156"/>
      <c r="AP12" s="157"/>
      <c r="AQ12" s="159"/>
      <c r="AR12" s="160" t="str">
        <f t="shared" si="0"/>
        <v xml:space="preserve"> </v>
      </c>
    </row>
    <row r="13" spans="1:44">
      <c r="A13" s="71"/>
      <c r="B13" s="142"/>
      <c r="C13" s="143"/>
      <c r="D13" s="143"/>
      <c r="E13" s="143"/>
      <c r="F13" s="144"/>
      <c r="G13" s="142"/>
      <c r="H13" s="144" t="str">
        <f>IF(OR(ISBLANK(I13),ISBLANK(AQ13))," ",IFERROR(VLOOKUP(CONCATENATE(I13,AQ13),Prestaciones!$E$1:$H$488,4,FALSE),IFERROR(VLOOKUP(CONCATENATE(LEFT(I13,6),AQ13),Prestaciones!$E$491:$H$836,4,FALSE),"La prestación no corresponde al grupo poblacional")))</f>
        <v xml:space="preserve"> </v>
      </c>
      <c r="I13" s="145"/>
      <c r="J13" s="145" t="str">
        <f>IF(OR(ISBLANK(I13),ISBLANK(AQ13))," ",IFERROR(VLOOKUP(CONCATENATE(I13,AQ13),Prestaciones!$E$1:$G$488,3,FALSE),IFERROR(VLOOKUP(CONCATENATE(LEFT(I13,6),AQ13),Prestaciones!$E$491:$H$836,3,FALSE),"La prestación no corresponde al grupo poblacional")))</f>
        <v xml:space="preserve"> </v>
      </c>
      <c r="K13" s="146"/>
      <c r="L13" s="146"/>
      <c r="M13" s="147"/>
      <c r="N13" s="148"/>
      <c r="O13" s="149"/>
      <c r="P13" s="150"/>
      <c r="Q13" s="151"/>
      <c r="R13" s="151"/>
      <c r="S13" s="151"/>
      <c r="T13" s="147"/>
      <c r="U13" s="147"/>
      <c r="V13" s="147"/>
      <c r="W13" s="149"/>
      <c r="X13" s="149"/>
      <c r="Y13" s="147"/>
      <c r="Z13" s="147"/>
      <c r="AA13" s="147"/>
      <c r="AB13" s="147"/>
      <c r="AC13" s="147"/>
      <c r="AD13" s="147"/>
      <c r="AE13" s="152"/>
      <c r="AF13" s="153" t="str">
        <f t="shared" ref="AF13:AF94" si="3">IF(ISBLANK(P13)," ",(K13-P13)/365)</f>
        <v xml:space="preserve"> </v>
      </c>
      <c r="AG13" s="154" t="str">
        <f t="shared" si="1"/>
        <v>Ingresar fuente de información</v>
      </c>
      <c r="AH13" s="134"/>
      <c r="AI13" s="155"/>
      <c r="AJ13" s="156"/>
      <c r="AK13" s="157"/>
      <c r="AM13" s="158"/>
      <c r="AN13" s="155" t="str">
        <f t="shared" si="2"/>
        <v xml:space="preserve"> </v>
      </c>
      <c r="AO13" s="156"/>
      <c r="AP13" s="157"/>
      <c r="AQ13" s="161"/>
      <c r="AR13" s="160" t="str">
        <f t="shared" si="0"/>
        <v xml:space="preserve"> </v>
      </c>
    </row>
    <row r="14" spans="1:44">
      <c r="A14" s="71"/>
      <c r="B14" s="142"/>
      <c r="C14" s="143"/>
      <c r="D14" s="143"/>
      <c r="E14" s="143"/>
      <c r="F14" s="144"/>
      <c r="G14" s="142"/>
      <c r="H14" s="144" t="str">
        <f>IF(OR(ISBLANK(I14),ISBLANK(AQ14))," ",IFERROR(VLOOKUP(CONCATENATE(I14,AQ14),Prestaciones!$E$1:$H$488,4,FALSE),IFERROR(VLOOKUP(CONCATENATE(LEFT(I14,6),AQ14),Prestaciones!$E$491:$H$836,4,FALSE),"La prestación no corresponde al grupo poblacional")))</f>
        <v xml:space="preserve"> </v>
      </c>
      <c r="I14" s="145"/>
      <c r="J14" s="145" t="str">
        <f>IF(OR(ISBLANK(I14),ISBLANK(AQ14))," ",IFERROR(VLOOKUP(CONCATENATE(I14,AQ14),Prestaciones!$E$1:$G$488,3,FALSE),IFERROR(VLOOKUP(CONCATENATE(LEFT(I14,6),AQ14),Prestaciones!$E$491:$H$836,3,FALSE),"La prestación no corresponde al grupo poblacional")))</f>
        <v xml:space="preserve"> </v>
      </c>
      <c r="K14" s="146"/>
      <c r="L14" s="146"/>
      <c r="M14" s="147"/>
      <c r="N14" s="148"/>
      <c r="O14" s="149"/>
      <c r="P14" s="150"/>
      <c r="Q14" s="151"/>
      <c r="R14" s="151"/>
      <c r="S14" s="151"/>
      <c r="T14" s="147"/>
      <c r="U14" s="147"/>
      <c r="V14" s="147"/>
      <c r="W14" s="149"/>
      <c r="X14" s="149"/>
      <c r="Y14" s="147"/>
      <c r="Z14" s="147"/>
      <c r="AA14" s="147"/>
      <c r="AB14" s="147"/>
      <c r="AC14" s="147"/>
      <c r="AD14" s="147"/>
      <c r="AE14" s="152"/>
      <c r="AF14" s="153" t="str">
        <f t="shared" si="3"/>
        <v xml:space="preserve"> </v>
      </c>
      <c r="AG14" s="154" t="str">
        <f t="shared" si="1"/>
        <v>Ingresar fuente de información</v>
      </c>
      <c r="AH14" s="134"/>
      <c r="AI14" s="155"/>
      <c r="AJ14" s="156"/>
      <c r="AK14" s="157"/>
      <c r="AM14" s="158"/>
      <c r="AN14" s="155" t="str">
        <f t="shared" si="2"/>
        <v xml:space="preserve"> </v>
      </c>
      <c r="AO14" s="156"/>
      <c r="AP14" s="157"/>
      <c r="AQ14" s="161"/>
      <c r="AR14" s="160" t="str">
        <f t="shared" si="0"/>
        <v xml:space="preserve"> </v>
      </c>
    </row>
    <row r="15" spans="1:44">
      <c r="A15" s="71"/>
      <c r="B15" s="142"/>
      <c r="C15" s="143"/>
      <c r="D15" s="143"/>
      <c r="E15" s="143"/>
      <c r="F15" s="144"/>
      <c r="G15" s="142"/>
      <c r="H15" s="144" t="str">
        <f>IF(OR(ISBLANK(I15),ISBLANK(AQ15))," ",IFERROR(VLOOKUP(CONCATENATE(I15,AQ15),Prestaciones!$E$1:$H$488,4,FALSE),IFERROR(VLOOKUP(CONCATENATE(LEFT(I15,6),AQ15),Prestaciones!$E$491:$H$836,4,FALSE),"La prestación no corresponde al grupo poblacional")))</f>
        <v xml:space="preserve"> </v>
      </c>
      <c r="I15" s="145"/>
      <c r="J15" s="145" t="str">
        <f>IF(OR(ISBLANK(I15),ISBLANK(AQ15))," ",IFERROR(VLOOKUP(CONCATENATE(I15,AQ15),Prestaciones!$E$1:$G$488,3,FALSE),IFERROR(VLOOKUP(CONCATENATE(LEFT(I15,6),AQ15),Prestaciones!$E$491:$H$836,3,FALSE),"La prestación no corresponde al grupo poblacional")))</f>
        <v xml:space="preserve"> </v>
      </c>
      <c r="K15" s="146"/>
      <c r="L15" s="146"/>
      <c r="M15" s="147"/>
      <c r="N15" s="148"/>
      <c r="O15" s="149"/>
      <c r="P15" s="150"/>
      <c r="Q15" s="151"/>
      <c r="R15" s="151"/>
      <c r="S15" s="151"/>
      <c r="T15" s="147"/>
      <c r="U15" s="147"/>
      <c r="V15" s="147"/>
      <c r="W15" s="149"/>
      <c r="X15" s="149"/>
      <c r="Y15" s="147"/>
      <c r="Z15" s="147"/>
      <c r="AA15" s="147"/>
      <c r="AB15" s="147"/>
      <c r="AC15" s="147"/>
      <c r="AD15" s="147"/>
      <c r="AE15" s="152"/>
      <c r="AF15" s="153" t="str">
        <f t="shared" si="3"/>
        <v xml:space="preserve"> </v>
      </c>
      <c r="AG15" s="154" t="str">
        <f t="shared" si="1"/>
        <v>Ingresar fuente de información</v>
      </c>
      <c r="AH15" s="134"/>
      <c r="AI15" s="155"/>
      <c r="AJ15" s="156"/>
      <c r="AK15" s="157"/>
      <c r="AM15" s="158"/>
      <c r="AN15" s="155" t="str">
        <f t="shared" si="2"/>
        <v xml:space="preserve"> </v>
      </c>
      <c r="AO15" s="156"/>
      <c r="AP15" s="157"/>
      <c r="AQ15" s="161"/>
      <c r="AR15" s="160" t="str">
        <f t="shared" si="0"/>
        <v xml:space="preserve"> </v>
      </c>
    </row>
    <row r="16" spans="1:44">
      <c r="A16" s="71"/>
      <c r="B16" s="142"/>
      <c r="C16" s="143"/>
      <c r="D16" s="143"/>
      <c r="E16" s="143"/>
      <c r="F16" s="144"/>
      <c r="G16" s="142"/>
      <c r="H16" s="144" t="str">
        <f>IF(OR(ISBLANK(I16),ISBLANK(AQ16))," ",IFERROR(VLOOKUP(CONCATENATE(I16,AQ16),Prestaciones!$E$1:$H$488,4,FALSE),IFERROR(VLOOKUP(CONCATENATE(LEFT(I16,6),AQ16),Prestaciones!$E$491:$H$836,4,FALSE),"La prestación no corresponde al grupo poblacional")))</f>
        <v xml:space="preserve"> </v>
      </c>
      <c r="I16" s="145"/>
      <c r="J16" s="145" t="str">
        <f>IF(OR(ISBLANK(I16),ISBLANK(AQ16))," ",IFERROR(VLOOKUP(CONCATENATE(I16,AQ16),Prestaciones!$E$1:$G$488,3,FALSE),IFERROR(VLOOKUP(CONCATENATE(LEFT(I16,6),AQ16),Prestaciones!$E$491:$H$836,3,FALSE),"La prestación no corresponde al grupo poblacional")))</f>
        <v xml:space="preserve"> </v>
      </c>
      <c r="K16" s="146"/>
      <c r="L16" s="146"/>
      <c r="M16" s="147"/>
      <c r="N16" s="148"/>
      <c r="O16" s="149"/>
      <c r="P16" s="150"/>
      <c r="Q16" s="151"/>
      <c r="R16" s="151"/>
      <c r="S16" s="151"/>
      <c r="T16" s="147"/>
      <c r="U16" s="147"/>
      <c r="V16" s="147"/>
      <c r="W16" s="149"/>
      <c r="X16" s="149"/>
      <c r="Y16" s="147"/>
      <c r="Z16" s="147"/>
      <c r="AA16" s="147"/>
      <c r="AB16" s="147"/>
      <c r="AC16" s="147"/>
      <c r="AD16" s="147"/>
      <c r="AE16" s="152"/>
      <c r="AF16" s="153" t="str">
        <f t="shared" si="3"/>
        <v xml:space="preserve"> </v>
      </c>
      <c r="AG16" s="154" t="str">
        <f t="shared" si="1"/>
        <v>Ingresar fuente de información</v>
      </c>
      <c r="AH16" s="134"/>
      <c r="AI16" s="155"/>
      <c r="AJ16" s="156"/>
      <c r="AK16" s="157"/>
      <c r="AM16" s="158"/>
      <c r="AN16" s="155" t="str">
        <f t="shared" si="2"/>
        <v xml:space="preserve"> </v>
      </c>
      <c r="AO16" s="156"/>
      <c r="AP16" s="157"/>
      <c r="AQ16" s="161"/>
      <c r="AR16" s="160" t="str">
        <f t="shared" si="0"/>
        <v xml:space="preserve"> </v>
      </c>
    </row>
    <row r="17" spans="1:44">
      <c r="A17" s="71"/>
      <c r="B17" s="142"/>
      <c r="C17" s="143"/>
      <c r="D17" s="143"/>
      <c r="E17" s="143"/>
      <c r="F17" s="144"/>
      <c r="G17" s="142"/>
      <c r="H17" s="144" t="str">
        <f>IF(OR(ISBLANK(I17),ISBLANK(AQ17))," ",IFERROR(VLOOKUP(CONCATENATE(I17,AQ17),Prestaciones!$E$1:$H$488,4,FALSE),IFERROR(VLOOKUP(CONCATENATE(LEFT(I17,6),AQ17),Prestaciones!$E$491:$H$836,4,FALSE),"La prestación no corresponde al grupo poblacional")))</f>
        <v xml:space="preserve"> </v>
      </c>
      <c r="I17" s="145"/>
      <c r="J17" s="145" t="str">
        <f>IF(OR(ISBLANK(I17),ISBLANK(AQ17))," ",IFERROR(VLOOKUP(CONCATENATE(I17,AQ17),Prestaciones!$E$1:$G$488,3,FALSE),IFERROR(VLOOKUP(CONCATENATE(LEFT(I17,6),AQ17),Prestaciones!$E$491:$H$836,3,FALSE),"La prestación no corresponde al grupo poblacional")))</f>
        <v xml:space="preserve"> </v>
      </c>
      <c r="K17" s="146"/>
      <c r="L17" s="146"/>
      <c r="M17" s="147"/>
      <c r="N17" s="148"/>
      <c r="O17" s="149"/>
      <c r="P17" s="150"/>
      <c r="Q17" s="151"/>
      <c r="R17" s="151"/>
      <c r="S17" s="151"/>
      <c r="T17" s="147"/>
      <c r="U17" s="147"/>
      <c r="V17" s="147"/>
      <c r="W17" s="149"/>
      <c r="X17" s="149"/>
      <c r="Y17" s="147"/>
      <c r="Z17" s="147"/>
      <c r="AA17" s="147"/>
      <c r="AB17" s="147"/>
      <c r="AC17" s="147"/>
      <c r="AD17" s="147"/>
      <c r="AE17" s="152"/>
      <c r="AF17" s="153" t="str">
        <f t="shared" si="3"/>
        <v xml:space="preserve"> </v>
      </c>
      <c r="AG17" s="154" t="str">
        <f t="shared" si="1"/>
        <v>Ingresar fuente de información</v>
      </c>
      <c r="AH17" s="134"/>
      <c r="AI17" s="155"/>
      <c r="AJ17" s="156"/>
      <c r="AK17" s="157"/>
      <c r="AM17" s="158"/>
      <c r="AN17" s="155" t="str">
        <f t="shared" si="2"/>
        <v xml:space="preserve"> </v>
      </c>
      <c r="AO17" s="156"/>
      <c r="AP17" s="157"/>
      <c r="AQ17" s="161"/>
      <c r="AR17" s="160" t="str">
        <f t="shared" si="0"/>
        <v xml:space="preserve"> </v>
      </c>
    </row>
    <row r="18" spans="1:44">
      <c r="A18" s="71"/>
      <c r="B18" s="142"/>
      <c r="C18" s="143"/>
      <c r="D18" s="143"/>
      <c r="E18" s="143"/>
      <c r="F18" s="144"/>
      <c r="G18" s="142"/>
      <c r="H18" s="144" t="str">
        <f>IF(OR(ISBLANK(I18),ISBLANK(AQ18))," ",IFERROR(VLOOKUP(CONCATENATE(I18,AQ18),Prestaciones!$E$1:$H$488,4,FALSE),IFERROR(VLOOKUP(CONCATENATE(LEFT(I18,6),AQ18),Prestaciones!$E$491:$H$836,4,FALSE),"La prestación no corresponde al grupo poblacional")))</f>
        <v xml:space="preserve"> </v>
      </c>
      <c r="I18" s="145"/>
      <c r="J18" s="145" t="str">
        <f>IF(OR(ISBLANK(I18),ISBLANK(AQ18))," ",IFERROR(VLOOKUP(CONCATENATE(I18,AQ18),Prestaciones!$E$1:$G$488,3,FALSE),IFERROR(VLOOKUP(CONCATENATE(LEFT(I18,6),AQ18),Prestaciones!$E$491:$H$836,3,FALSE),"La prestación no corresponde al grupo poblacional")))</f>
        <v xml:space="preserve"> </v>
      </c>
      <c r="K18" s="146"/>
      <c r="L18" s="146"/>
      <c r="M18" s="147"/>
      <c r="N18" s="148"/>
      <c r="O18" s="149"/>
      <c r="P18" s="150"/>
      <c r="Q18" s="151"/>
      <c r="R18" s="151"/>
      <c r="S18" s="151"/>
      <c r="T18" s="147"/>
      <c r="U18" s="147"/>
      <c r="V18" s="147"/>
      <c r="W18" s="149"/>
      <c r="X18" s="149"/>
      <c r="Y18" s="147"/>
      <c r="Z18" s="147"/>
      <c r="AA18" s="147"/>
      <c r="AB18" s="147"/>
      <c r="AC18" s="147"/>
      <c r="AD18" s="147"/>
      <c r="AE18" s="152"/>
      <c r="AF18" s="153" t="str">
        <f t="shared" si="3"/>
        <v xml:space="preserve"> </v>
      </c>
      <c r="AG18" s="154" t="str">
        <f t="shared" si="1"/>
        <v>Ingresar fuente de información</v>
      </c>
      <c r="AH18" s="134"/>
      <c r="AI18" s="155"/>
      <c r="AJ18" s="156"/>
      <c r="AK18" s="157"/>
      <c r="AM18" s="158"/>
      <c r="AN18" s="155" t="str">
        <f t="shared" si="2"/>
        <v xml:space="preserve"> </v>
      </c>
      <c r="AO18" s="156"/>
      <c r="AP18" s="157"/>
      <c r="AQ18" s="161"/>
      <c r="AR18" s="160" t="str">
        <f t="shared" si="0"/>
        <v xml:space="preserve"> </v>
      </c>
    </row>
    <row r="19" spans="1:44">
      <c r="A19" s="71"/>
      <c r="B19" s="142"/>
      <c r="C19" s="143"/>
      <c r="D19" s="143"/>
      <c r="E19" s="143"/>
      <c r="F19" s="144"/>
      <c r="G19" s="142"/>
      <c r="H19" s="144" t="str">
        <f>IF(OR(ISBLANK(I19),ISBLANK(AQ19))," ",IFERROR(VLOOKUP(CONCATENATE(I19,AQ19),Prestaciones!$E$1:$H$488,4,FALSE),IFERROR(VLOOKUP(CONCATENATE(LEFT(I19,6),AQ19),Prestaciones!$E$491:$H$836,4,FALSE),"La prestación no corresponde al grupo poblacional")))</f>
        <v xml:space="preserve"> </v>
      </c>
      <c r="I19" s="145"/>
      <c r="J19" s="145" t="str">
        <f>IF(OR(ISBLANK(I19),ISBLANK(AQ19))," ",IFERROR(VLOOKUP(CONCATENATE(I19,AQ19),Prestaciones!$E$1:$G$488,3,FALSE),IFERROR(VLOOKUP(CONCATENATE(LEFT(I19,6),AQ19),Prestaciones!$E$491:$H$836,3,FALSE),"La prestación no corresponde al grupo poblacional")))</f>
        <v xml:space="preserve"> </v>
      </c>
      <c r="K19" s="146"/>
      <c r="L19" s="146"/>
      <c r="M19" s="147"/>
      <c r="N19" s="148"/>
      <c r="O19" s="149"/>
      <c r="P19" s="150"/>
      <c r="Q19" s="151"/>
      <c r="R19" s="151"/>
      <c r="S19" s="151"/>
      <c r="T19" s="147"/>
      <c r="U19" s="147"/>
      <c r="V19" s="147"/>
      <c r="W19" s="149"/>
      <c r="X19" s="149"/>
      <c r="Y19" s="147"/>
      <c r="Z19" s="147"/>
      <c r="AA19" s="147"/>
      <c r="AB19" s="147"/>
      <c r="AC19" s="147"/>
      <c r="AD19" s="147"/>
      <c r="AE19" s="152"/>
      <c r="AF19" s="153" t="str">
        <f t="shared" si="3"/>
        <v xml:space="preserve"> </v>
      </c>
      <c r="AG19" s="154" t="str">
        <f t="shared" si="1"/>
        <v>Ingresar fuente de información</v>
      </c>
      <c r="AH19" s="134"/>
      <c r="AI19" s="155"/>
      <c r="AJ19" s="156"/>
      <c r="AK19" s="157"/>
      <c r="AM19" s="158"/>
      <c r="AN19" s="155" t="str">
        <f t="shared" si="2"/>
        <v xml:space="preserve"> </v>
      </c>
      <c r="AO19" s="156"/>
      <c r="AP19" s="157"/>
      <c r="AQ19" s="161"/>
      <c r="AR19" s="160" t="str">
        <f t="shared" si="0"/>
        <v xml:space="preserve"> </v>
      </c>
    </row>
    <row r="20" spans="1:44">
      <c r="A20" s="71"/>
      <c r="B20" s="142"/>
      <c r="C20" s="143"/>
      <c r="D20" s="143"/>
      <c r="E20" s="143"/>
      <c r="F20" s="144"/>
      <c r="G20" s="142"/>
      <c r="H20" s="144" t="str">
        <f>IF(OR(ISBLANK(I20),ISBLANK(AQ20))," ",IFERROR(VLOOKUP(CONCATENATE(I20,AQ20),Prestaciones!$E$1:$H$488,4,FALSE),IFERROR(VLOOKUP(CONCATENATE(LEFT(I20,6),AQ20),Prestaciones!$E$491:$H$836,4,FALSE),"La prestación no corresponde al grupo poblacional")))</f>
        <v xml:space="preserve"> </v>
      </c>
      <c r="I20" s="145"/>
      <c r="J20" s="145" t="str">
        <f>IF(OR(ISBLANK(I20),ISBLANK(AQ20))," ",IFERROR(VLOOKUP(CONCATENATE(I20,AQ20),Prestaciones!$E$1:$G$488,3,FALSE),IFERROR(VLOOKUP(CONCATENATE(LEFT(I20,6),AQ20),Prestaciones!$E$491:$H$836,3,FALSE),"La prestación no corresponde al grupo poblacional")))</f>
        <v xml:space="preserve"> </v>
      </c>
      <c r="K20" s="146"/>
      <c r="L20" s="146"/>
      <c r="M20" s="147"/>
      <c r="N20" s="148"/>
      <c r="O20" s="149"/>
      <c r="P20" s="150"/>
      <c r="Q20" s="151"/>
      <c r="R20" s="151"/>
      <c r="S20" s="151"/>
      <c r="T20" s="147"/>
      <c r="U20" s="147"/>
      <c r="V20" s="147"/>
      <c r="W20" s="149"/>
      <c r="X20" s="149"/>
      <c r="Y20" s="147"/>
      <c r="Z20" s="147"/>
      <c r="AA20" s="147"/>
      <c r="AB20" s="147"/>
      <c r="AC20" s="147"/>
      <c r="AD20" s="147"/>
      <c r="AE20" s="152"/>
      <c r="AF20" s="153" t="str">
        <f t="shared" si="3"/>
        <v xml:space="preserve"> </v>
      </c>
      <c r="AG20" s="154" t="str">
        <f t="shared" si="1"/>
        <v>Ingresar fuente de información</v>
      </c>
      <c r="AH20" s="134"/>
      <c r="AI20" s="155"/>
      <c r="AJ20" s="156"/>
      <c r="AK20" s="157"/>
      <c r="AM20" s="158"/>
      <c r="AN20" s="155" t="str">
        <f t="shared" si="2"/>
        <v xml:space="preserve"> </v>
      </c>
      <c r="AO20" s="156"/>
      <c r="AP20" s="157"/>
      <c r="AQ20" s="161"/>
      <c r="AR20" s="160" t="str">
        <f t="shared" si="0"/>
        <v xml:space="preserve"> </v>
      </c>
    </row>
    <row r="21" spans="1:44">
      <c r="A21" s="71"/>
      <c r="B21" s="142"/>
      <c r="C21" s="143"/>
      <c r="D21" s="143"/>
      <c r="E21" s="143"/>
      <c r="F21" s="144"/>
      <c r="G21" s="142"/>
      <c r="H21" s="144" t="str">
        <f>IF(OR(ISBLANK(I21),ISBLANK(AQ21))," ",IFERROR(VLOOKUP(CONCATENATE(I21,AQ21),Prestaciones!$E$1:$H$488,4,FALSE),IFERROR(VLOOKUP(CONCATENATE(LEFT(I21,6),AQ21),Prestaciones!$E$491:$H$836,4,FALSE),"La prestación no corresponde al grupo poblacional")))</f>
        <v xml:space="preserve"> </v>
      </c>
      <c r="I21" s="145"/>
      <c r="J21" s="145" t="str">
        <f>IF(OR(ISBLANK(I21),ISBLANK(AQ21))," ",IFERROR(VLOOKUP(CONCATENATE(I21,AQ21),Prestaciones!$E$1:$G$488,3,FALSE),IFERROR(VLOOKUP(CONCATENATE(LEFT(I21,6),AQ21),Prestaciones!$E$491:$H$836,3,FALSE),"La prestación no corresponde al grupo poblacional")))</f>
        <v xml:space="preserve"> </v>
      </c>
      <c r="K21" s="146"/>
      <c r="L21" s="146"/>
      <c r="M21" s="147"/>
      <c r="N21" s="148"/>
      <c r="O21" s="149"/>
      <c r="P21" s="150"/>
      <c r="Q21" s="151"/>
      <c r="R21" s="151"/>
      <c r="S21" s="151"/>
      <c r="T21" s="147"/>
      <c r="U21" s="147"/>
      <c r="V21" s="147"/>
      <c r="W21" s="149"/>
      <c r="X21" s="149"/>
      <c r="Y21" s="147"/>
      <c r="Z21" s="147"/>
      <c r="AA21" s="147"/>
      <c r="AB21" s="147"/>
      <c r="AC21" s="147"/>
      <c r="AD21" s="147"/>
      <c r="AE21" s="152"/>
      <c r="AF21" s="153" t="str">
        <f t="shared" si="3"/>
        <v xml:space="preserve"> </v>
      </c>
      <c r="AG21" s="154" t="str">
        <f t="shared" si="1"/>
        <v>Ingresar fuente de información</v>
      </c>
      <c r="AH21" s="134"/>
      <c r="AI21" s="155"/>
      <c r="AJ21" s="156"/>
      <c r="AK21" s="157"/>
      <c r="AM21" s="158"/>
      <c r="AN21" s="155" t="str">
        <f t="shared" si="2"/>
        <v xml:space="preserve"> </v>
      </c>
      <c r="AO21" s="156"/>
      <c r="AP21" s="157"/>
      <c r="AQ21" s="161"/>
      <c r="AR21" s="160" t="str">
        <f t="shared" si="0"/>
        <v xml:space="preserve"> </v>
      </c>
    </row>
    <row r="22" spans="1:44">
      <c r="A22" s="71"/>
      <c r="B22" s="142"/>
      <c r="C22" s="143"/>
      <c r="D22" s="143"/>
      <c r="E22" s="143"/>
      <c r="F22" s="144"/>
      <c r="G22" s="142"/>
      <c r="H22" s="144" t="str">
        <f>IF(OR(ISBLANK(I22),ISBLANK(AQ22))," ",IFERROR(VLOOKUP(CONCATENATE(I22,AQ22),Prestaciones!$E$1:$H$488,4,FALSE),IFERROR(VLOOKUP(CONCATENATE(LEFT(I22,6),AQ22),Prestaciones!$E$491:$H$836,4,FALSE),"La prestación no corresponde al grupo poblacional")))</f>
        <v xml:space="preserve"> </v>
      </c>
      <c r="I22" s="145"/>
      <c r="J22" s="145" t="str">
        <f>IF(OR(ISBLANK(I22),ISBLANK(AQ22))," ",IFERROR(VLOOKUP(CONCATENATE(I22,AQ22),Prestaciones!$E$1:$G$488,3,FALSE),IFERROR(VLOOKUP(CONCATENATE(LEFT(I22,6),AQ22),Prestaciones!$E$491:$H$836,3,FALSE),"La prestación no corresponde al grupo poblacional")))</f>
        <v xml:space="preserve"> </v>
      </c>
      <c r="K22" s="146"/>
      <c r="L22" s="146"/>
      <c r="M22" s="147"/>
      <c r="N22" s="148"/>
      <c r="O22" s="149"/>
      <c r="P22" s="150"/>
      <c r="Q22" s="151"/>
      <c r="R22" s="151"/>
      <c r="S22" s="151"/>
      <c r="T22" s="147"/>
      <c r="U22" s="147"/>
      <c r="V22" s="147"/>
      <c r="W22" s="149"/>
      <c r="X22" s="149"/>
      <c r="Y22" s="147"/>
      <c r="Z22" s="147"/>
      <c r="AA22" s="147"/>
      <c r="AB22" s="147"/>
      <c r="AC22" s="147"/>
      <c r="AD22" s="147"/>
      <c r="AE22" s="152"/>
      <c r="AF22" s="153" t="str">
        <f t="shared" si="3"/>
        <v xml:space="preserve"> </v>
      </c>
      <c r="AG22" s="154" t="str">
        <f t="shared" si="1"/>
        <v>Ingresar fuente de información</v>
      </c>
      <c r="AH22" s="134"/>
      <c r="AI22" s="155"/>
      <c r="AJ22" s="156"/>
      <c r="AK22" s="157"/>
      <c r="AM22" s="158"/>
      <c r="AN22" s="155" t="str">
        <f t="shared" si="2"/>
        <v xml:space="preserve"> </v>
      </c>
      <c r="AO22" s="156"/>
      <c r="AP22" s="157"/>
      <c r="AQ22" s="161"/>
      <c r="AR22" s="160" t="str">
        <f t="shared" si="0"/>
        <v xml:space="preserve"> </v>
      </c>
    </row>
    <row r="23" spans="1:44">
      <c r="A23" s="71"/>
      <c r="B23" s="142"/>
      <c r="C23" s="143"/>
      <c r="D23" s="143"/>
      <c r="E23" s="143"/>
      <c r="F23" s="144"/>
      <c r="G23" s="142"/>
      <c r="H23" s="144" t="str">
        <f>IF(OR(ISBLANK(I23),ISBLANK(AQ23))," ",IFERROR(VLOOKUP(CONCATENATE(I23,AQ23),Prestaciones!$E$1:$H$488,4,FALSE),IFERROR(VLOOKUP(CONCATENATE(LEFT(I23,6),AQ23),Prestaciones!$E$491:$H$836,4,FALSE),"La prestación no corresponde al grupo poblacional")))</f>
        <v xml:space="preserve"> </v>
      </c>
      <c r="I23" s="145"/>
      <c r="J23" s="145" t="str">
        <f>IF(OR(ISBLANK(I23),ISBLANK(AQ23))," ",IFERROR(VLOOKUP(CONCATENATE(I23,AQ23),Prestaciones!$E$1:$G$488,3,FALSE),IFERROR(VLOOKUP(CONCATENATE(LEFT(I23,6),AQ23),Prestaciones!$E$491:$H$836,3,FALSE),"La prestación no corresponde al grupo poblacional")))</f>
        <v xml:space="preserve"> </v>
      </c>
      <c r="K23" s="146"/>
      <c r="L23" s="146"/>
      <c r="M23" s="147"/>
      <c r="N23" s="148"/>
      <c r="O23" s="149"/>
      <c r="P23" s="150"/>
      <c r="Q23" s="151"/>
      <c r="R23" s="151"/>
      <c r="S23" s="151"/>
      <c r="T23" s="147"/>
      <c r="U23" s="147"/>
      <c r="V23" s="147"/>
      <c r="W23" s="149"/>
      <c r="X23" s="149"/>
      <c r="Y23" s="147"/>
      <c r="Z23" s="147"/>
      <c r="AA23" s="147"/>
      <c r="AB23" s="147"/>
      <c r="AC23" s="147"/>
      <c r="AD23" s="147"/>
      <c r="AE23" s="152"/>
      <c r="AF23" s="153" t="str">
        <f t="shared" si="3"/>
        <v xml:space="preserve"> </v>
      </c>
      <c r="AG23" s="154" t="str">
        <f t="shared" si="1"/>
        <v>Ingresar fuente de información</v>
      </c>
      <c r="AH23" s="134"/>
      <c r="AI23" s="155"/>
      <c r="AJ23" s="156"/>
      <c r="AK23" s="157"/>
      <c r="AM23" s="158"/>
      <c r="AN23" s="155" t="str">
        <f t="shared" si="2"/>
        <v xml:space="preserve"> </v>
      </c>
      <c r="AO23" s="156"/>
      <c r="AP23" s="157"/>
      <c r="AQ23" s="161"/>
      <c r="AR23" s="160" t="str">
        <f t="shared" si="0"/>
        <v xml:space="preserve"> </v>
      </c>
    </row>
    <row r="24" spans="1:44">
      <c r="A24" s="71"/>
      <c r="B24" s="142"/>
      <c r="C24" s="143"/>
      <c r="D24" s="143"/>
      <c r="E24" s="143"/>
      <c r="F24" s="144"/>
      <c r="G24" s="142"/>
      <c r="H24" s="144" t="str">
        <f>IF(OR(ISBLANK(I24),ISBLANK(AQ24))," ",IFERROR(VLOOKUP(CONCATENATE(I24,AQ24),Prestaciones!$E$1:$H$488,4,FALSE),IFERROR(VLOOKUP(CONCATENATE(LEFT(I24,6),AQ24),Prestaciones!$E$491:$H$836,4,FALSE),"La prestación no corresponde al grupo poblacional")))</f>
        <v xml:space="preserve"> </v>
      </c>
      <c r="I24" s="145"/>
      <c r="J24" s="145" t="str">
        <f>IF(OR(ISBLANK(I24),ISBLANK(AQ24))," ",IFERROR(VLOOKUP(CONCATENATE(I24,AQ24),Prestaciones!$E$1:$G$488,3,FALSE),IFERROR(VLOOKUP(CONCATENATE(LEFT(I24,6),AQ24),Prestaciones!$E$491:$H$836,3,FALSE),"La prestación no corresponde al grupo poblacional")))</f>
        <v xml:space="preserve"> </v>
      </c>
      <c r="K24" s="146"/>
      <c r="L24" s="146"/>
      <c r="M24" s="147"/>
      <c r="N24" s="148"/>
      <c r="O24" s="149"/>
      <c r="P24" s="150"/>
      <c r="Q24" s="151"/>
      <c r="R24" s="151"/>
      <c r="S24" s="151"/>
      <c r="T24" s="147"/>
      <c r="U24" s="147"/>
      <c r="V24" s="147"/>
      <c r="W24" s="149"/>
      <c r="X24" s="149"/>
      <c r="Y24" s="147"/>
      <c r="Z24" s="147"/>
      <c r="AA24" s="147"/>
      <c r="AB24" s="147"/>
      <c r="AC24" s="147"/>
      <c r="AD24" s="147"/>
      <c r="AE24" s="152"/>
      <c r="AF24" s="153" t="str">
        <f t="shared" si="3"/>
        <v xml:space="preserve"> </v>
      </c>
      <c r="AG24" s="154" t="str">
        <f t="shared" si="1"/>
        <v>Ingresar fuente de información</v>
      </c>
      <c r="AH24" s="134"/>
      <c r="AI24" s="155"/>
      <c r="AJ24" s="156"/>
      <c r="AK24" s="157"/>
      <c r="AM24" s="158"/>
      <c r="AN24" s="155" t="str">
        <f t="shared" si="2"/>
        <v xml:space="preserve"> </v>
      </c>
      <c r="AO24" s="156"/>
      <c r="AP24" s="157"/>
      <c r="AQ24" s="161"/>
      <c r="AR24" s="160" t="str">
        <f t="shared" si="0"/>
        <v xml:space="preserve"> </v>
      </c>
    </row>
    <row r="25" spans="1:44">
      <c r="A25" s="71"/>
      <c r="B25" s="142"/>
      <c r="C25" s="143"/>
      <c r="D25" s="143"/>
      <c r="E25" s="143"/>
      <c r="F25" s="144"/>
      <c r="G25" s="142"/>
      <c r="H25" s="144" t="str">
        <f>IF(OR(ISBLANK(I25),ISBLANK(AQ25))," ",IFERROR(VLOOKUP(CONCATENATE(I25,AQ25),Prestaciones!$E$1:$H$488,4,FALSE),IFERROR(VLOOKUP(CONCATENATE(LEFT(I25,6),AQ25),Prestaciones!$E$491:$H$836,4,FALSE),"La prestación no corresponde al grupo poblacional")))</f>
        <v xml:space="preserve"> </v>
      </c>
      <c r="I25" s="145"/>
      <c r="J25" s="145" t="str">
        <f>IF(OR(ISBLANK(I25),ISBLANK(AQ25))," ",IFERROR(VLOOKUP(CONCATENATE(I25,AQ25),Prestaciones!$E$1:$G$488,3,FALSE),IFERROR(VLOOKUP(CONCATENATE(LEFT(I25,6),AQ25),Prestaciones!$E$491:$H$836,3,FALSE),"La prestación no corresponde al grupo poblacional")))</f>
        <v xml:space="preserve"> </v>
      </c>
      <c r="K25" s="146"/>
      <c r="L25" s="146"/>
      <c r="M25" s="147"/>
      <c r="N25" s="148"/>
      <c r="O25" s="149"/>
      <c r="P25" s="150"/>
      <c r="Q25" s="151"/>
      <c r="R25" s="151"/>
      <c r="S25" s="151"/>
      <c r="T25" s="147"/>
      <c r="U25" s="147"/>
      <c r="V25" s="147"/>
      <c r="W25" s="149"/>
      <c r="X25" s="149"/>
      <c r="Y25" s="147"/>
      <c r="Z25" s="147"/>
      <c r="AA25" s="147"/>
      <c r="AB25" s="147"/>
      <c r="AC25" s="147"/>
      <c r="AD25" s="147"/>
      <c r="AE25" s="152"/>
      <c r="AF25" s="153" t="str">
        <f t="shared" si="3"/>
        <v xml:space="preserve"> </v>
      </c>
      <c r="AG25" s="154" t="str">
        <f t="shared" si="1"/>
        <v>Ingresar fuente de información</v>
      </c>
      <c r="AH25" s="134"/>
      <c r="AI25" s="155"/>
      <c r="AJ25" s="156"/>
      <c r="AK25" s="157"/>
      <c r="AM25" s="158"/>
      <c r="AN25" s="155" t="str">
        <f t="shared" si="2"/>
        <v xml:space="preserve"> </v>
      </c>
      <c r="AO25" s="156"/>
      <c r="AP25" s="157"/>
      <c r="AQ25" s="161"/>
      <c r="AR25" s="160" t="str">
        <f t="shared" si="0"/>
        <v xml:space="preserve"> </v>
      </c>
    </row>
    <row r="26" spans="1:44">
      <c r="A26" s="71"/>
      <c r="B26" s="142"/>
      <c r="C26" s="143"/>
      <c r="D26" s="143"/>
      <c r="E26" s="143"/>
      <c r="F26" s="144"/>
      <c r="G26" s="142"/>
      <c r="H26" s="144" t="str">
        <f>IF(OR(ISBLANK(I26),ISBLANK(AQ26))," ",IFERROR(VLOOKUP(CONCATENATE(I26,AQ26),Prestaciones!$E$1:$H$488,4,FALSE),IFERROR(VLOOKUP(CONCATENATE(LEFT(I26,6),AQ26),Prestaciones!$E$491:$H$836,4,FALSE),"La prestación no corresponde al grupo poblacional")))</f>
        <v xml:space="preserve"> </v>
      </c>
      <c r="I26" s="145"/>
      <c r="J26" s="145" t="str">
        <f>IF(OR(ISBLANK(I26),ISBLANK(AQ26))," ",IFERROR(VLOOKUP(CONCATENATE(I26,AQ26),Prestaciones!$E$1:$G$488,3,FALSE),IFERROR(VLOOKUP(CONCATENATE(LEFT(I26,6),AQ26),Prestaciones!$E$491:$H$836,3,FALSE),"La prestación no corresponde al grupo poblacional")))</f>
        <v xml:space="preserve"> </v>
      </c>
      <c r="K26" s="146"/>
      <c r="L26" s="146"/>
      <c r="M26" s="147"/>
      <c r="N26" s="148"/>
      <c r="O26" s="149"/>
      <c r="P26" s="150"/>
      <c r="Q26" s="151"/>
      <c r="R26" s="151"/>
      <c r="S26" s="151"/>
      <c r="T26" s="147"/>
      <c r="U26" s="147"/>
      <c r="V26" s="147"/>
      <c r="W26" s="149"/>
      <c r="X26" s="149"/>
      <c r="Y26" s="147"/>
      <c r="Z26" s="147"/>
      <c r="AA26" s="147"/>
      <c r="AB26" s="147"/>
      <c r="AC26" s="147"/>
      <c r="AD26" s="147"/>
      <c r="AE26" s="152"/>
      <c r="AF26" s="153" t="str">
        <f t="shared" si="3"/>
        <v xml:space="preserve"> </v>
      </c>
      <c r="AG26" s="154" t="str">
        <f t="shared" si="1"/>
        <v>Ingresar fuente de información</v>
      </c>
      <c r="AH26" s="134"/>
      <c r="AI26" s="155"/>
      <c r="AJ26" s="156"/>
      <c r="AK26" s="157"/>
      <c r="AM26" s="158"/>
      <c r="AN26" s="155" t="str">
        <f t="shared" si="2"/>
        <v xml:space="preserve"> </v>
      </c>
      <c r="AO26" s="156"/>
      <c r="AP26" s="157"/>
      <c r="AQ26" s="161"/>
      <c r="AR26" s="160" t="str">
        <f t="shared" ref="AR26:AR95" si="4">IF(ISBLANK(P26)," ",IF(AND(AF26&lt;10),"Niños",IF(AND(AF26&gt;=10,AF26&lt;20),"Adolescentes",IF(AND(AF26&gt;=20,AF26&lt;65),"Adultos","No valido"))))</f>
        <v xml:space="preserve"> </v>
      </c>
    </row>
    <row r="27" spans="1:44">
      <c r="A27" s="71"/>
      <c r="B27" s="142"/>
      <c r="C27" s="143"/>
      <c r="D27" s="143"/>
      <c r="E27" s="143"/>
      <c r="F27" s="144"/>
      <c r="G27" s="142"/>
      <c r="H27" s="144" t="str">
        <f>IF(OR(ISBLANK(I27),ISBLANK(AQ27))," ",IFERROR(VLOOKUP(CONCATENATE(I27,AQ27),Prestaciones!$E$1:$H$488,4,FALSE),IFERROR(VLOOKUP(CONCATENATE(LEFT(I27,6),AQ27),Prestaciones!$E$491:$H$836,4,FALSE),"La prestación no corresponde al grupo poblacional")))</f>
        <v xml:space="preserve"> </v>
      </c>
      <c r="I27" s="145"/>
      <c r="J27" s="145" t="str">
        <f>IF(OR(ISBLANK(I27),ISBLANK(AQ27))," ",IFERROR(VLOOKUP(CONCATENATE(I27,AQ27),Prestaciones!$E$1:$G$488,3,FALSE),IFERROR(VLOOKUP(CONCATENATE(LEFT(I27,6),AQ27),Prestaciones!$E$491:$H$836,3,FALSE),"La prestación no corresponde al grupo poblacional")))</f>
        <v xml:space="preserve"> </v>
      </c>
      <c r="K27" s="146"/>
      <c r="L27" s="146"/>
      <c r="M27" s="147"/>
      <c r="N27" s="148"/>
      <c r="O27" s="149"/>
      <c r="P27" s="150"/>
      <c r="Q27" s="151"/>
      <c r="R27" s="151"/>
      <c r="S27" s="151"/>
      <c r="T27" s="147"/>
      <c r="U27" s="147"/>
      <c r="V27" s="147"/>
      <c r="W27" s="149"/>
      <c r="X27" s="149"/>
      <c r="Y27" s="147"/>
      <c r="Z27" s="147"/>
      <c r="AA27" s="147"/>
      <c r="AB27" s="147"/>
      <c r="AC27" s="147"/>
      <c r="AD27" s="147"/>
      <c r="AE27" s="152"/>
      <c r="AF27" s="153" t="str">
        <f t="shared" si="3"/>
        <v xml:space="preserve"> </v>
      </c>
      <c r="AG27" s="154" t="str">
        <f t="shared" si="1"/>
        <v>Ingresar fuente de información</v>
      </c>
      <c r="AH27" s="134"/>
      <c r="AI27" s="155"/>
      <c r="AJ27" s="156"/>
      <c r="AK27" s="157"/>
      <c r="AM27" s="158"/>
      <c r="AN27" s="155" t="str">
        <f t="shared" si="2"/>
        <v xml:space="preserve"> </v>
      </c>
      <c r="AO27" s="156"/>
      <c r="AP27" s="157"/>
      <c r="AQ27" s="161"/>
      <c r="AR27" s="160" t="str">
        <f t="shared" si="4"/>
        <v xml:space="preserve"> </v>
      </c>
    </row>
    <row r="28" spans="1:44">
      <c r="A28" s="71"/>
      <c r="B28" s="142"/>
      <c r="C28" s="143"/>
      <c r="D28" s="143"/>
      <c r="E28" s="143"/>
      <c r="F28" s="144"/>
      <c r="G28" s="142"/>
      <c r="H28" s="144" t="str">
        <f>IF(OR(ISBLANK(I28),ISBLANK(AQ28))," ",IFERROR(VLOOKUP(CONCATENATE(I28,AQ28),Prestaciones!$E$1:$H$488,4,FALSE),IFERROR(VLOOKUP(CONCATENATE(LEFT(I28,6),AQ28),Prestaciones!$E$491:$H$836,4,FALSE),"La prestación no corresponde al grupo poblacional")))</f>
        <v xml:space="preserve"> </v>
      </c>
      <c r="I28" s="145"/>
      <c r="J28" s="145" t="str">
        <f>IF(OR(ISBLANK(I28),ISBLANK(AQ28))," ",IFERROR(VLOOKUP(CONCATENATE(I28,AQ28),Prestaciones!$E$1:$G$488,3,FALSE),IFERROR(VLOOKUP(CONCATENATE(LEFT(I28,6),AQ28),Prestaciones!$E$491:$H$836,3,FALSE),"La prestación no corresponde al grupo poblacional")))</f>
        <v xml:space="preserve"> </v>
      </c>
      <c r="K28" s="146"/>
      <c r="L28" s="146"/>
      <c r="M28" s="147"/>
      <c r="N28" s="148"/>
      <c r="O28" s="149"/>
      <c r="P28" s="150"/>
      <c r="Q28" s="151"/>
      <c r="R28" s="151"/>
      <c r="S28" s="151"/>
      <c r="T28" s="147"/>
      <c r="U28" s="147"/>
      <c r="V28" s="147"/>
      <c r="W28" s="149"/>
      <c r="X28" s="149"/>
      <c r="Y28" s="147"/>
      <c r="Z28" s="147"/>
      <c r="AA28" s="147"/>
      <c r="AB28" s="147"/>
      <c r="AC28" s="147"/>
      <c r="AD28" s="147"/>
      <c r="AE28" s="152"/>
      <c r="AF28" s="153" t="str">
        <f t="shared" si="3"/>
        <v xml:space="preserve"> </v>
      </c>
      <c r="AG28" s="154" t="str">
        <f t="shared" si="1"/>
        <v>Ingresar fuente de información</v>
      </c>
      <c r="AH28" s="134"/>
      <c r="AI28" s="155"/>
      <c r="AJ28" s="156"/>
      <c r="AK28" s="157"/>
      <c r="AM28" s="158"/>
      <c r="AN28" s="155" t="str">
        <f t="shared" si="2"/>
        <v xml:space="preserve"> </v>
      </c>
      <c r="AO28" s="156"/>
      <c r="AP28" s="157"/>
      <c r="AQ28" s="161"/>
      <c r="AR28" s="160" t="str">
        <f t="shared" si="4"/>
        <v xml:space="preserve"> </v>
      </c>
    </row>
    <row r="29" spans="1:44">
      <c r="A29" s="71"/>
      <c r="B29" s="142"/>
      <c r="C29" s="143"/>
      <c r="D29" s="143"/>
      <c r="E29" s="143"/>
      <c r="F29" s="144"/>
      <c r="G29" s="142"/>
      <c r="H29" s="144" t="str">
        <f>IF(OR(ISBLANK(I29),ISBLANK(AQ29))," ",IFERROR(VLOOKUP(CONCATENATE(I29,AQ29),Prestaciones!$E$1:$H$488,4,FALSE),IFERROR(VLOOKUP(CONCATENATE(LEFT(I29,6),AQ29),Prestaciones!$E$491:$H$836,4,FALSE),"La prestación no corresponde al grupo poblacional")))</f>
        <v xml:space="preserve"> </v>
      </c>
      <c r="I29" s="145"/>
      <c r="J29" s="145" t="str">
        <f>IF(OR(ISBLANK(I29),ISBLANK(AQ29))," ",IFERROR(VLOOKUP(CONCATENATE(I29,AQ29),Prestaciones!$E$1:$G$488,3,FALSE),IFERROR(VLOOKUP(CONCATENATE(LEFT(I29,6),AQ29),Prestaciones!$E$491:$H$836,3,FALSE),"La prestación no corresponde al grupo poblacional")))</f>
        <v xml:space="preserve"> </v>
      </c>
      <c r="K29" s="146"/>
      <c r="L29" s="146"/>
      <c r="M29" s="147"/>
      <c r="N29" s="148"/>
      <c r="O29" s="149"/>
      <c r="P29" s="150"/>
      <c r="Q29" s="151"/>
      <c r="R29" s="151"/>
      <c r="S29" s="151"/>
      <c r="T29" s="147"/>
      <c r="U29" s="147"/>
      <c r="V29" s="147"/>
      <c r="W29" s="149"/>
      <c r="X29" s="149"/>
      <c r="Y29" s="147"/>
      <c r="Z29" s="147"/>
      <c r="AA29" s="147"/>
      <c r="AB29" s="147"/>
      <c r="AC29" s="147"/>
      <c r="AD29" s="147"/>
      <c r="AE29" s="152"/>
      <c r="AF29" s="153" t="str">
        <f t="shared" si="3"/>
        <v xml:space="preserve"> </v>
      </c>
      <c r="AG29" s="154" t="str">
        <f t="shared" si="1"/>
        <v>Ingresar fuente de información</v>
      </c>
      <c r="AH29" s="134"/>
      <c r="AI29" s="155"/>
      <c r="AJ29" s="156"/>
      <c r="AK29" s="157"/>
      <c r="AM29" s="158"/>
      <c r="AN29" s="155" t="str">
        <f t="shared" si="2"/>
        <v xml:space="preserve"> </v>
      </c>
      <c r="AO29" s="156"/>
      <c r="AP29" s="157"/>
      <c r="AQ29" s="161"/>
      <c r="AR29" s="160" t="str">
        <f t="shared" si="4"/>
        <v xml:space="preserve"> </v>
      </c>
    </row>
    <row r="30" spans="1:44">
      <c r="A30" s="71"/>
      <c r="B30" s="142"/>
      <c r="C30" s="143"/>
      <c r="D30" s="143"/>
      <c r="E30" s="143"/>
      <c r="F30" s="144"/>
      <c r="G30" s="142"/>
      <c r="H30" s="144" t="str">
        <f>IF(OR(ISBLANK(I30),ISBLANK(AQ30))," ",IFERROR(VLOOKUP(CONCATENATE(I30,AQ30),Prestaciones!$E$1:$H$488,4,FALSE),IFERROR(VLOOKUP(CONCATENATE(LEFT(I30,6),AQ30),Prestaciones!$E$491:$H$836,4,FALSE),"La prestación no corresponde al grupo poblacional")))</f>
        <v xml:space="preserve"> </v>
      </c>
      <c r="I30" s="145"/>
      <c r="J30" s="145" t="str">
        <f>IF(OR(ISBLANK(I30),ISBLANK(AQ30))," ",IFERROR(VLOOKUP(CONCATENATE(I30,AQ30),Prestaciones!$E$1:$G$488,3,FALSE),IFERROR(VLOOKUP(CONCATENATE(LEFT(I30,6),AQ30),Prestaciones!$E$491:$H$836,3,FALSE),"La prestación no corresponde al grupo poblacional")))</f>
        <v xml:space="preserve"> </v>
      </c>
      <c r="K30" s="146"/>
      <c r="L30" s="146"/>
      <c r="M30" s="147"/>
      <c r="N30" s="148"/>
      <c r="O30" s="149"/>
      <c r="P30" s="150"/>
      <c r="Q30" s="151"/>
      <c r="R30" s="151"/>
      <c r="S30" s="151"/>
      <c r="T30" s="147"/>
      <c r="U30" s="147"/>
      <c r="V30" s="147"/>
      <c r="W30" s="149"/>
      <c r="X30" s="149"/>
      <c r="Y30" s="147"/>
      <c r="Z30" s="147"/>
      <c r="AA30" s="147"/>
      <c r="AB30" s="147"/>
      <c r="AC30" s="147"/>
      <c r="AD30" s="147"/>
      <c r="AE30" s="152"/>
      <c r="AF30" s="153" t="str">
        <f t="shared" si="3"/>
        <v xml:space="preserve"> </v>
      </c>
      <c r="AG30" s="154" t="str">
        <f t="shared" si="1"/>
        <v>Ingresar fuente de información</v>
      </c>
      <c r="AH30" s="134"/>
      <c r="AI30" s="155"/>
      <c r="AJ30" s="156"/>
      <c r="AK30" s="157"/>
      <c r="AM30" s="158"/>
      <c r="AN30" s="155" t="str">
        <f t="shared" si="2"/>
        <v xml:space="preserve"> </v>
      </c>
      <c r="AO30" s="156"/>
      <c r="AP30" s="157"/>
      <c r="AQ30" s="161"/>
      <c r="AR30" s="160" t="str">
        <f t="shared" si="4"/>
        <v xml:space="preserve"> </v>
      </c>
    </row>
    <row r="31" spans="1:44">
      <c r="A31" s="71"/>
      <c r="B31" s="142"/>
      <c r="C31" s="143"/>
      <c r="D31" s="143"/>
      <c r="E31" s="143"/>
      <c r="F31" s="144"/>
      <c r="G31" s="142"/>
      <c r="H31" s="144" t="str">
        <f>IF(OR(ISBLANK(I31),ISBLANK(AQ31))," ",IFERROR(VLOOKUP(CONCATENATE(I31,AQ31),Prestaciones!$E$1:$H$488,4,FALSE),IFERROR(VLOOKUP(CONCATENATE(LEFT(I31,6),AQ31),Prestaciones!$E$491:$H$836,4,FALSE),"La prestación no corresponde al grupo poblacional")))</f>
        <v xml:space="preserve"> </v>
      </c>
      <c r="I31" s="145"/>
      <c r="J31" s="145" t="str">
        <f>IF(OR(ISBLANK(I31),ISBLANK(AQ31))," ",IFERROR(VLOOKUP(CONCATENATE(I31,AQ31),Prestaciones!$E$1:$G$488,3,FALSE),IFERROR(VLOOKUP(CONCATENATE(LEFT(I31,6),AQ31),Prestaciones!$E$491:$H$836,3,FALSE),"La prestación no corresponde al grupo poblacional")))</f>
        <v xml:space="preserve"> </v>
      </c>
      <c r="K31" s="146"/>
      <c r="L31" s="146"/>
      <c r="M31" s="147"/>
      <c r="N31" s="148"/>
      <c r="O31" s="149"/>
      <c r="P31" s="150"/>
      <c r="Q31" s="151"/>
      <c r="R31" s="151"/>
      <c r="S31" s="151"/>
      <c r="T31" s="147"/>
      <c r="U31" s="147"/>
      <c r="V31" s="147"/>
      <c r="W31" s="149"/>
      <c r="X31" s="149"/>
      <c r="Y31" s="147"/>
      <c r="Z31" s="147"/>
      <c r="AA31" s="147"/>
      <c r="AB31" s="147"/>
      <c r="AC31" s="147"/>
      <c r="AD31" s="147"/>
      <c r="AE31" s="152"/>
      <c r="AF31" s="153" t="str">
        <f t="shared" si="3"/>
        <v xml:space="preserve"> </v>
      </c>
      <c r="AG31" s="154" t="str">
        <f t="shared" si="1"/>
        <v>Ingresar fuente de información</v>
      </c>
      <c r="AH31" s="134"/>
      <c r="AI31" s="155"/>
      <c r="AJ31" s="156"/>
      <c r="AK31" s="157"/>
      <c r="AM31" s="158"/>
      <c r="AN31" s="155" t="str">
        <f t="shared" si="2"/>
        <v xml:space="preserve"> </v>
      </c>
      <c r="AO31" s="156"/>
      <c r="AP31" s="157"/>
      <c r="AQ31" s="161"/>
      <c r="AR31" s="160" t="str">
        <f t="shared" si="4"/>
        <v xml:space="preserve"> </v>
      </c>
    </row>
    <row r="32" spans="1:44">
      <c r="A32" s="71"/>
      <c r="B32" s="142"/>
      <c r="C32" s="143"/>
      <c r="D32" s="143"/>
      <c r="E32" s="143"/>
      <c r="F32" s="144"/>
      <c r="G32" s="142"/>
      <c r="H32" s="144" t="str">
        <f>IF(OR(ISBLANK(I32),ISBLANK(AQ32))," ",IFERROR(VLOOKUP(CONCATENATE(I32,AQ32),Prestaciones!$E$1:$H$488,4,FALSE),IFERROR(VLOOKUP(CONCATENATE(LEFT(I32,6),AQ32),Prestaciones!$E$491:$H$836,4,FALSE),"La prestación no corresponde al grupo poblacional")))</f>
        <v xml:space="preserve"> </v>
      </c>
      <c r="I32" s="145"/>
      <c r="J32" s="145" t="str">
        <f>IF(OR(ISBLANK(I32),ISBLANK(AQ32))," ",IFERROR(VLOOKUP(CONCATENATE(I32,AQ32),Prestaciones!$E$1:$G$488,3,FALSE),IFERROR(VLOOKUP(CONCATENATE(LEFT(I32,6),AQ32),Prestaciones!$E$491:$H$836,3,FALSE),"La prestación no corresponde al grupo poblacional")))</f>
        <v xml:space="preserve"> </v>
      </c>
      <c r="K32" s="146"/>
      <c r="L32" s="146"/>
      <c r="M32" s="147"/>
      <c r="N32" s="148"/>
      <c r="O32" s="149"/>
      <c r="P32" s="150"/>
      <c r="Q32" s="151"/>
      <c r="R32" s="151"/>
      <c r="S32" s="151"/>
      <c r="T32" s="147"/>
      <c r="U32" s="147"/>
      <c r="V32" s="147"/>
      <c r="W32" s="149"/>
      <c r="X32" s="149"/>
      <c r="Y32" s="147"/>
      <c r="Z32" s="147"/>
      <c r="AA32" s="147"/>
      <c r="AB32" s="147"/>
      <c r="AC32" s="147"/>
      <c r="AD32" s="147"/>
      <c r="AE32" s="152"/>
      <c r="AF32" s="153" t="str">
        <f t="shared" si="3"/>
        <v xml:space="preserve"> </v>
      </c>
      <c r="AG32" s="154" t="str">
        <f t="shared" si="1"/>
        <v>Ingresar fuente de información</v>
      </c>
      <c r="AH32" s="134"/>
      <c r="AI32" s="155"/>
      <c r="AJ32" s="156"/>
      <c r="AK32" s="157"/>
      <c r="AM32" s="158"/>
      <c r="AN32" s="155" t="str">
        <f t="shared" si="2"/>
        <v xml:space="preserve"> </v>
      </c>
      <c r="AO32" s="156"/>
      <c r="AP32" s="157"/>
      <c r="AQ32" s="161"/>
      <c r="AR32" s="160" t="str">
        <f t="shared" si="4"/>
        <v xml:space="preserve"> </v>
      </c>
    </row>
    <row r="33" spans="1:44">
      <c r="A33" s="71"/>
      <c r="B33" s="142"/>
      <c r="C33" s="143"/>
      <c r="D33" s="143"/>
      <c r="E33" s="143"/>
      <c r="F33" s="144"/>
      <c r="G33" s="142"/>
      <c r="H33" s="144" t="str">
        <f>IF(OR(ISBLANK(I33),ISBLANK(AQ33))," ",IFERROR(VLOOKUP(CONCATENATE(I33,AQ33),Prestaciones!$E$1:$H$488,4,FALSE),IFERROR(VLOOKUP(CONCATENATE(LEFT(I33,6),AQ33),Prestaciones!$E$491:$H$836,4,FALSE),"La prestación no corresponde al grupo poblacional")))</f>
        <v xml:space="preserve"> </v>
      </c>
      <c r="I33" s="145"/>
      <c r="J33" s="145" t="str">
        <f>IF(OR(ISBLANK(I33),ISBLANK(AQ33))," ",IFERROR(VLOOKUP(CONCATENATE(I33,AQ33),Prestaciones!$E$1:$G$488,3,FALSE),IFERROR(VLOOKUP(CONCATENATE(LEFT(I33,6),AQ33),Prestaciones!$E$491:$H$836,3,FALSE),"La prestación no corresponde al grupo poblacional")))</f>
        <v xml:space="preserve"> </v>
      </c>
      <c r="K33" s="146"/>
      <c r="L33" s="146"/>
      <c r="M33" s="147"/>
      <c r="N33" s="148"/>
      <c r="O33" s="149"/>
      <c r="P33" s="150"/>
      <c r="Q33" s="151"/>
      <c r="R33" s="151"/>
      <c r="S33" s="151"/>
      <c r="T33" s="147"/>
      <c r="U33" s="147"/>
      <c r="V33" s="147"/>
      <c r="W33" s="149"/>
      <c r="X33" s="149"/>
      <c r="Y33" s="147"/>
      <c r="Z33" s="147"/>
      <c r="AA33" s="147"/>
      <c r="AB33" s="147"/>
      <c r="AC33" s="147"/>
      <c r="AD33" s="147"/>
      <c r="AE33" s="152"/>
      <c r="AF33" s="153" t="str">
        <f t="shared" si="3"/>
        <v xml:space="preserve"> </v>
      </c>
      <c r="AG33" s="154" t="str">
        <f t="shared" si="1"/>
        <v>Ingresar fuente de información</v>
      </c>
      <c r="AH33" s="134"/>
      <c r="AI33" s="155"/>
      <c r="AJ33" s="156"/>
      <c r="AK33" s="157"/>
      <c r="AM33" s="158"/>
      <c r="AN33" s="155" t="str">
        <f t="shared" si="2"/>
        <v xml:space="preserve"> </v>
      </c>
      <c r="AO33" s="156"/>
      <c r="AP33" s="157"/>
      <c r="AQ33" s="161"/>
      <c r="AR33" s="160" t="str">
        <f t="shared" si="4"/>
        <v xml:space="preserve"> </v>
      </c>
    </row>
    <row r="34" spans="1:44">
      <c r="A34" s="71"/>
      <c r="B34" s="142"/>
      <c r="C34" s="143"/>
      <c r="D34" s="143"/>
      <c r="E34" s="143"/>
      <c r="F34" s="144"/>
      <c r="G34" s="142"/>
      <c r="H34" s="144" t="str">
        <f>IF(OR(ISBLANK(I34),ISBLANK(AQ34))," ",IFERROR(VLOOKUP(CONCATENATE(I34,AQ34),Prestaciones!$E$1:$H$488,4,FALSE),IFERROR(VLOOKUP(CONCATENATE(LEFT(I34,6),AQ34),Prestaciones!$E$491:$H$836,4,FALSE),"La prestación no corresponde al grupo poblacional")))</f>
        <v xml:space="preserve"> </v>
      </c>
      <c r="I34" s="145"/>
      <c r="J34" s="145" t="str">
        <f>IF(OR(ISBLANK(I34),ISBLANK(AQ34))," ",IFERROR(VLOOKUP(CONCATENATE(I34,AQ34),Prestaciones!$E$1:$G$488,3,FALSE),IFERROR(VLOOKUP(CONCATENATE(LEFT(I34,6),AQ34),Prestaciones!$E$491:$H$836,3,FALSE),"La prestación no corresponde al grupo poblacional")))</f>
        <v xml:space="preserve"> </v>
      </c>
      <c r="K34" s="146"/>
      <c r="L34" s="146"/>
      <c r="M34" s="147"/>
      <c r="N34" s="148"/>
      <c r="O34" s="149"/>
      <c r="P34" s="150"/>
      <c r="Q34" s="151"/>
      <c r="R34" s="151"/>
      <c r="S34" s="151"/>
      <c r="T34" s="147"/>
      <c r="U34" s="147"/>
      <c r="V34" s="147"/>
      <c r="W34" s="149"/>
      <c r="X34" s="149"/>
      <c r="Y34" s="147"/>
      <c r="Z34" s="147"/>
      <c r="AA34" s="147"/>
      <c r="AB34" s="147"/>
      <c r="AC34" s="147"/>
      <c r="AD34" s="147"/>
      <c r="AE34" s="152"/>
      <c r="AF34" s="153" t="str">
        <f t="shared" si="3"/>
        <v xml:space="preserve"> </v>
      </c>
      <c r="AG34" s="154" t="str">
        <f t="shared" si="1"/>
        <v>Ingresar fuente de información</v>
      </c>
      <c r="AH34" s="134"/>
      <c r="AI34" s="155"/>
      <c r="AJ34" s="156"/>
      <c r="AK34" s="157"/>
      <c r="AM34" s="158"/>
      <c r="AN34" s="155" t="str">
        <f t="shared" si="2"/>
        <v xml:space="preserve"> </v>
      </c>
      <c r="AO34" s="156"/>
      <c r="AP34" s="157"/>
      <c r="AQ34" s="161"/>
      <c r="AR34" s="160" t="str">
        <f t="shared" si="4"/>
        <v xml:space="preserve"> </v>
      </c>
    </row>
    <row r="35" spans="1:44">
      <c r="A35" s="71"/>
      <c r="B35" s="142"/>
      <c r="C35" s="143"/>
      <c r="D35" s="143"/>
      <c r="E35" s="143"/>
      <c r="F35" s="144"/>
      <c r="G35" s="142"/>
      <c r="H35" s="144" t="str">
        <f>IF(OR(ISBLANK(I35),ISBLANK(AQ35))," ",IFERROR(VLOOKUP(CONCATENATE(I35,AQ35),Prestaciones!$E$1:$H$488,4,FALSE),IFERROR(VLOOKUP(CONCATENATE(LEFT(I35,6),AQ35),Prestaciones!$E$491:$H$836,4,FALSE),"La prestación no corresponde al grupo poblacional")))</f>
        <v xml:space="preserve"> </v>
      </c>
      <c r="I35" s="145"/>
      <c r="J35" s="145" t="str">
        <f>IF(OR(ISBLANK(I35),ISBLANK(AQ35))," ",IFERROR(VLOOKUP(CONCATENATE(I35,AQ35),Prestaciones!$E$1:$G$488,3,FALSE),IFERROR(VLOOKUP(CONCATENATE(LEFT(I35,6),AQ35),Prestaciones!$E$491:$H$836,3,FALSE),"La prestación no corresponde al grupo poblacional")))</f>
        <v xml:space="preserve"> </v>
      </c>
      <c r="K35" s="146"/>
      <c r="L35" s="146"/>
      <c r="M35" s="147"/>
      <c r="N35" s="148"/>
      <c r="O35" s="149"/>
      <c r="P35" s="150"/>
      <c r="Q35" s="151"/>
      <c r="R35" s="151"/>
      <c r="S35" s="151"/>
      <c r="T35" s="147"/>
      <c r="U35" s="147"/>
      <c r="V35" s="147"/>
      <c r="W35" s="149"/>
      <c r="X35" s="149"/>
      <c r="Y35" s="147"/>
      <c r="Z35" s="147"/>
      <c r="AA35" s="147"/>
      <c r="AB35" s="147"/>
      <c r="AC35" s="147"/>
      <c r="AD35" s="147"/>
      <c r="AE35" s="152"/>
      <c r="AF35" s="153" t="str">
        <f t="shared" si="3"/>
        <v xml:space="preserve"> </v>
      </c>
      <c r="AG35" s="154" t="str">
        <f t="shared" si="1"/>
        <v>Ingresar fuente de información</v>
      </c>
      <c r="AH35" s="134"/>
      <c r="AI35" s="155"/>
      <c r="AJ35" s="156"/>
      <c r="AK35" s="157"/>
      <c r="AM35" s="158"/>
      <c r="AN35" s="155" t="str">
        <f t="shared" si="2"/>
        <v xml:space="preserve"> </v>
      </c>
      <c r="AO35" s="156"/>
      <c r="AP35" s="157"/>
      <c r="AQ35" s="161"/>
      <c r="AR35" s="160" t="str">
        <f t="shared" si="4"/>
        <v xml:space="preserve"> </v>
      </c>
    </row>
    <row r="36" spans="1:44">
      <c r="A36" s="71"/>
      <c r="B36" s="142"/>
      <c r="C36" s="143"/>
      <c r="D36" s="143"/>
      <c r="E36" s="143"/>
      <c r="F36" s="144"/>
      <c r="G36" s="142"/>
      <c r="H36" s="144" t="str">
        <f>IF(OR(ISBLANK(I36),ISBLANK(AQ36))," ",IFERROR(VLOOKUP(CONCATENATE(I36,AQ36),Prestaciones!$E$1:$H$488,4,FALSE),IFERROR(VLOOKUP(CONCATENATE(LEFT(I36,6),AQ36),Prestaciones!$E$491:$H$836,4,FALSE),"La prestación no corresponde al grupo poblacional")))</f>
        <v xml:space="preserve"> </v>
      </c>
      <c r="I36" s="145"/>
      <c r="J36" s="145" t="str">
        <f>IF(OR(ISBLANK(I36),ISBLANK(AQ36))," ",IFERROR(VLOOKUP(CONCATENATE(I36,AQ36),Prestaciones!$E$1:$G$488,3,FALSE),IFERROR(VLOOKUP(CONCATENATE(LEFT(I36,6),AQ36),Prestaciones!$E$491:$H$836,3,FALSE),"La prestación no corresponde al grupo poblacional")))</f>
        <v xml:space="preserve"> </v>
      </c>
      <c r="K36" s="146"/>
      <c r="L36" s="146"/>
      <c r="M36" s="147"/>
      <c r="N36" s="148"/>
      <c r="O36" s="149"/>
      <c r="P36" s="150"/>
      <c r="Q36" s="151"/>
      <c r="R36" s="151"/>
      <c r="S36" s="151"/>
      <c r="T36" s="147"/>
      <c r="U36" s="147"/>
      <c r="V36" s="147"/>
      <c r="W36" s="149"/>
      <c r="X36" s="149"/>
      <c r="Y36" s="147"/>
      <c r="Z36" s="147"/>
      <c r="AA36" s="147"/>
      <c r="AB36" s="147"/>
      <c r="AC36" s="147"/>
      <c r="AD36" s="147"/>
      <c r="AE36" s="152"/>
      <c r="AF36" s="153" t="str">
        <f t="shared" si="3"/>
        <v xml:space="preserve"> </v>
      </c>
      <c r="AG36" s="154" t="str">
        <f t="shared" si="1"/>
        <v>Ingresar fuente de información</v>
      </c>
      <c r="AH36" s="134"/>
      <c r="AI36" s="155"/>
      <c r="AJ36" s="156"/>
      <c r="AK36" s="157"/>
      <c r="AM36" s="158"/>
      <c r="AN36" s="155" t="str">
        <f t="shared" si="2"/>
        <v xml:space="preserve"> </v>
      </c>
      <c r="AO36" s="156"/>
      <c r="AP36" s="157"/>
      <c r="AQ36" s="161"/>
      <c r="AR36" s="160" t="str">
        <f t="shared" si="4"/>
        <v xml:space="preserve"> </v>
      </c>
    </row>
    <row r="37" spans="1:44">
      <c r="A37" s="71"/>
      <c r="B37" s="142"/>
      <c r="C37" s="143"/>
      <c r="D37" s="143"/>
      <c r="E37" s="143"/>
      <c r="F37" s="144"/>
      <c r="G37" s="142"/>
      <c r="H37" s="144" t="str">
        <f>IF(OR(ISBLANK(I37),ISBLANK(AQ37))," ",IFERROR(VLOOKUP(CONCATENATE(I37,AQ37),Prestaciones!$E$1:$H$488,4,FALSE),IFERROR(VLOOKUP(CONCATENATE(LEFT(I37,6),AQ37),Prestaciones!$E$491:$H$836,4,FALSE),"La prestación no corresponde al grupo poblacional")))</f>
        <v xml:space="preserve"> </v>
      </c>
      <c r="I37" s="145"/>
      <c r="J37" s="145" t="str">
        <f>IF(OR(ISBLANK(I37),ISBLANK(AQ37))," ",IFERROR(VLOOKUP(CONCATENATE(I37,AQ37),Prestaciones!$E$1:$G$488,3,FALSE),IFERROR(VLOOKUP(CONCATENATE(LEFT(I37,6),AQ37),Prestaciones!$E$491:$H$836,3,FALSE),"La prestación no corresponde al grupo poblacional")))</f>
        <v xml:space="preserve"> </v>
      </c>
      <c r="K37" s="146"/>
      <c r="L37" s="146"/>
      <c r="M37" s="147"/>
      <c r="N37" s="148"/>
      <c r="O37" s="149"/>
      <c r="P37" s="150"/>
      <c r="Q37" s="151"/>
      <c r="R37" s="151"/>
      <c r="S37" s="151"/>
      <c r="T37" s="147"/>
      <c r="U37" s="147"/>
      <c r="V37" s="147"/>
      <c r="W37" s="149"/>
      <c r="X37" s="149"/>
      <c r="Y37" s="147"/>
      <c r="Z37" s="147"/>
      <c r="AA37" s="147"/>
      <c r="AB37" s="147"/>
      <c r="AC37" s="147"/>
      <c r="AD37" s="147"/>
      <c r="AE37" s="152"/>
      <c r="AF37" s="153" t="str">
        <f t="shared" si="3"/>
        <v xml:space="preserve"> </v>
      </c>
      <c r="AG37" s="154" t="str">
        <f t="shared" si="1"/>
        <v>Ingresar fuente de información</v>
      </c>
      <c r="AH37" s="134"/>
      <c r="AI37" s="155"/>
      <c r="AJ37" s="156"/>
      <c r="AK37" s="157"/>
      <c r="AM37" s="158"/>
      <c r="AN37" s="155" t="str">
        <f t="shared" si="2"/>
        <v xml:space="preserve"> </v>
      </c>
      <c r="AO37" s="156"/>
      <c r="AP37" s="157"/>
      <c r="AQ37" s="161"/>
      <c r="AR37" s="160" t="str">
        <f t="shared" si="4"/>
        <v xml:space="preserve"> </v>
      </c>
    </row>
    <row r="38" spans="1:44">
      <c r="A38" s="71"/>
      <c r="B38" s="142"/>
      <c r="C38" s="143"/>
      <c r="D38" s="143"/>
      <c r="E38" s="143"/>
      <c r="F38" s="144"/>
      <c r="G38" s="142"/>
      <c r="H38" s="144" t="str">
        <f>IF(OR(ISBLANK(I38),ISBLANK(AQ38))," ",IFERROR(VLOOKUP(CONCATENATE(I38,AQ38),Prestaciones!$E$1:$H$488,4,FALSE),IFERROR(VLOOKUP(CONCATENATE(LEFT(I38,6),AQ38),Prestaciones!$E$491:$H$836,4,FALSE),"La prestación no corresponde al grupo poblacional")))</f>
        <v xml:space="preserve"> </v>
      </c>
      <c r="I38" s="145"/>
      <c r="J38" s="145" t="str">
        <f>IF(OR(ISBLANK(I38),ISBLANK(AQ38))," ",IFERROR(VLOOKUP(CONCATENATE(I38,AQ38),Prestaciones!$E$1:$G$488,3,FALSE),IFERROR(VLOOKUP(CONCATENATE(LEFT(I38,6),AQ38),Prestaciones!$E$491:$H$836,3,FALSE),"La prestación no corresponde al grupo poblacional")))</f>
        <v xml:space="preserve"> </v>
      </c>
      <c r="K38" s="146"/>
      <c r="L38" s="146"/>
      <c r="M38" s="147"/>
      <c r="N38" s="148"/>
      <c r="O38" s="149"/>
      <c r="P38" s="150"/>
      <c r="Q38" s="151"/>
      <c r="R38" s="151"/>
      <c r="S38" s="151"/>
      <c r="T38" s="147"/>
      <c r="U38" s="147"/>
      <c r="V38" s="147"/>
      <c r="W38" s="149"/>
      <c r="X38" s="149"/>
      <c r="Y38" s="147"/>
      <c r="Z38" s="147"/>
      <c r="AA38" s="147"/>
      <c r="AB38" s="147"/>
      <c r="AC38" s="147"/>
      <c r="AD38" s="147"/>
      <c r="AE38" s="152"/>
      <c r="AF38" s="153" t="str">
        <f t="shared" si="3"/>
        <v xml:space="preserve"> </v>
      </c>
      <c r="AG38" s="154" t="str">
        <f t="shared" si="1"/>
        <v>Ingresar fuente de información</v>
      </c>
      <c r="AH38" s="134"/>
      <c r="AI38" s="155"/>
      <c r="AJ38" s="156"/>
      <c r="AK38" s="157"/>
      <c r="AM38" s="158"/>
      <c r="AN38" s="155" t="str">
        <f t="shared" si="2"/>
        <v xml:space="preserve"> </v>
      </c>
      <c r="AO38" s="156"/>
      <c r="AP38" s="157"/>
      <c r="AQ38" s="161"/>
      <c r="AR38" s="160" t="str">
        <f t="shared" si="4"/>
        <v xml:space="preserve"> </v>
      </c>
    </row>
    <row r="39" spans="1:44">
      <c r="A39" s="71"/>
      <c r="B39" s="142"/>
      <c r="C39" s="143"/>
      <c r="D39" s="143"/>
      <c r="E39" s="143"/>
      <c r="F39" s="144"/>
      <c r="G39" s="142"/>
      <c r="H39" s="144" t="str">
        <f>IF(OR(ISBLANK(I39),ISBLANK(AQ39))," ",IFERROR(VLOOKUP(CONCATENATE(I39,AQ39),Prestaciones!$E$1:$H$488,4,FALSE),IFERROR(VLOOKUP(CONCATENATE(LEFT(I39,6),AQ39),Prestaciones!$E$491:$H$836,4,FALSE),"La prestación no corresponde al grupo poblacional")))</f>
        <v xml:space="preserve"> </v>
      </c>
      <c r="I39" s="145"/>
      <c r="J39" s="145" t="str">
        <f>IF(OR(ISBLANK(I39),ISBLANK(AQ39))," ",IFERROR(VLOOKUP(CONCATENATE(I39,AQ39),Prestaciones!$E$1:$G$488,3,FALSE),IFERROR(VLOOKUP(CONCATENATE(LEFT(I39,6),AQ39),Prestaciones!$E$491:$H$836,3,FALSE),"La prestación no corresponde al grupo poblacional")))</f>
        <v xml:space="preserve"> </v>
      </c>
      <c r="K39" s="146"/>
      <c r="L39" s="146"/>
      <c r="M39" s="147"/>
      <c r="N39" s="148"/>
      <c r="O39" s="149"/>
      <c r="P39" s="150"/>
      <c r="Q39" s="151"/>
      <c r="R39" s="151"/>
      <c r="S39" s="151"/>
      <c r="T39" s="147"/>
      <c r="U39" s="147"/>
      <c r="V39" s="147"/>
      <c r="W39" s="149"/>
      <c r="X39" s="149"/>
      <c r="Y39" s="147"/>
      <c r="Z39" s="147"/>
      <c r="AA39" s="147"/>
      <c r="AB39" s="147"/>
      <c r="AC39" s="147"/>
      <c r="AD39" s="147"/>
      <c r="AE39" s="152"/>
      <c r="AF39" s="153" t="str">
        <f t="shared" si="3"/>
        <v xml:space="preserve"> </v>
      </c>
      <c r="AG39" s="154" t="str">
        <f t="shared" si="1"/>
        <v>Ingresar fuente de información</v>
      </c>
      <c r="AH39" s="134"/>
      <c r="AI39" s="155"/>
      <c r="AJ39" s="156"/>
      <c r="AK39" s="157"/>
      <c r="AM39" s="158"/>
      <c r="AN39" s="155" t="str">
        <f t="shared" si="2"/>
        <v xml:space="preserve"> </v>
      </c>
      <c r="AO39" s="156"/>
      <c r="AP39" s="157"/>
      <c r="AQ39" s="161"/>
      <c r="AR39" s="160" t="str">
        <f t="shared" si="4"/>
        <v xml:space="preserve"> </v>
      </c>
    </row>
    <row r="40" spans="1:44">
      <c r="A40" s="71"/>
      <c r="B40" s="142"/>
      <c r="C40" s="143"/>
      <c r="D40" s="143"/>
      <c r="E40" s="143"/>
      <c r="F40" s="144"/>
      <c r="G40" s="142"/>
      <c r="H40" s="144" t="str">
        <f>IF(OR(ISBLANK(I40),ISBLANK(AQ40))," ",IFERROR(VLOOKUP(CONCATENATE(I40,AQ40),Prestaciones!$E$1:$H$488,4,FALSE),IFERROR(VLOOKUP(CONCATENATE(LEFT(I40,6),AQ40),Prestaciones!$E$491:$H$836,4,FALSE),"La prestación no corresponde al grupo poblacional")))</f>
        <v xml:space="preserve"> </v>
      </c>
      <c r="I40" s="145"/>
      <c r="J40" s="145" t="str">
        <f>IF(OR(ISBLANK(I40),ISBLANK(AQ40))," ",IFERROR(VLOOKUP(CONCATENATE(I40,AQ40),Prestaciones!$E$1:$G$488,3,FALSE),IFERROR(VLOOKUP(CONCATENATE(LEFT(I40,6),AQ40),Prestaciones!$E$491:$H$836,3,FALSE),"La prestación no corresponde al grupo poblacional")))</f>
        <v xml:space="preserve"> </v>
      </c>
      <c r="K40" s="146"/>
      <c r="L40" s="146"/>
      <c r="M40" s="147"/>
      <c r="N40" s="148"/>
      <c r="O40" s="149"/>
      <c r="P40" s="150"/>
      <c r="Q40" s="151"/>
      <c r="R40" s="151"/>
      <c r="S40" s="151"/>
      <c r="T40" s="147"/>
      <c r="U40" s="147"/>
      <c r="V40" s="147"/>
      <c r="W40" s="149"/>
      <c r="X40" s="149"/>
      <c r="Y40" s="147"/>
      <c r="Z40" s="147"/>
      <c r="AA40" s="147"/>
      <c r="AB40" s="147"/>
      <c r="AC40" s="147"/>
      <c r="AD40" s="147"/>
      <c r="AE40" s="152"/>
      <c r="AF40" s="153" t="str">
        <f t="shared" si="3"/>
        <v xml:space="preserve"> </v>
      </c>
      <c r="AG40" s="154" t="str">
        <f t="shared" si="1"/>
        <v>Ingresar fuente de información</v>
      </c>
      <c r="AH40" s="134"/>
      <c r="AI40" s="155"/>
      <c r="AJ40" s="156"/>
      <c r="AK40" s="157"/>
      <c r="AM40" s="158"/>
      <c r="AN40" s="155" t="str">
        <f t="shared" si="2"/>
        <v xml:space="preserve"> </v>
      </c>
      <c r="AO40" s="156"/>
      <c r="AP40" s="157"/>
      <c r="AQ40" s="161"/>
      <c r="AR40" s="160" t="str">
        <f t="shared" si="4"/>
        <v xml:space="preserve"> </v>
      </c>
    </row>
    <row r="41" spans="1:44">
      <c r="A41" s="71"/>
      <c r="B41" s="142"/>
      <c r="C41" s="143"/>
      <c r="D41" s="143"/>
      <c r="E41" s="143"/>
      <c r="F41" s="144"/>
      <c r="G41" s="142"/>
      <c r="H41" s="144" t="str">
        <f>IF(OR(ISBLANK(I41),ISBLANK(AQ41))," ",IFERROR(VLOOKUP(CONCATENATE(I41,AQ41),Prestaciones!$E$1:$H$488,4,FALSE),IFERROR(VLOOKUP(CONCATENATE(LEFT(I41,6),AQ41),Prestaciones!$E$491:$H$836,4,FALSE),"La prestación no corresponde al grupo poblacional")))</f>
        <v xml:space="preserve"> </v>
      </c>
      <c r="I41" s="145"/>
      <c r="J41" s="145" t="str">
        <f>IF(OR(ISBLANK(I41),ISBLANK(AQ41))," ",IFERROR(VLOOKUP(CONCATENATE(I41,AQ41),Prestaciones!$E$1:$G$488,3,FALSE),IFERROR(VLOOKUP(CONCATENATE(LEFT(I41,6),AQ41),Prestaciones!$E$491:$H$836,3,FALSE),"La prestación no corresponde al grupo poblacional")))</f>
        <v xml:space="preserve"> </v>
      </c>
      <c r="K41" s="146"/>
      <c r="L41" s="146"/>
      <c r="M41" s="147"/>
      <c r="N41" s="148"/>
      <c r="O41" s="149"/>
      <c r="P41" s="150"/>
      <c r="Q41" s="151"/>
      <c r="R41" s="151"/>
      <c r="S41" s="151"/>
      <c r="T41" s="147"/>
      <c r="U41" s="147"/>
      <c r="V41" s="147"/>
      <c r="W41" s="149"/>
      <c r="X41" s="149"/>
      <c r="Y41" s="147"/>
      <c r="Z41" s="147"/>
      <c r="AA41" s="147"/>
      <c r="AB41" s="147"/>
      <c r="AC41" s="147"/>
      <c r="AD41" s="147"/>
      <c r="AE41" s="152"/>
      <c r="AF41" s="153" t="str">
        <f t="shared" si="3"/>
        <v xml:space="preserve"> </v>
      </c>
      <c r="AG41" s="154" t="str">
        <f t="shared" si="1"/>
        <v>Ingresar fuente de información</v>
      </c>
      <c r="AH41" s="134"/>
      <c r="AI41" s="155"/>
      <c r="AJ41" s="156"/>
      <c r="AK41" s="157"/>
      <c r="AM41" s="158"/>
      <c r="AN41" s="155" t="str">
        <f t="shared" si="2"/>
        <v xml:space="preserve"> </v>
      </c>
      <c r="AO41" s="156"/>
      <c r="AP41" s="157"/>
      <c r="AQ41" s="161"/>
      <c r="AR41" s="160" t="str">
        <f t="shared" si="4"/>
        <v xml:space="preserve"> </v>
      </c>
    </row>
    <row r="42" spans="1:44">
      <c r="A42" s="71"/>
      <c r="B42" s="142"/>
      <c r="C42" s="143"/>
      <c r="D42" s="143"/>
      <c r="E42" s="143"/>
      <c r="F42" s="144"/>
      <c r="G42" s="142"/>
      <c r="H42" s="144" t="str">
        <f>IF(OR(ISBLANK(I42),ISBLANK(AQ42))," ",IFERROR(VLOOKUP(CONCATENATE(I42,AQ42),Prestaciones!$E$1:$H$488,4,FALSE),IFERROR(VLOOKUP(CONCATENATE(LEFT(I42,6),AQ42),Prestaciones!$E$491:$H$836,4,FALSE),"La prestación no corresponde al grupo poblacional")))</f>
        <v xml:space="preserve"> </v>
      </c>
      <c r="I42" s="145"/>
      <c r="J42" s="145" t="str">
        <f>IF(OR(ISBLANK(I42),ISBLANK(AQ42))," ",IFERROR(VLOOKUP(CONCATENATE(I42,AQ42),Prestaciones!$E$1:$G$488,3,FALSE),IFERROR(VLOOKUP(CONCATENATE(LEFT(I42,6),AQ42),Prestaciones!$E$491:$H$836,3,FALSE),"La prestación no corresponde al grupo poblacional")))</f>
        <v xml:space="preserve"> </v>
      </c>
      <c r="K42" s="146"/>
      <c r="L42" s="146"/>
      <c r="M42" s="147"/>
      <c r="N42" s="148"/>
      <c r="O42" s="149"/>
      <c r="P42" s="150"/>
      <c r="Q42" s="151"/>
      <c r="R42" s="151"/>
      <c r="S42" s="151"/>
      <c r="T42" s="147"/>
      <c r="U42" s="147"/>
      <c r="V42" s="147"/>
      <c r="W42" s="149"/>
      <c r="X42" s="149"/>
      <c r="Y42" s="147"/>
      <c r="Z42" s="147"/>
      <c r="AA42" s="147"/>
      <c r="AB42" s="147"/>
      <c r="AC42" s="147"/>
      <c r="AD42" s="147"/>
      <c r="AE42" s="152"/>
      <c r="AF42" s="153" t="str">
        <f t="shared" si="3"/>
        <v xml:space="preserve"> </v>
      </c>
      <c r="AG42" s="154" t="str">
        <f t="shared" si="1"/>
        <v>Ingresar fuente de información</v>
      </c>
      <c r="AH42" s="134"/>
      <c r="AI42" s="155"/>
      <c r="AJ42" s="156"/>
      <c r="AK42" s="157"/>
      <c r="AM42" s="158"/>
      <c r="AN42" s="155" t="str">
        <f t="shared" si="2"/>
        <v xml:space="preserve"> </v>
      </c>
      <c r="AO42" s="156"/>
      <c r="AP42" s="157"/>
      <c r="AQ42" s="161"/>
      <c r="AR42" s="160" t="str">
        <f t="shared" si="4"/>
        <v xml:space="preserve"> </v>
      </c>
    </row>
    <row r="43" spans="1:44">
      <c r="A43" s="71"/>
      <c r="B43" s="142"/>
      <c r="C43" s="143"/>
      <c r="D43" s="143"/>
      <c r="E43" s="143"/>
      <c r="F43" s="144"/>
      <c r="G43" s="142"/>
      <c r="H43" s="144" t="str">
        <f>IF(OR(ISBLANK(I43),ISBLANK(AQ43))," ",IFERROR(VLOOKUP(CONCATENATE(I43,AQ43),Prestaciones!$E$1:$H$488,4,FALSE),IFERROR(VLOOKUP(CONCATENATE(LEFT(I43,6),AQ43),Prestaciones!$E$491:$H$836,4,FALSE),"La prestación no corresponde al grupo poblacional")))</f>
        <v xml:space="preserve"> </v>
      </c>
      <c r="I43" s="145"/>
      <c r="J43" s="145" t="str">
        <f>IF(OR(ISBLANK(I43),ISBLANK(AQ43))," ",IFERROR(VLOOKUP(CONCATENATE(I43,AQ43),Prestaciones!$E$1:$G$488,3,FALSE),IFERROR(VLOOKUP(CONCATENATE(LEFT(I43,6),AQ43),Prestaciones!$E$491:$H$836,3,FALSE),"La prestación no corresponde al grupo poblacional")))</f>
        <v xml:space="preserve"> </v>
      </c>
      <c r="K43" s="146"/>
      <c r="L43" s="146"/>
      <c r="M43" s="147"/>
      <c r="N43" s="148"/>
      <c r="O43" s="149"/>
      <c r="P43" s="150"/>
      <c r="Q43" s="151"/>
      <c r="R43" s="151"/>
      <c r="S43" s="151"/>
      <c r="T43" s="147"/>
      <c r="U43" s="147"/>
      <c r="V43" s="147"/>
      <c r="W43" s="149"/>
      <c r="X43" s="149"/>
      <c r="Y43" s="147"/>
      <c r="Z43" s="147"/>
      <c r="AA43" s="147"/>
      <c r="AB43" s="147"/>
      <c r="AC43" s="147"/>
      <c r="AD43" s="147"/>
      <c r="AE43" s="152"/>
      <c r="AF43" s="153" t="str">
        <f t="shared" si="3"/>
        <v xml:space="preserve"> </v>
      </c>
      <c r="AG43" s="154" t="str">
        <f t="shared" si="1"/>
        <v>Ingresar fuente de información</v>
      </c>
      <c r="AH43" s="134"/>
      <c r="AI43" s="155"/>
      <c r="AJ43" s="156"/>
      <c r="AK43" s="157"/>
      <c r="AM43" s="158"/>
      <c r="AN43" s="155" t="str">
        <f t="shared" si="2"/>
        <v xml:space="preserve"> </v>
      </c>
      <c r="AO43" s="156"/>
      <c r="AP43" s="157"/>
      <c r="AQ43" s="161"/>
      <c r="AR43" s="160" t="str">
        <f t="shared" si="4"/>
        <v xml:space="preserve"> </v>
      </c>
    </row>
    <row r="44" spans="1:44">
      <c r="A44" s="71"/>
      <c r="B44" s="142"/>
      <c r="C44" s="143"/>
      <c r="D44" s="143"/>
      <c r="E44" s="143"/>
      <c r="F44" s="144"/>
      <c r="G44" s="142"/>
      <c r="H44" s="144" t="str">
        <f>IF(OR(ISBLANK(I44),ISBLANK(AQ44))," ",IFERROR(VLOOKUP(CONCATENATE(I44,AQ44),Prestaciones!$E$1:$H$488,4,FALSE),IFERROR(VLOOKUP(CONCATENATE(LEFT(I44,6),AQ44),Prestaciones!$E$491:$H$836,4,FALSE),"La prestación no corresponde al grupo poblacional")))</f>
        <v xml:space="preserve"> </v>
      </c>
      <c r="I44" s="145"/>
      <c r="J44" s="145" t="str">
        <f>IF(OR(ISBLANK(I44),ISBLANK(AQ44))," ",IFERROR(VLOOKUP(CONCATENATE(I44,AQ44),Prestaciones!$E$1:$G$488,3,FALSE),IFERROR(VLOOKUP(CONCATENATE(LEFT(I44,6),AQ44),Prestaciones!$E$491:$H$836,3,FALSE),"La prestación no corresponde al grupo poblacional")))</f>
        <v xml:space="preserve"> </v>
      </c>
      <c r="K44" s="146"/>
      <c r="L44" s="146"/>
      <c r="M44" s="147"/>
      <c r="N44" s="148"/>
      <c r="O44" s="149"/>
      <c r="P44" s="150"/>
      <c r="Q44" s="151"/>
      <c r="R44" s="151"/>
      <c r="S44" s="151"/>
      <c r="T44" s="147"/>
      <c r="U44" s="147"/>
      <c r="V44" s="147"/>
      <c r="W44" s="149"/>
      <c r="X44" s="149"/>
      <c r="Y44" s="147"/>
      <c r="Z44" s="147"/>
      <c r="AA44" s="147"/>
      <c r="AB44" s="147"/>
      <c r="AC44" s="147"/>
      <c r="AD44" s="147"/>
      <c r="AE44" s="152"/>
      <c r="AF44" s="153" t="str">
        <f t="shared" si="3"/>
        <v xml:space="preserve"> </v>
      </c>
      <c r="AG44" s="154" t="str">
        <f t="shared" si="1"/>
        <v>Ingresar fuente de información</v>
      </c>
      <c r="AH44" s="134"/>
      <c r="AI44" s="155"/>
      <c r="AJ44" s="156"/>
      <c r="AK44" s="157"/>
      <c r="AM44" s="158"/>
      <c r="AN44" s="155" t="str">
        <f t="shared" si="2"/>
        <v xml:space="preserve"> </v>
      </c>
      <c r="AO44" s="156"/>
      <c r="AP44" s="157"/>
      <c r="AQ44" s="161"/>
      <c r="AR44" s="160" t="str">
        <f t="shared" si="4"/>
        <v xml:space="preserve"> </v>
      </c>
    </row>
    <row r="45" spans="1:44">
      <c r="A45" s="71"/>
      <c r="B45" s="142"/>
      <c r="C45" s="143"/>
      <c r="D45" s="143"/>
      <c r="E45" s="143"/>
      <c r="F45" s="144"/>
      <c r="G45" s="142"/>
      <c r="H45" s="144" t="str">
        <f>IF(OR(ISBLANK(I45),ISBLANK(AQ45))," ",IFERROR(VLOOKUP(CONCATENATE(I45,AQ45),Prestaciones!$E$1:$H$488,4,FALSE),IFERROR(VLOOKUP(CONCATENATE(LEFT(I45,6),AQ45),Prestaciones!$E$491:$H$836,4,FALSE),"La prestación no corresponde al grupo poblacional")))</f>
        <v xml:space="preserve"> </v>
      </c>
      <c r="I45" s="145"/>
      <c r="J45" s="145" t="str">
        <f>IF(OR(ISBLANK(I45),ISBLANK(AQ45))," ",IFERROR(VLOOKUP(CONCATENATE(I45,AQ45),Prestaciones!$E$1:$G$488,3,FALSE),IFERROR(VLOOKUP(CONCATENATE(LEFT(I45,6),AQ45),Prestaciones!$E$491:$H$836,3,FALSE),"La prestación no corresponde al grupo poblacional")))</f>
        <v xml:space="preserve"> </v>
      </c>
      <c r="K45" s="146"/>
      <c r="L45" s="146"/>
      <c r="M45" s="147"/>
      <c r="N45" s="148"/>
      <c r="O45" s="149"/>
      <c r="P45" s="150"/>
      <c r="Q45" s="151"/>
      <c r="R45" s="151"/>
      <c r="S45" s="151"/>
      <c r="T45" s="147"/>
      <c r="U45" s="147"/>
      <c r="V45" s="147"/>
      <c r="W45" s="149"/>
      <c r="X45" s="149"/>
      <c r="Y45" s="147"/>
      <c r="Z45" s="147"/>
      <c r="AA45" s="147"/>
      <c r="AB45" s="147"/>
      <c r="AC45" s="147"/>
      <c r="AD45" s="147"/>
      <c r="AE45" s="152"/>
      <c r="AF45" s="153" t="str">
        <f t="shared" si="3"/>
        <v xml:space="preserve"> </v>
      </c>
      <c r="AG45" s="154" t="str">
        <f t="shared" si="1"/>
        <v>Ingresar fuente de información</v>
      </c>
      <c r="AH45" s="134"/>
      <c r="AI45" s="155"/>
      <c r="AJ45" s="156"/>
      <c r="AK45" s="157"/>
      <c r="AM45" s="158"/>
      <c r="AN45" s="155" t="str">
        <f t="shared" si="2"/>
        <v xml:space="preserve"> </v>
      </c>
      <c r="AO45" s="156"/>
      <c r="AP45" s="157"/>
      <c r="AQ45" s="161"/>
      <c r="AR45" s="160" t="str">
        <f t="shared" si="4"/>
        <v xml:space="preserve"> </v>
      </c>
    </row>
    <row r="46" spans="1:44">
      <c r="A46" s="71"/>
      <c r="B46" s="142"/>
      <c r="C46" s="143"/>
      <c r="D46" s="143"/>
      <c r="E46" s="143"/>
      <c r="F46" s="144"/>
      <c r="G46" s="142"/>
      <c r="H46" s="144" t="str">
        <f>IF(OR(ISBLANK(I46),ISBLANK(AQ46))," ",IFERROR(VLOOKUP(CONCATENATE(I46,AQ46),Prestaciones!$E$1:$H$488,4,FALSE),IFERROR(VLOOKUP(CONCATENATE(LEFT(I46,6),AQ46),Prestaciones!$E$491:$H$836,4,FALSE),"La prestación no corresponde al grupo poblacional")))</f>
        <v xml:space="preserve"> </v>
      </c>
      <c r="I46" s="145"/>
      <c r="J46" s="145" t="str">
        <f>IF(OR(ISBLANK(I46),ISBLANK(AQ46))," ",IFERROR(VLOOKUP(CONCATENATE(I46,AQ46),Prestaciones!$E$1:$G$488,3,FALSE),IFERROR(VLOOKUP(CONCATENATE(LEFT(I46,6),AQ46),Prestaciones!$E$491:$H$836,3,FALSE),"La prestación no corresponde al grupo poblacional")))</f>
        <v xml:space="preserve"> </v>
      </c>
      <c r="K46" s="146"/>
      <c r="L46" s="146"/>
      <c r="M46" s="147"/>
      <c r="N46" s="148"/>
      <c r="O46" s="149"/>
      <c r="P46" s="150"/>
      <c r="Q46" s="151"/>
      <c r="R46" s="151"/>
      <c r="S46" s="151"/>
      <c r="T46" s="147"/>
      <c r="U46" s="147"/>
      <c r="V46" s="147"/>
      <c r="W46" s="149"/>
      <c r="X46" s="149"/>
      <c r="Y46" s="147"/>
      <c r="Z46" s="147"/>
      <c r="AA46" s="147"/>
      <c r="AB46" s="147"/>
      <c r="AC46" s="147"/>
      <c r="AD46" s="147"/>
      <c r="AE46" s="152"/>
      <c r="AF46" s="153" t="str">
        <f t="shared" si="3"/>
        <v xml:space="preserve"> </v>
      </c>
      <c r="AG46" s="154" t="str">
        <f t="shared" si="1"/>
        <v>Ingresar fuente de información</v>
      </c>
      <c r="AH46" s="134"/>
      <c r="AI46" s="155"/>
      <c r="AJ46" s="156"/>
      <c r="AK46" s="157"/>
      <c r="AM46" s="158"/>
      <c r="AN46" s="155" t="str">
        <f t="shared" si="2"/>
        <v xml:space="preserve"> </v>
      </c>
      <c r="AO46" s="156"/>
      <c r="AP46" s="157"/>
      <c r="AQ46" s="161"/>
      <c r="AR46" s="160" t="str">
        <f t="shared" si="4"/>
        <v xml:space="preserve"> </v>
      </c>
    </row>
    <row r="47" spans="1:44">
      <c r="A47" s="71"/>
      <c r="B47" s="142"/>
      <c r="C47" s="143"/>
      <c r="D47" s="143"/>
      <c r="E47" s="143"/>
      <c r="F47" s="144"/>
      <c r="G47" s="142"/>
      <c r="H47" s="144" t="str">
        <f>IF(OR(ISBLANK(I47),ISBLANK(AQ47))," ",IFERROR(VLOOKUP(CONCATENATE(I47,AQ47),Prestaciones!$E$1:$H$488,4,FALSE),IFERROR(VLOOKUP(CONCATENATE(LEFT(I47,6),AQ47),Prestaciones!$E$491:$H$836,4,FALSE),"La prestación no corresponde al grupo poblacional")))</f>
        <v xml:space="preserve"> </v>
      </c>
      <c r="I47" s="145"/>
      <c r="J47" s="145" t="str">
        <f>IF(OR(ISBLANK(I47),ISBLANK(AQ47))," ",IFERROR(VLOOKUP(CONCATENATE(I47,AQ47),Prestaciones!$E$1:$G$488,3,FALSE),IFERROR(VLOOKUP(CONCATENATE(LEFT(I47,6),AQ47),Prestaciones!$E$491:$H$836,3,FALSE),"La prestación no corresponde al grupo poblacional")))</f>
        <v xml:space="preserve"> </v>
      </c>
      <c r="K47" s="146"/>
      <c r="L47" s="146"/>
      <c r="M47" s="147"/>
      <c r="N47" s="148"/>
      <c r="O47" s="149"/>
      <c r="P47" s="150"/>
      <c r="Q47" s="151"/>
      <c r="R47" s="151"/>
      <c r="S47" s="151"/>
      <c r="T47" s="147"/>
      <c r="U47" s="147"/>
      <c r="V47" s="147"/>
      <c r="W47" s="149"/>
      <c r="X47" s="149"/>
      <c r="Y47" s="147"/>
      <c r="Z47" s="147"/>
      <c r="AA47" s="147"/>
      <c r="AB47" s="147"/>
      <c r="AC47" s="147"/>
      <c r="AD47" s="147"/>
      <c r="AE47" s="152"/>
      <c r="AF47" s="153" t="str">
        <f t="shared" si="3"/>
        <v xml:space="preserve"> </v>
      </c>
      <c r="AG47" s="154" t="str">
        <f t="shared" si="1"/>
        <v>Ingresar fuente de información</v>
      </c>
      <c r="AH47" s="134"/>
      <c r="AI47" s="155"/>
      <c r="AJ47" s="156"/>
      <c r="AK47" s="157"/>
      <c r="AM47" s="158"/>
      <c r="AN47" s="155" t="str">
        <f t="shared" si="2"/>
        <v xml:space="preserve"> </v>
      </c>
      <c r="AO47" s="156"/>
      <c r="AP47" s="157"/>
      <c r="AQ47" s="161"/>
      <c r="AR47" s="160" t="str">
        <f t="shared" si="4"/>
        <v xml:space="preserve"> </v>
      </c>
    </row>
    <row r="48" spans="1:44">
      <c r="A48" s="71"/>
      <c r="B48" s="142"/>
      <c r="C48" s="143"/>
      <c r="D48" s="143"/>
      <c r="E48" s="143"/>
      <c r="F48" s="144"/>
      <c r="G48" s="142"/>
      <c r="H48" s="144" t="str">
        <f>IF(OR(ISBLANK(I48),ISBLANK(AQ48))," ",IFERROR(VLOOKUP(CONCATENATE(I48,AQ48),Prestaciones!$E$1:$H$488,4,FALSE),IFERROR(VLOOKUP(CONCATENATE(LEFT(I48,6),AQ48),Prestaciones!$E$491:$H$836,4,FALSE),"La prestación no corresponde al grupo poblacional")))</f>
        <v xml:space="preserve"> </v>
      </c>
      <c r="I48" s="145"/>
      <c r="J48" s="145" t="str">
        <f>IF(OR(ISBLANK(I48),ISBLANK(AQ48))," ",IFERROR(VLOOKUP(CONCATENATE(I48,AQ48),Prestaciones!$E$1:$G$488,3,FALSE),IFERROR(VLOOKUP(CONCATENATE(LEFT(I48,6),AQ48),Prestaciones!$E$491:$H$836,3,FALSE),"La prestación no corresponde al grupo poblacional")))</f>
        <v xml:space="preserve"> </v>
      </c>
      <c r="K48" s="146"/>
      <c r="L48" s="146"/>
      <c r="M48" s="147"/>
      <c r="N48" s="148"/>
      <c r="O48" s="149"/>
      <c r="P48" s="150"/>
      <c r="Q48" s="151"/>
      <c r="R48" s="151"/>
      <c r="S48" s="151"/>
      <c r="T48" s="147"/>
      <c r="U48" s="147"/>
      <c r="V48" s="147"/>
      <c r="W48" s="149"/>
      <c r="X48" s="149"/>
      <c r="Y48" s="147"/>
      <c r="Z48" s="147"/>
      <c r="AA48" s="147"/>
      <c r="AB48" s="147"/>
      <c r="AC48" s="147"/>
      <c r="AD48" s="147"/>
      <c r="AE48" s="152"/>
      <c r="AF48" s="153" t="str">
        <f t="shared" si="3"/>
        <v xml:space="preserve"> </v>
      </c>
      <c r="AG48" s="154" t="str">
        <f t="shared" si="1"/>
        <v>Ingresar fuente de información</v>
      </c>
      <c r="AH48" s="134"/>
      <c r="AI48" s="155"/>
      <c r="AJ48" s="156"/>
      <c r="AK48" s="157"/>
      <c r="AM48" s="158"/>
      <c r="AN48" s="155" t="str">
        <f t="shared" si="2"/>
        <v xml:space="preserve"> </v>
      </c>
      <c r="AO48" s="156"/>
      <c r="AP48" s="157"/>
      <c r="AQ48" s="161"/>
      <c r="AR48" s="160" t="str">
        <f t="shared" si="4"/>
        <v xml:space="preserve"> </v>
      </c>
    </row>
    <row r="49" spans="1:44">
      <c r="A49" s="71"/>
      <c r="B49" s="142"/>
      <c r="C49" s="143"/>
      <c r="D49" s="143"/>
      <c r="E49" s="143"/>
      <c r="F49" s="144"/>
      <c r="G49" s="142"/>
      <c r="H49" s="144" t="str">
        <f>IF(OR(ISBLANK(I49),ISBLANK(AQ49))," ",IFERROR(VLOOKUP(CONCATENATE(I49,AQ49),Prestaciones!$E$1:$H$488,4,FALSE),IFERROR(VLOOKUP(CONCATENATE(LEFT(I49,6),AQ49),Prestaciones!$E$491:$H$836,4,FALSE),"La prestación no corresponde al grupo poblacional")))</f>
        <v xml:space="preserve"> </v>
      </c>
      <c r="I49" s="145"/>
      <c r="J49" s="145" t="str">
        <f>IF(OR(ISBLANK(I49),ISBLANK(AQ49))," ",IFERROR(VLOOKUP(CONCATENATE(I49,AQ49),Prestaciones!$E$1:$G$488,3,FALSE),IFERROR(VLOOKUP(CONCATENATE(LEFT(I49,6),AQ49),Prestaciones!$E$491:$H$836,3,FALSE),"La prestación no corresponde al grupo poblacional")))</f>
        <v xml:space="preserve"> </v>
      </c>
      <c r="K49" s="146"/>
      <c r="L49" s="146"/>
      <c r="M49" s="147"/>
      <c r="N49" s="148"/>
      <c r="O49" s="149"/>
      <c r="P49" s="150"/>
      <c r="Q49" s="151"/>
      <c r="R49" s="151"/>
      <c r="S49" s="151"/>
      <c r="T49" s="147"/>
      <c r="U49" s="147"/>
      <c r="V49" s="147"/>
      <c r="W49" s="149"/>
      <c r="X49" s="149"/>
      <c r="Y49" s="147"/>
      <c r="Z49" s="147"/>
      <c r="AA49" s="147"/>
      <c r="AB49" s="147"/>
      <c r="AC49" s="147"/>
      <c r="AD49" s="147"/>
      <c r="AE49" s="152"/>
      <c r="AF49" s="153" t="str">
        <f t="shared" si="3"/>
        <v xml:space="preserve"> </v>
      </c>
      <c r="AG49" s="154" t="str">
        <f t="shared" si="1"/>
        <v>Ingresar fuente de información</v>
      </c>
      <c r="AH49" s="134"/>
      <c r="AI49" s="155"/>
      <c r="AJ49" s="156"/>
      <c r="AK49" s="157"/>
      <c r="AM49" s="158"/>
      <c r="AN49" s="155" t="str">
        <f t="shared" si="2"/>
        <v xml:space="preserve"> </v>
      </c>
      <c r="AO49" s="156"/>
      <c r="AP49" s="157"/>
      <c r="AQ49" s="161"/>
      <c r="AR49" s="160" t="str">
        <f t="shared" si="4"/>
        <v xml:space="preserve"> </v>
      </c>
    </row>
    <row r="50" spans="1:44">
      <c r="A50" s="71"/>
      <c r="B50" s="142"/>
      <c r="C50" s="143"/>
      <c r="D50" s="143"/>
      <c r="E50" s="143"/>
      <c r="F50" s="144"/>
      <c r="G50" s="142"/>
      <c r="H50" s="144" t="str">
        <f>IF(OR(ISBLANK(I50),ISBLANK(AQ50))," ",IFERROR(VLOOKUP(CONCATENATE(I50,AQ50),Prestaciones!$E$1:$H$488,4,FALSE),IFERROR(VLOOKUP(CONCATENATE(LEFT(I50,6),AQ50),Prestaciones!$E$491:$H$836,4,FALSE),"La prestación no corresponde al grupo poblacional")))</f>
        <v xml:space="preserve"> </v>
      </c>
      <c r="I50" s="145"/>
      <c r="J50" s="145" t="str">
        <f>IF(OR(ISBLANK(I50),ISBLANK(AQ50))," ",IFERROR(VLOOKUP(CONCATENATE(I50,AQ50),Prestaciones!$E$1:$G$488,3,FALSE),IFERROR(VLOOKUP(CONCATENATE(LEFT(I50,6),AQ50),Prestaciones!$E$491:$H$836,3,FALSE),"La prestación no corresponde al grupo poblacional")))</f>
        <v xml:space="preserve"> </v>
      </c>
      <c r="K50" s="146"/>
      <c r="L50" s="146"/>
      <c r="M50" s="147"/>
      <c r="N50" s="148"/>
      <c r="O50" s="149"/>
      <c r="P50" s="150"/>
      <c r="Q50" s="151"/>
      <c r="R50" s="151"/>
      <c r="S50" s="151"/>
      <c r="T50" s="147"/>
      <c r="U50" s="147"/>
      <c r="V50" s="147"/>
      <c r="W50" s="149"/>
      <c r="X50" s="149"/>
      <c r="Y50" s="147"/>
      <c r="Z50" s="147"/>
      <c r="AA50" s="147"/>
      <c r="AB50" s="147"/>
      <c r="AC50" s="147"/>
      <c r="AD50" s="147"/>
      <c r="AE50" s="152"/>
      <c r="AF50" s="153" t="str">
        <f t="shared" si="3"/>
        <v xml:space="preserve"> </v>
      </c>
      <c r="AG50" s="154" t="str">
        <f t="shared" si="1"/>
        <v>Ingresar fuente de información</v>
      </c>
      <c r="AH50" s="134"/>
      <c r="AI50" s="155"/>
      <c r="AJ50" s="156"/>
      <c r="AK50" s="157"/>
      <c r="AM50" s="158"/>
      <c r="AN50" s="155" t="str">
        <f t="shared" si="2"/>
        <v xml:space="preserve"> </v>
      </c>
      <c r="AO50" s="156"/>
      <c r="AP50" s="157"/>
      <c r="AQ50" s="161"/>
      <c r="AR50" s="160" t="str">
        <f t="shared" si="4"/>
        <v xml:space="preserve"> </v>
      </c>
    </row>
    <row r="51" spans="1:44">
      <c r="A51" s="71"/>
      <c r="B51" s="142"/>
      <c r="C51" s="143"/>
      <c r="D51" s="143"/>
      <c r="E51" s="143"/>
      <c r="F51" s="144"/>
      <c r="G51" s="142"/>
      <c r="H51" s="144" t="str">
        <f>IF(OR(ISBLANK(I51),ISBLANK(AQ51))," ",IFERROR(VLOOKUP(CONCATENATE(I51,AQ51),Prestaciones!$E$1:$H$488,4,FALSE),IFERROR(VLOOKUP(CONCATENATE(LEFT(I51,6),AQ51),Prestaciones!$E$491:$H$836,4,FALSE),"La prestación no corresponde al grupo poblacional")))</f>
        <v xml:space="preserve"> </v>
      </c>
      <c r="I51" s="145"/>
      <c r="J51" s="145" t="str">
        <f>IF(OR(ISBLANK(I51),ISBLANK(AQ51))," ",IFERROR(VLOOKUP(CONCATENATE(I51,AQ51),Prestaciones!$E$1:$G$488,3,FALSE),IFERROR(VLOOKUP(CONCATENATE(LEFT(I51,6),AQ51),Prestaciones!$E$491:$H$836,3,FALSE),"La prestación no corresponde al grupo poblacional")))</f>
        <v xml:space="preserve"> </v>
      </c>
      <c r="K51" s="146"/>
      <c r="L51" s="146"/>
      <c r="M51" s="147"/>
      <c r="N51" s="148"/>
      <c r="O51" s="149"/>
      <c r="P51" s="150"/>
      <c r="Q51" s="151"/>
      <c r="R51" s="151"/>
      <c r="S51" s="151"/>
      <c r="T51" s="147"/>
      <c r="U51" s="147"/>
      <c r="V51" s="147"/>
      <c r="W51" s="149"/>
      <c r="X51" s="149"/>
      <c r="Y51" s="147"/>
      <c r="Z51" s="147"/>
      <c r="AA51" s="147"/>
      <c r="AB51" s="147"/>
      <c r="AC51" s="147"/>
      <c r="AD51" s="147"/>
      <c r="AE51" s="152"/>
      <c r="AF51" s="153" t="str">
        <f t="shared" si="3"/>
        <v xml:space="preserve"> </v>
      </c>
      <c r="AG51" s="154" t="str">
        <f t="shared" si="1"/>
        <v>Ingresar fuente de información</v>
      </c>
      <c r="AH51" s="134"/>
      <c r="AI51" s="155"/>
      <c r="AJ51" s="156"/>
      <c r="AK51" s="157"/>
      <c r="AM51" s="158"/>
      <c r="AN51" s="155" t="str">
        <f t="shared" si="2"/>
        <v xml:space="preserve"> </v>
      </c>
      <c r="AO51" s="156"/>
      <c r="AP51" s="157"/>
      <c r="AQ51" s="161"/>
      <c r="AR51" s="160" t="str">
        <f t="shared" si="4"/>
        <v xml:space="preserve"> </v>
      </c>
    </row>
    <row r="52" spans="1:44">
      <c r="A52" s="71"/>
      <c r="B52" s="142"/>
      <c r="C52" s="143"/>
      <c r="D52" s="143"/>
      <c r="E52" s="143"/>
      <c r="F52" s="144"/>
      <c r="G52" s="142"/>
      <c r="H52" s="144" t="str">
        <f>IF(OR(ISBLANK(I52),ISBLANK(AQ52))," ",IFERROR(VLOOKUP(CONCATENATE(I52,AQ52),Prestaciones!$E$1:$H$488,4,FALSE),IFERROR(VLOOKUP(CONCATENATE(LEFT(I52,6),AQ52),Prestaciones!$E$491:$H$836,4,FALSE),"La prestación no corresponde al grupo poblacional")))</f>
        <v xml:space="preserve"> </v>
      </c>
      <c r="I52" s="145"/>
      <c r="J52" s="145" t="str">
        <f>IF(OR(ISBLANK(I52),ISBLANK(AQ52))," ",IFERROR(VLOOKUP(CONCATENATE(I52,AQ52),Prestaciones!$E$1:$G$488,3,FALSE),IFERROR(VLOOKUP(CONCATENATE(LEFT(I52,6),AQ52),Prestaciones!$E$491:$H$836,3,FALSE),"La prestación no corresponde al grupo poblacional")))</f>
        <v xml:space="preserve"> </v>
      </c>
      <c r="K52" s="146"/>
      <c r="L52" s="146"/>
      <c r="M52" s="147"/>
      <c r="N52" s="148"/>
      <c r="O52" s="149"/>
      <c r="P52" s="150"/>
      <c r="Q52" s="151"/>
      <c r="R52" s="151"/>
      <c r="S52" s="151"/>
      <c r="T52" s="147"/>
      <c r="U52" s="147"/>
      <c r="V52" s="147"/>
      <c r="W52" s="149"/>
      <c r="X52" s="149"/>
      <c r="Y52" s="147"/>
      <c r="Z52" s="147"/>
      <c r="AA52" s="147"/>
      <c r="AB52" s="147"/>
      <c r="AC52" s="147"/>
      <c r="AD52" s="147"/>
      <c r="AE52" s="152"/>
      <c r="AF52" s="153" t="str">
        <f t="shared" si="3"/>
        <v xml:space="preserve"> </v>
      </c>
      <c r="AG52" s="154" t="str">
        <f t="shared" si="1"/>
        <v>Ingresar fuente de información</v>
      </c>
      <c r="AH52" s="134"/>
      <c r="AI52" s="155"/>
      <c r="AJ52" s="156"/>
      <c r="AK52" s="157"/>
      <c r="AM52" s="158"/>
      <c r="AN52" s="155" t="str">
        <f t="shared" si="2"/>
        <v xml:space="preserve"> </v>
      </c>
      <c r="AO52" s="156"/>
      <c r="AP52" s="157"/>
      <c r="AQ52" s="161"/>
      <c r="AR52" s="160" t="str">
        <f t="shared" si="4"/>
        <v xml:space="preserve"> </v>
      </c>
    </row>
    <row r="53" spans="1:44">
      <c r="A53" s="71"/>
      <c r="B53" s="142"/>
      <c r="C53" s="143"/>
      <c r="D53" s="143"/>
      <c r="E53" s="143"/>
      <c r="F53" s="144"/>
      <c r="G53" s="142"/>
      <c r="H53" s="144" t="str">
        <f>IF(OR(ISBLANK(I53),ISBLANK(AQ53))," ",IFERROR(VLOOKUP(CONCATENATE(I53,AQ53),Prestaciones!$E$1:$H$488,4,FALSE),IFERROR(VLOOKUP(CONCATENATE(LEFT(I53,6),AQ53),Prestaciones!$E$491:$H$836,4,FALSE),"La prestación no corresponde al grupo poblacional")))</f>
        <v xml:space="preserve"> </v>
      </c>
      <c r="I53" s="145"/>
      <c r="J53" s="145" t="str">
        <f>IF(OR(ISBLANK(I53),ISBLANK(AQ53))," ",IFERROR(VLOOKUP(CONCATENATE(I53,AQ53),Prestaciones!$E$1:$G$488,3,FALSE),IFERROR(VLOOKUP(CONCATENATE(LEFT(I53,6),AQ53),Prestaciones!$E$491:$H$836,3,FALSE),"La prestación no corresponde al grupo poblacional")))</f>
        <v xml:space="preserve"> </v>
      </c>
      <c r="K53" s="146"/>
      <c r="L53" s="146"/>
      <c r="M53" s="147"/>
      <c r="N53" s="148"/>
      <c r="O53" s="149"/>
      <c r="P53" s="150"/>
      <c r="Q53" s="151"/>
      <c r="R53" s="151"/>
      <c r="S53" s="151"/>
      <c r="T53" s="147"/>
      <c r="U53" s="147"/>
      <c r="V53" s="147"/>
      <c r="W53" s="149"/>
      <c r="X53" s="149"/>
      <c r="Y53" s="147"/>
      <c r="Z53" s="147"/>
      <c r="AA53" s="147"/>
      <c r="AB53" s="147"/>
      <c r="AC53" s="147"/>
      <c r="AD53" s="147"/>
      <c r="AE53" s="152"/>
      <c r="AF53" s="153" t="str">
        <f t="shared" si="3"/>
        <v xml:space="preserve"> </v>
      </c>
      <c r="AG53" s="154" t="str">
        <f t="shared" si="1"/>
        <v>Ingresar fuente de información</v>
      </c>
      <c r="AH53" s="134"/>
      <c r="AI53" s="155"/>
      <c r="AJ53" s="156"/>
      <c r="AK53" s="157"/>
      <c r="AM53" s="158"/>
      <c r="AN53" s="155" t="str">
        <f t="shared" si="2"/>
        <v xml:space="preserve"> </v>
      </c>
      <c r="AO53" s="156"/>
      <c r="AP53" s="157"/>
      <c r="AQ53" s="161"/>
      <c r="AR53" s="160" t="str">
        <f t="shared" si="4"/>
        <v xml:space="preserve"> </v>
      </c>
    </row>
    <row r="54" spans="1:44">
      <c r="A54" s="71"/>
      <c r="B54" s="142"/>
      <c r="C54" s="143"/>
      <c r="D54" s="143"/>
      <c r="E54" s="143"/>
      <c r="F54" s="144"/>
      <c r="G54" s="142"/>
      <c r="H54" s="144" t="str">
        <f>IF(OR(ISBLANK(I54),ISBLANK(AQ54))," ",IFERROR(VLOOKUP(CONCATENATE(I54,AQ54),Prestaciones!$E$1:$H$488,4,FALSE),IFERROR(VLOOKUP(CONCATENATE(LEFT(I54,6),AQ54),Prestaciones!$E$491:$H$836,4,FALSE),"La prestación no corresponde al grupo poblacional")))</f>
        <v xml:space="preserve"> </v>
      </c>
      <c r="I54" s="145"/>
      <c r="J54" s="145" t="str">
        <f>IF(OR(ISBLANK(I54),ISBLANK(AQ54))," ",IFERROR(VLOOKUP(CONCATENATE(I54,AQ54),Prestaciones!$E$1:$G$488,3,FALSE),IFERROR(VLOOKUP(CONCATENATE(LEFT(I54,6),AQ54),Prestaciones!$E$491:$H$836,3,FALSE),"La prestación no corresponde al grupo poblacional")))</f>
        <v xml:space="preserve"> </v>
      </c>
      <c r="K54" s="146"/>
      <c r="L54" s="146"/>
      <c r="M54" s="147"/>
      <c r="N54" s="148"/>
      <c r="O54" s="149"/>
      <c r="P54" s="150"/>
      <c r="Q54" s="151"/>
      <c r="R54" s="151"/>
      <c r="S54" s="151"/>
      <c r="T54" s="147"/>
      <c r="U54" s="147"/>
      <c r="V54" s="147"/>
      <c r="W54" s="149"/>
      <c r="X54" s="149"/>
      <c r="Y54" s="147"/>
      <c r="Z54" s="147"/>
      <c r="AA54" s="147"/>
      <c r="AB54" s="147"/>
      <c r="AC54" s="147"/>
      <c r="AD54" s="147"/>
      <c r="AE54" s="152"/>
      <c r="AF54" s="153" t="str">
        <f t="shared" si="3"/>
        <v xml:space="preserve"> </v>
      </c>
      <c r="AG54" s="154" t="str">
        <f t="shared" si="1"/>
        <v>Ingresar fuente de información</v>
      </c>
      <c r="AH54" s="134"/>
      <c r="AI54" s="155"/>
      <c r="AJ54" s="156"/>
      <c r="AK54" s="157"/>
      <c r="AM54" s="158"/>
      <c r="AN54" s="155" t="str">
        <f t="shared" si="2"/>
        <v xml:space="preserve"> </v>
      </c>
      <c r="AO54" s="156"/>
      <c r="AP54" s="157"/>
      <c r="AQ54" s="161"/>
      <c r="AR54" s="160" t="str">
        <f t="shared" si="4"/>
        <v xml:space="preserve"> </v>
      </c>
    </row>
    <row r="55" spans="1:44">
      <c r="A55" s="71"/>
      <c r="B55" s="142"/>
      <c r="C55" s="143"/>
      <c r="D55" s="143"/>
      <c r="E55" s="143"/>
      <c r="F55" s="144"/>
      <c r="G55" s="142"/>
      <c r="H55" s="144" t="str">
        <f>IF(OR(ISBLANK(I55),ISBLANK(AQ55))," ",IFERROR(VLOOKUP(CONCATENATE(I55,AQ55),Prestaciones!$E$1:$H$488,4,FALSE),IFERROR(VLOOKUP(CONCATENATE(LEFT(I55,6),AQ55),Prestaciones!$E$491:$H$836,4,FALSE),"La prestación no corresponde al grupo poblacional")))</f>
        <v xml:space="preserve"> </v>
      </c>
      <c r="I55" s="145"/>
      <c r="J55" s="145" t="str">
        <f>IF(OR(ISBLANK(I55),ISBLANK(AQ55))," ",IFERROR(VLOOKUP(CONCATENATE(I55,AQ55),Prestaciones!$E$1:$G$488,3,FALSE),IFERROR(VLOOKUP(CONCATENATE(LEFT(I55,6),AQ55),Prestaciones!$E$491:$H$836,3,FALSE),"La prestación no corresponde al grupo poblacional")))</f>
        <v xml:space="preserve"> </v>
      </c>
      <c r="K55" s="146"/>
      <c r="L55" s="146"/>
      <c r="M55" s="147"/>
      <c r="N55" s="148"/>
      <c r="O55" s="149"/>
      <c r="P55" s="150"/>
      <c r="Q55" s="151"/>
      <c r="R55" s="151"/>
      <c r="S55" s="151"/>
      <c r="T55" s="147"/>
      <c r="U55" s="147"/>
      <c r="V55" s="147"/>
      <c r="W55" s="149"/>
      <c r="X55" s="149"/>
      <c r="Y55" s="147"/>
      <c r="Z55" s="147"/>
      <c r="AA55" s="147"/>
      <c r="AB55" s="147"/>
      <c r="AC55" s="147"/>
      <c r="AD55" s="147"/>
      <c r="AE55" s="152"/>
      <c r="AF55" s="153" t="str">
        <f t="shared" si="3"/>
        <v xml:space="preserve"> </v>
      </c>
      <c r="AG55" s="154" t="str">
        <f t="shared" si="1"/>
        <v>Ingresar fuente de información</v>
      </c>
      <c r="AH55" s="134"/>
      <c r="AI55" s="155"/>
      <c r="AJ55" s="156"/>
      <c r="AK55" s="157"/>
      <c r="AM55" s="158"/>
      <c r="AN55" s="155" t="str">
        <f t="shared" si="2"/>
        <v xml:space="preserve"> </v>
      </c>
      <c r="AO55" s="156"/>
      <c r="AP55" s="157"/>
      <c r="AQ55" s="161"/>
      <c r="AR55" s="160" t="str">
        <f t="shared" si="4"/>
        <v xml:space="preserve"> </v>
      </c>
    </row>
    <row r="56" spans="1:44">
      <c r="A56" s="71"/>
      <c r="B56" s="142"/>
      <c r="C56" s="143"/>
      <c r="D56" s="143"/>
      <c r="E56" s="143"/>
      <c r="F56" s="144"/>
      <c r="G56" s="142"/>
      <c r="H56" s="144" t="str">
        <f>IF(OR(ISBLANK(I56),ISBLANK(AQ56))," ",IFERROR(VLOOKUP(CONCATENATE(I56,AQ56),Prestaciones!$E$1:$H$488,4,FALSE),IFERROR(VLOOKUP(CONCATENATE(LEFT(I56,6),AQ56),Prestaciones!$E$491:$H$836,4,FALSE),"La prestación no corresponde al grupo poblacional")))</f>
        <v xml:space="preserve"> </v>
      </c>
      <c r="I56" s="145"/>
      <c r="J56" s="145" t="str">
        <f>IF(OR(ISBLANK(I56),ISBLANK(AQ56))," ",IFERROR(VLOOKUP(CONCATENATE(I56,AQ56),Prestaciones!$E$1:$G$488,3,FALSE),IFERROR(VLOOKUP(CONCATENATE(LEFT(I56,6),AQ56),Prestaciones!$E$491:$H$836,3,FALSE),"La prestación no corresponde al grupo poblacional")))</f>
        <v xml:space="preserve"> </v>
      </c>
      <c r="K56" s="146"/>
      <c r="L56" s="146"/>
      <c r="M56" s="147"/>
      <c r="N56" s="148"/>
      <c r="O56" s="149"/>
      <c r="P56" s="150"/>
      <c r="Q56" s="151"/>
      <c r="R56" s="151"/>
      <c r="S56" s="151"/>
      <c r="T56" s="147"/>
      <c r="U56" s="147"/>
      <c r="V56" s="147"/>
      <c r="W56" s="149"/>
      <c r="X56" s="149"/>
      <c r="Y56" s="147"/>
      <c r="Z56" s="147"/>
      <c r="AA56" s="147"/>
      <c r="AB56" s="147"/>
      <c r="AC56" s="147"/>
      <c r="AD56" s="147"/>
      <c r="AE56" s="152"/>
      <c r="AF56" s="153" t="str">
        <f t="shared" si="3"/>
        <v xml:space="preserve"> </v>
      </c>
      <c r="AG56" s="154" t="str">
        <f t="shared" si="1"/>
        <v>Ingresar fuente de información</v>
      </c>
      <c r="AH56" s="134"/>
      <c r="AI56" s="155"/>
      <c r="AJ56" s="156"/>
      <c r="AK56" s="157"/>
      <c r="AM56" s="158"/>
      <c r="AN56" s="155" t="str">
        <f t="shared" si="2"/>
        <v xml:space="preserve"> </v>
      </c>
      <c r="AO56" s="156"/>
      <c r="AP56" s="157"/>
      <c r="AQ56" s="161"/>
      <c r="AR56" s="160" t="str">
        <f t="shared" si="4"/>
        <v xml:space="preserve"> </v>
      </c>
    </row>
    <row r="57" spans="1:44">
      <c r="A57" s="71"/>
      <c r="B57" s="142"/>
      <c r="C57" s="143"/>
      <c r="D57" s="143"/>
      <c r="E57" s="143"/>
      <c r="F57" s="144"/>
      <c r="G57" s="142"/>
      <c r="H57" s="144" t="str">
        <f>IF(OR(ISBLANK(I57),ISBLANK(AQ57))," ",IFERROR(VLOOKUP(CONCATENATE(I57,AQ57),Prestaciones!$E$1:$H$488,4,FALSE),IFERROR(VLOOKUP(CONCATENATE(LEFT(I57,6),AQ57),Prestaciones!$E$491:$H$836,4,FALSE),"La prestación no corresponde al grupo poblacional")))</f>
        <v xml:space="preserve"> </v>
      </c>
      <c r="I57" s="145"/>
      <c r="J57" s="145" t="str">
        <f>IF(OR(ISBLANK(I57),ISBLANK(AQ57))," ",IFERROR(VLOOKUP(CONCATENATE(I57,AQ57),Prestaciones!$E$1:$G$488,3,FALSE),IFERROR(VLOOKUP(CONCATENATE(LEFT(I57,6),AQ57),Prestaciones!$E$491:$H$836,3,FALSE),"La prestación no corresponde al grupo poblacional")))</f>
        <v xml:space="preserve"> </v>
      </c>
      <c r="K57" s="146"/>
      <c r="L57" s="146"/>
      <c r="M57" s="147"/>
      <c r="N57" s="148"/>
      <c r="O57" s="149"/>
      <c r="P57" s="150"/>
      <c r="Q57" s="151"/>
      <c r="R57" s="151"/>
      <c r="S57" s="151"/>
      <c r="T57" s="147"/>
      <c r="U57" s="147"/>
      <c r="V57" s="147"/>
      <c r="W57" s="149"/>
      <c r="X57" s="149"/>
      <c r="Y57" s="147"/>
      <c r="Z57" s="147"/>
      <c r="AA57" s="147"/>
      <c r="AB57" s="147"/>
      <c r="AC57" s="147"/>
      <c r="AD57" s="147"/>
      <c r="AE57" s="152"/>
      <c r="AF57" s="153" t="str">
        <f t="shared" si="3"/>
        <v xml:space="preserve"> </v>
      </c>
      <c r="AG57" s="154" t="str">
        <f t="shared" si="1"/>
        <v>Ingresar fuente de información</v>
      </c>
      <c r="AH57" s="134"/>
      <c r="AI57" s="155"/>
      <c r="AJ57" s="156"/>
      <c r="AK57" s="157"/>
      <c r="AM57" s="158"/>
      <c r="AN57" s="155" t="str">
        <f t="shared" si="2"/>
        <v xml:space="preserve"> </v>
      </c>
      <c r="AO57" s="156"/>
      <c r="AP57" s="157"/>
      <c r="AQ57" s="161"/>
      <c r="AR57" s="160" t="str">
        <f t="shared" si="4"/>
        <v xml:space="preserve"> </v>
      </c>
    </row>
    <row r="58" spans="1:44">
      <c r="A58" s="71"/>
      <c r="B58" s="142"/>
      <c r="C58" s="143"/>
      <c r="D58" s="143"/>
      <c r="E58" s="143"/>
      <c r="F58" s="144"/>
      <c r="G58" s="142"/>
      <c r="H58" s="144" t="str">
        <f>IF(OR(ISBLANK(I58),ISBLANK(AQ58))," ",IFERROR(VLOOKUP(CONCATENATE(I58,AQ58),Prestaciones!$E$1:$H$488,4,FALSE),IFERROR(VLOOKUP(CONCATENATE(LEFT(I58,6),AQ58),Prestaciones!$E$491:$H$836,4,FALSE),"La prestación no corresponde al grupo poblacional")))</f>
        <v xml:space="preserve"> </v>
      </c>
      <c r="I58" s="145"/>
      <c r="J58" s="145" t="str">
        <f>IF(OR(ISBLANK(I58),ISBLANK(AQ58))," ",IFERROR(VLOOKUP(CONCATENATE(I58,AQ58),Prestaciones!$E$1:$G$488,3,FALSE),IFERROR(VLOOKUP(CONCATENATE(LEFT(I58,6),AQ58),Prestaciones!$E$491:$H$836,3,FALSE),"La prestación no corresponde al grupo poblacional")))</f>
        <v xml:space="preserve"> </v>
      </c>
      <c r="K58" s="146"/>
      <c r="L58" s="146"/>
      <c r="M58" s="147"/>
      <c r="N58" s="148"/>
      <c r="O58" s="149"/>
      <c r="P58" s="150"/>
      <c r="Q58" s="151"/>
      <c r="R58" s="151"/>
      <c r="S58" s="151"/>
      <c r="T58" s="147"/>
      <c r="U58" s="147"/>
      <c r="V58" s="147"/>
      <c r="W58" s="149"/>
      <c r="X58" s="149"/>
      <c r="Y58" s="147"/>
      <c r="Z58" s="147"/>
      <c r="AA58" s="147"/>
      <c r="AB58" s="147"/>
      <c r="AC58" s="147"/>
      <c r="AD58" s="147"/>
      <c r="AE58" s="152"/>
      <c r="AF58" s="153" t="str">
        <f t="shared" si="3"/>
        <v xml:space="preserve"> </v>
      </c>
      <c r="AG58" s="154" t="str">
        <f t="shared" si="1"/>
        <v>Ingresar fuente de información</v>
      </c>
      <c r="AH58" s="134"/>
      <c r="AI58" s="155"/>
      <c r="AJ58" s="156"/>
      <c r="AK58" s="157"/>
      <c r="AM58" s="158"/>
      <c r="AN58" s="155" t="str">
        <f t="shared" si="2"/>
        <v xml:space="preserve"> </v>
      </c>
      <c r="AO58" s="156"/>
      <c r="AP58" s="157"/>
      <c r="AQ58" s="161"/>
      <c r="AR58" s="160" t="str">
        <f t="shared" si="4"/>
        <v xml:space="preserve"> </v>
      </c>
    </row>
    <row r="59" spans="1:44">
      <c r="A59" s="71"/>
      <c r="B59" s="142"/>
      <c r="C59" s="143"/>
      <c r="D59" s="143"/>
      <c r="E59" s="143"/>
      <c r="F59" s="144"/>
      <c r="G59" s="142"/>
      <c r="H59" s="144" t="str">
        <f>IF(OR(ISBLANK(I59),ISBLANK(AQ59))," ",IFERROR(VLOOKUP(CONCATENATE(I59,AQ59),Prestaciones!$E$1:$H$488,4,FALSE),IFERROR(VLOOKUP(CONCATENATE(LEFT(I59,6),AQ59),Prestaciones!$E$491:$H$836,4,FALSE),"La prestación no corresponde al grupo poblacional")))</f>
        <v xml:space="preserve"> </v>
      </c>
      <c r="I59" s="145"/>
      <c r="J59" s="145" t="str">
        <f>IF(OR(ISBLANK(I59),ISBLANK(AQ59))," ",IFERROR(VLOOKUP(CONCATENATE(I59,AQ59),Prestaciones!$E$1:$G$488,3,FALSE),IFERROR(VLOOKUP(CONCATENATE(LEFT(I59,6),AQ59),Prestaciones!$E$491:$H$836,3,FALSE),"La prestación no corresponde al grupo poblacional")))</f>
        <v xml:space="preserve"> </v>
      </c>
      <c r="K59" s="146"/>
      <c r="L59" s="146"/>
      <c r="M59" s="147"/>
      <c r="N59" s="148"/>
      <c r="O59" s="149"/>
      <c r="P59" s="150"/>
      <c r="Q59" s="151"/>
      <c r="R59" s="151"/>
      <c r="S59" s="151"/>
      <c r="T59" s="147"/>
      <c r="U59" s="147"/>
      <c r="V59" s="147"/>
      <c r="W59" s="149"/>
      <c r="X59" s="149"/>
      <c r="Y59" s="147"/>
      <c r="Z59" s="147"/>
      <c r="AA59" s="147"/>
      <c r="AB59" s="147"/>
      <c r="AC59" s="147"/>
      <c r="AD59" s="147"/>
      <c r="AE59" s="152"/>
      <c r="AF59" s="153" t="str">
        <f t="shared" si="3"/>
        <v xml:space="preserve"> </v>
      </c>
      <c r="AG59" s="154" t="str">
        <f t="shared" si="1"/>
        <v>Ingresar fuente de información</v>
      </c>
      <c r="AH59" s="134"/>
      <c r="AI59" s="155"/>
      <c r="AJ59" s="156"/>
      <c r="AK59" s="157"/>
      <c r="AM59" s="158"/>
      <c r="AN59" s="155" t="str">
        <f t="shared" si="2"/>
        <v xml:space="preserve"> </v>
      </c>
      <c r="AO59" s="156"/>
      <c r="AP59" s="157"/>
      <c r="AQ59" s="161"/>
      <c r="AR59" s="160" t="str">
        <f t="shared" si="4"/>
        <v xml:space="preserve"> </v>
      </c>
    </row>
    <row r="60" spans="1:44">
      <c r="A60" s="71"/>
      <c r="B60" s="142"/>
      <c r="C60" s="143"/>
      <c r="D60" s="143"/>
      <c r="E60" s="143"/>
      <c r="F60" s="144"/>
      <c r="G60" s="142"/>
      <c r="H60" s="144" t="str">
        <f>IF(OR(ISBLANK(I60),ISBLANK(AQ60))," ",IFERROR(VLOOKUP(CONCATENATE(I60,AQ60),Prestaciones!$E$1:$H$488,4,FALSE),IFERROR(VLOOKUP(CONCATENATE(LEFT(I60,6),AQ60),Prestaciones!$E$491:$H$836,4,FALSE),"La prestación no corresponde al grupo poblacional")))</f>
        <v xml:space="preserve"> </v>
      </c>
      <c r="I60" s="145"/>
      <c r="J60" s="145" t="str">
        <f>IF(OR(ISBLANK(I60),ISBLANK(AQ60))," ",IFERROR(VLOOKUP(CONCATENATE(I60,AQ60),Prestaciones!$E$1:$G$488,3,FALSE),IFERROR(VLOOKUP(CONCATENATE(LEFT(I60,6),AQ60),Prestaciones!$E$491:$H$836,3,FALSE),"La prestación no corresponde al grupo poblacional")))</f>
        <v xml:space="preserve"> </v>
      </c>
      <c r="K60" s="146"/>
      <c r="L60" s="146"/>
      <c r="M60" s="147"/>
      <c r="N60" s="148"/>
      <c r="O60" s="149"/>
      <c r="P60" s="150"/>
      <c r="Q60" s="151"/>
      <c r="R60" s="151"/>
      <c r="S60" s="151"/>
      <c r="T60" s="147"/>
      <c r="U60" s="147"/>
      <c r="V60" s="147"/>
      <c r="W60" s="149"/>
      <c r="X60" s="149"/>
      <c r="Y60" s="147"/>
      <c r="Z60" s="147"/>
      <c r="AA60" s="147"/>
      <c r="AB60" s="147"/>
      <c r="AC60" s="147"/>
      <c r="AD60" s="147"/>
      <c r="AE60" s="152"/>
      <c r="AF60" s="153" t="str">
        <f t="shared" si="3"/>
        <v xml:space="preserve"> </v>
      </c>
      <c r="AG60" s="154" t="str">
        <f t="shared" si="1"/>
        <v>Ingresar fuente de información</v>
      </c>
      <c r="AH60" s="134"/>
      <c r="AI60" s="155"/>
      <c r="AJ60" s="156"/>
      <c r="AK60" s="157"/>
      <c r="AM60" s="158"/>
      <c r="AN60" s="155" t="str">
        <f t="shared" si="2"/>
        <v xml:space="preserve"> </v>
      </c>
      <c r="AO60" s="156"/>
      <c r="AP60" s="157"/>
      <c r="AQ60" s="161"/>
      <c r="AR60" s="160" t="str">
        <f t="shared" si="4"/>
        <v xml:space="preserve"> </v>
      </c>
    </row>
    <row r="61" spans="1:44">
      <c r="A61" s="71"/>
      <c r="B61" s="142"/>
      <c r="C61" s="143"/>
      <c r="D61" s="143"/>
      <c r="E61" s="143"/>
      <c r="F61" s="144"/>
      <c r="G61" s="142"/>
      <c r="H61" s="144" t="str">
        <f>IF(OR(ISBLANK(I61),ISBLANK(AQ61))," ",IFERROR(VLOOKUP(CONCATENATE(I61,AQ61),Prestaciones!$E$1:$H$488,4,FALSE),IFERROR(VLOOKUP(CONCATENATE(LEFT(I61,6),AQ61),Prestaciones!$E$491:$H$836,4,FALSE),"La prestación no corresponde al grupo poblacional")))</f>
        <v xml:space="preserve"> </v>
      </c>
      <c r="I61" s="145"/>
      <c r="J61" s="145" t="str">
        <f>IF(OR(ISBLANK(I61),ISBLANK(AQ61))," ",IFERROR(VLOOKUP(CONCATENATE(I61,AQ61),Prestaciones!$E$1:$G$488,3,FALSE),IFERROR(VLOOKUP(CONCATENATE(LEFT(I61,6),AQ61),Prestaciones!$E$491:$H$836,3,FALSE),"La prestación no corresponde al grupo poblacional")))</f>
        <v xml:space="preserve"> </v>
      </c>
      <c r="K61" s="146"/>
      <c r="L61" s="146"/>
      <c r="M61" s="147"/>
      <c r="N61" s="148"/>
      <c r="O61" s="149"/>
      <c r="P61" s="150"/>
      <c r="Q61" s="151"/>
      <c r="R61" s="151"/>
      <c r="S61" s="151"/>
      <c r="T61" s="147"/>
      <c r="U61" s="147"/>
      <c r="V61" s="147"/>
      <c r="W61" s="149"/>
      <c r="X61" s="149"/>
      <c r="Y61" s="147"/>
      <c r="Z61" s="147"/>
      <c r="AA61" s="147"/>
      <c r="AB61" s="147"/>
      <c r="AC61" s="147"/>
      <c r="AD61" s="147"/>
      <c r="AE61" s="152"/>
      <c r="AF61" s="153" t="str">
        <f t="shared" si="3"/>
        <v xml:space="preserve"> </v>
      </c>
      <c r="AG61" s="154" t="str">
        <f t="shared" si="1"/>
        <v>Ingresar fuente de información</v>
      </c>
      <c r="AH61" s="134"/>
      <c r="AI61" s="155"/>
      <c r="AJ61" s="156"/>
      <c r="AK61" s="157"/>
      <c r="AM61" s="158"/>
      <c r="AN61" s="155" t="str">
        <f t="shared" si="2"/>
        <v xml:space="preserve"> </v>
      </c>
      <c r="AO61" s="156"/>
      <c r="AP61" s="157"/>
      <c r="AQ61" s="161"/>
      <c r="AR61" s="160" t="str">
        <f t="shared" si="4"/>
        <v xml:space="preserve"> </v>
      </c>
    </row>
    <row r="62" spans="1:44">
      <c r="A62" s="71"/>
      <c r="B62" s="142"/>
      <c r="C62" s="143"/>
      <c r="D62" s="143"/>
      <c r="E62" s="143"/>
      <c r="F62" s="144"/>
      <c r="G62" s="142"/>
      <c r="H62" s="144" t="str">
        <f>IF(OR(ISBLANK(I62),ISBLANK(AQ62))," ",IFERROR(VLOOKUP(CONCATENATE(I62,AQ62),Prestaciones!$E$1:$H$488,4,FALSE),IFERROR(VLOOKUP(CONCATENATE(LEFT(I62,6),AQ62),Prestaciones!$E$491:$H$836,4,FALSE),"La prestación no corresponde al grupo poblacional")))</f>
        <v xml:space="preserve"> </v>
      </c>
      <c r="I62" s="145"/>
      <c r="J62" s="145" t="str">
        <f>IF(OR(ISBLANK(I62),ISBLANK(AQ62))," ",IFERROR(VLOOKUP(CONCATENATE(I62,AQ62),Prestaciones!$E$1:$G$488,3,FALSE),IFERROR(VLOOKUP(CONCATENATE(LEFT(I62,6),AQ62),Prestaciones!$E$491:$H$836,3,FALSE),"La prestación no corresponde al grupo poblacional")))</f>
        <v xml:space="preserve"> </v>
      </c>
      <c r="K62" s="146"/>
      <c r="L62" s="146"/>
      <c r="M62" s="147"/>
      <c r="N62" s="148"/>
      <c r="O62" s="149"/>
      <c r="P62" s="150"/>
      <c r="Q62" s="151"/>
      <c r="R62" s="151"/>
      <c r="S62" s="151"/>
      <c r="T62" s="147"/>
      <c r="U62" s="147"/>
      <c r="V62" s="147"/>
      <c r="W62" s="149"/>
      <c r="X62" s="149"/>
      <c r="Y62" s="147"/>
      <c r="Z62" s="147"/>
      <c r="AA62" s="147"/>
      <c r="AB62" s="147"/>
      <c r="AC62" s="147"/>
      <c r="AD62" s="147"/>
      <c r="AE62" s="152"/>
      <c r="AF62" s="153" t="str">
        <f t="shared" si="3"/>
        <v xml:space="preserve"> </v>
      </c>
      <c r="AG62" s="154" t="str">
        <f t="shared" si="1"/>
        <v>Ingresar fuente de información</v>
      </c>
      <c r="AH62" s="134"/>
      <c r="AI62" s="155"/>
      <c r="AJ62" s="156"/>
      <c r="AK62" s="157"/>
      <c r="AM62" s="158"/>
      <c r="AN62" s="155" t="str">
        <f t="shared" si="2"/>
        <v xml:space="preserve"> </v>
      </c>
      <c r="AO62" s="156"/>
      <c r="AP62" s="157"/>
      <c r="AQ62" s="161"/>
      <c r="AR62" s="160" t="str">
        <f t="shared" si="4"/>
        <v xml:space="preserve"> </v>
      </c>
    </row>
    <row r="63" spans="1:44">
      <c r="A63" s="71"/>
      <c r="B63" s="142"/>
      <c r="C63" s="143"/>
      <c r="D63" s="143"/>
      <c r="E63" s="143"/>
      <c r="F63" s="144"/>
      <c r="G63" s="142"/>
      <c r="H63" s="144" t="str">
        <f>IF(OR(ISBLANK(I63),ISBLANK(AQ63))," ",IFERROR(VLOOKUP(CONCATENATE(I63,AQ63),Prestaciones!$E$1:$H$488,4,FALSE),IFERROR(VLOOKUP(CONCATENATE(LEFT(I63,6),AQ63),Prestaciones!$E$491:$H$836,4,FALSE),"La prestación no corresponde al grupo poblacional")))</f>
        <v xml:space="preserve"> </v>
      </c>
      <c r="I63" s="145"/>
      <c r="J63" s="145" t="str">
        <f>IF(OR(ISBLANK(I63),ISBLANK(AQ63))," ",IFERROR(VLOOKUP(CONCATENATE(I63,AQ63),Prestaciones!$E$1:$G$488,3,FALSE),IFERROR(VLOOKUP(CONCATENATE(LEFT(I63,6),AQ63),Prestaciones!$E$491:$H$836,3,FALSE),"La prestación no corresponde al grupo poblacional")))</f>
        <v xml:space="preserve"> </v>
      </c>
      <c r="K63" s="146"/>
      <c r="L63" s="146"/>
      <c r="M63" s="147"/>
      <c r="N63" s="148"/>
      <c r="O63" s="149"/>
      <c r="P63" s="150"/>
      <c r="Q63" s="151"/>
      <c r="R63" s="151"/>
      <c r="S63" s="151"/>
      <c r="T63" s="147"/>
      <c r="U63" s="147"/>
      <c r="V63" s="147"/>
      <c r="W63" s="149"/>
      <c r="X63" s="149"/>
      <c r="Y63" s="147"/>
      <c r="Z63" s="147"/>
      <c r="AA63" s="147"/>
      <c r="AB63" s="147"/>
      <c r="AC63" s="147"/>
      <c r="AD63" s="147"/>
      <c r="AE63" s="152"/>
      <c r="AF63" s="153" t="str">
        <f t="shared" si="3"/>
        <v xml:space="preserve"> </v>
      </c>
      <c r="AG63" s="154" t="str">
        <f t="shared" si="1"/>
        <v>Ingresar fuente de información</v>
      </c>
      <c r="AH63" s="134"/>
      <c r="AI63" s="155"/>
      <c r="AJ63" s="156"/>
      <c r="AK63" s="157"/>
      <c r="AM63" s="158"/>
      <c r="AN63" s="155" t="str">
        <f t="shared" si="2"/>
        <v xml:space="preserve"> </v>
      </c>
      <c r="AO63" s="156"/>
      <c r="AP63" s="157"/>
      <c r="AQ63" s="161"/>
      <c r="AR63" s="160" t="str">
        <f t="shared" si="4"/>
        <v xml:space="preserve"> </v>
      </c>
    </row>
    <row r="64" spans="1:44">
      <c r="A64" s="71"/>
      <c r="B64" s="142"/>
      <c r="C64" s="143"/>
      <c r="D64" s="143"/>
      <c r="E64" s="143"/>
      <c r="F64" s="144"/>
      <c r="G64" s="142"/>
      <c r="H64" s="144" t="str">
        <f>IF(OR(ISBLANK(I64),ISBLANK(AQ64))," ",IFERROR(VLOOKUP(CONCATENATE(I64,AQ64),Prestaciones!$E$1:$H$488,4,FALSE),IFERROR(VLOOKUP(CONCATENATE(LEFT(I64,6),AQ64),Prestaciones!$E$491:$H$836,4,FALSE),"La prestación no corresponde al grupo poblacional")))</f>
        <v xml:space="preserve"> </v>
      </c>
      <c r="I64" s="145"/>
      <c r="J64" s="145" t="str">
        <f>IF(OR(ISBLANK(I64),ISBLANK(AQ64))," ",IFERROR(VLOOKUP(CONCATENATE(I64,AQ64),Prestaciones!$E$1:$G$488,3,FALSE),IFERROR(VLOOKUP(CONCATENATE(LEFT(I64,6),AQ64),Prestaciones!$E$491:$H$836,3,FALSE),"La prestación no corresponde al grupo poblacional")))</f>
        <v xml:space="preserve"> </v>
      </c>
      <c r="K64" s="146"/>
      <c r="L64" s="146"/>
      <c r="M64" s="147"/>
      <c r="N64" s="148"/>
      <c r="O64" s="149"/>
      <c r="P64" s="150"/>
      <c r="Q64" s="151"/>
      <c r="R64" s="151"/>
      <c r="S64" s="151"/>
      <c r="T64" s="147"/>
      <c r="U64" s="147"/>
      <c r="V64" s="147"/>
      <c r="W64" s="149"/>
      <c r="X64" s="149"/>
      <c r="Y64" s="147"/>
      <c r="Z64" s="147"/>
      <c r="AA64" s="147"/>
      <c r="AB64" s="147"/>
      <c r="AC64" s="147"/>
      <c r="AD64" s="147"/>
      <c r="AE64" s="152"/>
      <c r="AF64" s="153" t="str">
        <f t="shared" si="3"/>
        <v xml:space="preserve"> </v>
      </c>
      <c r="AG64" s="154" t="str">
        <f t="shared" si="1"/>
        <v>Ingresar fuente de información</v>
      </c>
      <c r="AH64" s="134"/>
      <c r="AI64" s="155"/>
      <c r="AJ64" s="156"/>
      <c r="AK64" s="157"/>
      <c r="AM64" s="158"/>
      <c r="AN64" s="155" t="str">
        <f t="shared" si="2"/>
        <v xml:space="preserve"> </v>
      </c>
      <c r="AO64" s="156"/>
      <c r="AP64" s="157"/>
      <c r="AQ64" s="161"/>
      <c r="AR64" s="160" t="str">
        <f t="shared" si="4"/>
        <v xml:space="preserve"> </v>
      </c>
    </row>
    <row r="65" spans="1:44">
      <c r="A65" s="71"/>
      <c r="B65" s="142"/>
      <c r="C65" s="143"/>
      <c r="D65" s="143"/>
      <c r="E65" s="143"/>
      <c r="F65" s="144"/>
      <c r="G65" s="142"/>
      <c r="H65" s="144" t="str">
        <f>IF(OR(ISBLANK(I65),ISBLANK(AQ65))," ",IFERROR(VLOOKUP(CONCATENATE(I65,AQ65),Prestaciones!$E$1:$H$488,4,FALSE),IFERROR(VLOOKUP(CONCATENATE(LEFT(I65,6),AQ65),Prestaciones!$E$491:$H$836,4,FALSE),"La prestación no corresponde al grupo poblacional")))</f>
        <v xml:space="preserve"> </v>
      </c>
      <c r="I65" s="145"/>
      <c r="J65" s="145" t="str">
        <f>IF(OR(ISBLANK(I65),ISBLANK(AQ65))," ",IFERROR(VLOOKUP(CONCATENATE(I65,AQ65),Prestaciones!$E$1:$G$488,3,FALSE),IFERROR(VLOOKUP(CONCATENATE(LEFT(I65,6),AQ65),Prestaciones!$E$491:$H$836,3,FALSE),"La prestación no corresponde al grupo poblacional")))</f>
        <v xml:space="preserve"> </v>
      </c>
      <c r="K65" s="146"/>
      <c r="L65" s="146"/>
      <c r="M65" s="147"/>
      <c r="N65" s="148"/>
      <c r="O65" s="149"/>
      <c r="P65" s="150"/>
      <c r="Q65" s="151"/>
      <c r="R65" s="151"/>
      <c r="S65" s="151"/>
      <c r="T65" s="147"/>
      <c r="U65" s="147"/>
      <c r="V65" s="147"/>
      <c r="W65" s="149"/>
      <c r="X65" s="149"/>
      <c r="Y65" s="147"/>
      <c r="Z65" s="147"/>
      <c r="AA65" s="147"/>
      <c r="AB65" s="147"/>
      <c r="AC65" s="147"/>
      <c r="AD65" s="147"/>
      <c r="AE65" s="152"/>
      <c r="AF65" s="153" t="str">
        <f t="shared" si="3"/>
        <v xml:space="preserve"> </v>
      </c>
      <c r="AG65" s="154" t="str">
        <f t="shared" si="1"/>
        <v>Ingresar fuente de información</v>
      </c>
      <c r="AH65" s="134"/>
      <c r="AI65" s="155"/>
      <c r="AJ65" s="156"/>
      <c r="AK65" s="157"/>
      <c r="AM65" s="158"/>
      <c r="AN65" s="155" t="str">
        <f t="shared" si="2"/>
        <v xml:space="preserve"> </v>
      </c>
      <c r="AO65" s="156"/>
      <c r="AP65" s="157"/>
      <c r="AQ65" s="161"/>
      <c r="AR65" s="160" t="str">
        <f t="shared" si="4"/>
        <v xml:space="preserve"> </v>
      </c>
    </row>
    <row r="66" spans="1:44">
      <c r="A66" s="71"/>
      <c r="B66" s="142"/>
      <c r="C66" s="143"/>
      <c r="D66" s="143"/>
      <c r="E66" s="143"/>
      <c r="F66" s="144"/>
      <c r="G66" s="142"/>
      <c r="H66" s="144" t="str">
        <f>IF(OR(ISBLANK(I66),ISBLANK(AQ66))," ",IFERROR(VLOOKUP(CONCATENATE(I66,AQ66),Prestaciones!$E$1:$H$488,4,FALSE),IFERROR(VLOOKUP(CONCATENATE(LEFT(I66,6),AQ66),Prestaciones!$E$491:$H$836,4,FALSE),"La prestación no corresponde al grupo poblacional")))</f>
        <v xml:space="preserve"> </v>
      </c>
      <c r="I66" s="145"/>
      <c r="J66" s="145" t="str">
        <f>IF(OR(ISBLANK(I66),ISBLANK(AQ66))," ",IFERROR(VLOOKUP(CONCATENATE(I66,AQ66),Prestaciones!$E$1:$G$488,3,FALSE),IFERROR(VLOOKUP(CONCATENATE(LEFT(I66,6),AQ66),Prestaciones!$E$491:$H$836,3,FALSE),"La prestación no corresponde al grupo poblacional")))</f>
        <v xml:space="preserve"> </v>
      </c>
      <c r="K66" s="146"/>
      <c r="L66" s="146"/>
      <c r="M66" s="147"/>
      <c r="N66" s="148"/>
      <c r="O66" s="149"/>
      <c r="P66" s="150"/>
      <c r="Q66" s="151"/>
      <c r="R66" s="151"/>
      <c r="S66" s="151"/>
      <c r="T66" s="147"/>
      <c r="U66" s="147"/>
      <c r="V66" s="147"/>
      <c r="W66" s="149"/>
      <c r="X66" s="149"/>
      <c r="Y66" s="147"/>
      <c r="Z66" s="147"/>
      <c r="AA66" s="147"/>
      <c r="AB66" s="147"/>
      <c r="AC66" s="147"/>
      <c r="AD66" s="147"/>
      <c r="AE66" s="152"/>
      <c r="AF66" s="153" t="str">
        <f t="shared" si="3"/>
        <v xml:space="preserve"> </v>
      </c>
      <c r="AG66" s="154" t="str">
        <f t="shared" si="1"/>
        <v>Ingresar fuente de información</v>
      </c>
      <c r="AH66" s="134"/>
      <c r="AI66" s="155"/>
      <c r="AJ66" s="156"/>
      <c r="AK66" s="157"/>
      <c r="AM66" s="158"/>
      <c r="AN66" s="155" t="str">
        <f t="shared" si="2"/>
        <v xml:space="preserve"> </v>
      </c>
      <c r="AO66" s="156"/>
      <c r="AP66" s="157"/>
      <c r="AQ66" s="161"/>
      <c r="AR66" s="160" t="str">
        <f t="shared" si="4"/>
        <v xml:space="preserve"> </v>
      </c>
    </row>
    <row r="67" spans="1:44">
      <c r="A67" s="71"/>
      <c r="B67" s="142"/>
      <c r="C67" s="143"/>
      <c r="D67" s="143"/>
      <c r="E67" s="143"/>
      <c r="F67" s="144"/>
      <c r="G67" s="142"/>
      <c r="H67" s="144" t="str">
        <f>IF(OR(ISBLANK(I67),ISBLANK(AQ67))," ",IFERROR(VLOOKUP(CONCATENATE(I67,AQ67),Prestaciones!$E$1:$H$488,4,FALSE),IFERROR(VLOOKUP(CONCATENATE(LEFT(I67,6),AQ67),Prestaciones!$E$491:$H$836,4,FALSE),"La prestación no corresponde al grupo poblacional")))</f>
        <v xml:space="preserve"> </v>
      </c>
      <c r="I67" s="145"/>
      <c r="J67" s="145" t="str">
        <f>IF(OR(ISBLANK(I67),ISBLANK(AQ67))," ",IFERROR(VLOOKUP(CONCATENATE(I67,AQ67),Prestaciones!$E$1:$G$488,3,FALSE),IFERROR(VLOOKUP(CONCATENATE(LEFT(I67,6),AQ67),Prestaciones!$E$491:$H$836,3,FALSE),"La prestación no corresponde al grupo poblacional")))</f>
        <v xml:space="preserve"> </v>
      </c>
      <c r="K67" s="146"/>
      <c r="L67" s="146"/>
      <c r="M67" s="147"/>
      <c r="N67" s="148"/>
      <c r="O67" s="149"/>
      <c r="P67" s="150"/>
      <c r="Q67" s="151"/>
      <c r="R67" s="151"/>
      <c r="S67" s="151"/>
      <c r="T67" s="147"/>
      <c r="U67" s="147"/>
      <c r="V67" s="147"/>
      <c r="W67" s="149"/>
      <c r="X67" s="149"/>
      <c r="Y67" s="147"/>
      <c r="Z67" s="147"/>
      <c r="AA67" s="147"/>
      <c r="AB67" s="147"/>
      <c r="AC67" s="147"/>
      <c r="AD67" s="147"/>
      <c r="AE67" s="152"/>
      <c r="AF67" s="153" t="str">
        <f t="shared" si="3"/>
        <v xml:space="preserve"> </v>
      </c>
      <c r="AG67" s="154" t="str">
        <f t="shared" si="1"/>
        <v>Ingresar fuente de información</v>
      </c>
      <c r="AH67" s="134"/>
      <c r="AI67" s="155"/>
      <c r="AJ67" s="156"/>
      <c r="AK67" s="157"/>
      <c r="AM67" s="158"/>
      <c r="AN67" s="155" t="str">
        <f t="shared" si="2"/>
        <v xml:space="preserve"> </v>
      </c>
      <c r="AO67" s="156"/>
      <c r="AP67" s="157"/>
      <c r="AQ67" s="161"/>
      <c r="AR67" s="160" t="str">
        <f t="shared" si="4"/>
        <v xml:space="preserve"> </v>
      </c>
    </row>
    <row r="68" spans="1:44">
      <c r="A68" s="71"/>
      <c r="B68" s="142"/>
      <c r="C68" s="143"/>
      <c r="D68" s="143"/>
      <c r="E68" s="143"/>
      <c r="F68" s="144"/>
      <c r="G68" s="142"/>
      <c r="H68" s="144" t="str">
        <f>IF(OR(ISBLANK(I68),ISBLANK(AQ68))," ",IFERROR(VLOOKUP(CONCATENATE(I68,AQ68),Prestaciones!$E$1:$H$488,4,FALSE),IFERROR(VLOOKUP(CONCATENATE(LEFT(I68,6),AQ68),Prestaciones!$E$491:$H$836,4,FALSE),"La prestación no corresponde al grupo poblacional")))</f>
        <v xml:space="preserve"> </v>
      </c>
      <c r="I68" s="145"/>
      <c r="J68" s="145" t="str">
        <f>IF(OR(ISBLANK(I68),ISBLANK(AQ68))," ",IFERROR(VLOOKUP(CONCATENATE(I68,AQ68),Prestaciones!$E$1:$G$488,3,FALSE),IFERROR(VLOOKUP(CONCATENATE(LEFT(I68,6),AQ68),Prestaciones!$E$491:$H$836,3,FALSE),"La prestación no corresponde al grupo poblacional")))</f>
        <v xml:space="preserve"> </v>
      </c>
      <c r="K68" s="146"/>
      <c r="L68" s="146"/>
      <c r="M68" s="147"/>
      <c r="N68" s="148"/>
      <c r="O68" s="149"/>
      <c r="P68" s="150"/>
      <c r="Q68" s="151"/>
      <c r="R68" s="151"/>
      <c r="S68" s="151"/>
      <c r="T68" s="147"/>
      <c r="U68" s="147"/>
      <c r="V68" s="147"/>
      <c r="W68" s="149"/>
      <c r="X68" s="149"/>
      <c r="Y68" s="147"/>
      <c r="Z68" s="147"/>
      <c r="AA68" s="147"/>
      <c r="AB68" s="147"/>
      <c r="AC68" s="147"/>
      <c r="AD68" s="147"/>
      <c r="AE68" s="152"/>
      <c r="AF68" s="153" t="str">
        <f t="shared" si="3"/>
        <v xml:space="preserve"> </v>
      </c>
      <c r="AG68" s="154" t="str">
        <f t="shared" si="1"/>
        <v>Ingresar fuente de información</v>
      </c>
      <c r="AH68" s="134"/>
      <c r="AI68" s="155"/>
      <c r="AJ68" s="156"/>
      <c r="AK68" s="157"/>
      <c r="AM68" s="158"/>
      <c r="AN68" s="155" t="str">
        <f t="shared" si="2"/>
        <v xml:space="preserve"> </v>
      </c>
      <c r="AO68" s="156"/>
      <c r="AP68" s="157"/>
      <c r="AQ68" s="161"/>
      <c r="AR68" s="160" t="str">
        <f t="shared" si="4"/>
        <v xml:space="preserve"> </v>
      </c>
    </row>
    <row r="69" spans="1:44">
      <c r="A69" s="71"/>
      <c r="B69" s="142"/>
      <c r="C69" s="143"/>
      <c r="D69" s="143"/>
      <c r="E69" s="143"/>
      <c r="F69" s="144"/>
      <c r="G69" s="142"/>
      <c r="H69" s="144" t="str">
        <f>IF(OR(ISBLANK(I69),ISBLANK(AQ69))," ",IFERROR(VLOOKUP(CONCATENATE(I69,AQ69),Prestaciones!$E$1:$H$488,4,FALSE),IFERROR(VLOOKUP(CONCATENATE(LEFT(I69,6),AQ69),Prestaciones!$E$491:$H$836,4,FALSE),"La prestación no corresponde al grupo poblacional")))</f>
        <v xml:space="preserve"> </v>
      </c>
      <c r="I69" s="145"/>
      <c r="J69" s="145" t="str">
        <f>IF(OR(ISBLANK(I69),ISBLANK(AQ69))," ",IFERROR(VLOOKUP(CONCATENATE(I69,AQ69),Prestaciones!$E$1:$G$488,3,FALSE),IFERROR(VLOOKUP(CONCATENATE(LEFT(I69,6),AQ69),Prestaciones!$E$491:$H$836,3,FALSE),"La prestación no corresponde al grupo poblacional")))</f>
        <v xml:space="preserve"> </v>
      </c>
      <c r="K69" s="146"/>
      <c r="L69" s="146"/>
      <c r="M69" s="147"/>
      <c r="N69" s="148"/>
      <c r="O69" s="149"/>
      <c r="P69" s="150"/>
      <c r="Q69" s="151"/>
      <c r="R69" s="151"/>
      <c r="S69" s="151"/>
      <c r="T69" s="147"/>
      <c r="U69" s="147"/>
      <c r="V69" s="147"/>
      <c r="W69" s="149"/>
      <c r="X69" s="149"/>
      <c r="Y69" s="147"/>
      <c r="Z69" s="147"/>
      <c r="AA69" s="147"/>
      <c r="AB69" s="147"/>
      <c r="AC69" s="147"/>
      <c r="AD69" s="147"/>
      <c r="AE69" s="152"/>
      <c r="AF69" s="153" t="str">
        <f t="shared" si="3"/>
        <v xml:space="preserve"> </v>
      </c>
      <c r="AG69" s="154" t="str">
        <f t="shared" si="1"/>
        <v>Ingresar fuente de información</v>
      </c>
      <c r="AH69" s="134"/>
      <c r="AI69" s="155"/>
      <c r="AJ69" s="156"/>
      <c r="AK69" s="157"/>
      <c r="AM69" s="158"/>
      <c r="AN69" s="155" t="str">
        <f t="shared" si="2"/>
        <v xml:space="preserve"> </v>
      </c>
      <c r="AO69" s="156"/>
      <c r="AP69" s="157"/>
      <c r="AQ69" s="161"/>
      <c r="AR69" s="160" t="str">
        <f t="shared" si="4"/>
        <v xml:space="preserve"> </v>
      </c>
    </row>
    <row r="70" spans="1:44">
      <c r="A70" s="71"/>
      <c r="B70" s="142"/>
      <c r="C70" s="143"/>
      <c r="D70" s="143"/>
      <c r="E70" s="143"/>
      <c r="F70" s="144"/>
      <c r="G70" s="142"/>
      <c r="H70" s="144" t="str">
        <f>IF(OR(ISBLANK(I70),ISBLANK(AQ70))," ",IFERROR(VLOOKUP(CONCATENATE(I70,AQ70),Prestaciones!$E$1:$H$488,4,FALSE),IFERROR(VLOOKUP(CONCATENATE(LEFT(I70,6),AQ70),Prestaciones!$E$491:$H$836,4,FALSE),"La prestación no corresponde al grupo poblacional")))</f>
        <v xml:space="preserve"> </v>
      </c>
      <c r="I70" s="145"/>
      <c r="J70" s="145" t="str">
        <f>IF(OR(ISBLANK(I70),ISBLANK(AQ70))," ",IFERROR(VLOOKUP(CONCATENATE(I70,AQ70),Prestaciones!$E$1:$G$488,3,FALSE),IFERROR(VLOOKUP(CONCATENATE(LEFT(I70,6),AQ70),Prestaciones!$E$491:$H$836,3,FALSE),"La prestación no corresponde al grupo poblacional")))</f>
        <v xml:space="preserve"> </v>
      </c>
      <c r="K70" s="146"/>
      <c r="L70" s="146"/>
      <c r="M70" s="147"/>
      <c r="N70" s="148"/>
      <c r="O70" s="149"/>
      <c r="P70" s="150"/>
      <c r="Q70" s="151"/>
      <c r="R70" s="151"/>
      <c r="S70" s="151"/>
      <c r="T70" s="147"/>
      <c r="U70" s="147"/>
      <c r="V70" s="147"/>
      <c r="W70" s="149"/>
      <c r="X70" s="149"/>
      <c r="Y70" s="147"/>
      <c r="Z70" s="147"/>
      <c r="AA70" s="147"/>
      <c r="AB70" s="147"/>
      <c r="AC70" s="147"/>
      <c r="AD70" s="147"/>
      <c r="AE70" s="152"/>
      <c r="AF70" s="153" t="str">
        <f t="shared" si="3"/>
        <v xml:space="preserve"> </v>
      </c>
      <c r="AG70" s="154" t="str">
        <f t="shared" si="1"/>
        <v>Ingresar fuente de información</v>
      </c>
      <c r="AH70" s="134"/>
      <c r="AI70" s="155"/>
      <c r="AJ70" s="156"/>
      <c r="AK70" s="157"/>
      <c r="AM70" s="158"/>
      <c r="AN70" s="155" t="str">
        <f t="shared" si="2"/>
        <v xml:space="preserve"> </v>
      </c>
      <c r="AO70" s="156"/>
      <c r="AP70" s="157"/>
      <c r="AQ70" s="161"/>
      <c r="AR70" s="160" t="str">
        <f t="shared" si="4"/>
        <v xml:space="preserve"> </v>
      </c>
    </row>
    <row r="71" spans="1:44">
      <c r="A71" s="71"/>
      <c r="B71" s="142"/>
      <c r="C71" s="143"/>
      <c r="D71" s="143"/>
      <c r="E71" s="143"/>
      <c r="F71" s="144"/>
      <c r="G71" s="142"/>
      <c r="H71" s="144" t="str">
        <f>IF(OR(ISBLANK(I71),ISBLANK(AQ71))," ",IFERROR(VLOOKUP(CONCATENATE(I71,AQ71),Prestaciones!$E$1:$H$488,4,FALSE),IFERROR(VLOOKUP(CONCATENATE(LEFT(I71,6),AQ71),Prestaciones!$E$491:$H$836,4,FALSE),"La prestación no corresponde al grupo poblacional")))</f>
        <v xml:space="preserve"> </v>
      </c>
      <c r="I71" s="145"/>
      <c r="J71" s="145" t="str">
        <f>IF(OR(ISBLANK(I71),ISBLANK(AQ71))," ",IFERROR(VLOOKUP(CONCATENATE(I71,AQ71),Prestaciones!$E$1:$G$488,3,FALSE),IFERROR(VLOOKUP(CONCATENATE(LEFT(I71,6),AQ71),Prestaciones!$E$491:$H$836,3,FALSE),"La prestación no corresponde al grupo poblacional")))</f>
        <v xml:space="preserve"> </v>
      </c>
      <c r="K71" s="146"/>
      <c r="L71" s="146"/>
      <c r="M71" s="147"/>
      <c r="N71" s="148"/>
      <c r="O71" s="149"/>
      <c r="P71" s="150"/>
      <c r="Q71" s="151"/>
      <c r="R71" s="151"/>
      <c r="S71" s="151"/>
      <c r="T71" s="147"/>
      <c r="U71" s="147"/>
      <c r="V71" s="147"/>
      <c r="W71" s="149"/>
      <c r="X71" s="149"/>
      <c r="Y71" s="147"/>
      <c r="Z71" s="147"/>
      <c r="AA71" s="147"/>
      <c r="AB71" s="147"/>
      <c r="AC71" s="147"/>
      <c r="AD71" s="147"/>
      <c r="AE71" s="152"/>
      <c r="AF71" s="153" t="str">
        <f t="shared" si="3"/>
        <v xml:space="preserve"> </v>
      </c>
      <c r="AG71" s="154" t="str">
        <f t="shared" si="1"/>
        <v>Ingresar fuente de información</v>
      </c>
      <c r="AH71" s="134"/>
      <c r="AI71" s="155"/>
      <c r="AJ71" s="156"/>
      <c r="AK71" s="157"/>
      <c r="AM71" s="158"/>
      <c r="AN71" s="155" t="str">
        <f t="shared" si="2"/>
        <v xml:space="preserve"> </v>
      </c>
      <c r="AO71" s="156"/>
      <c r="AP71" s="157"/>
      <c r="AQ71" s="161"/>
      <c r="AR71" s="160" t="str">
        <f t="shared" si="4"/>
        <v xml:space="preserve"> </v>
      </c>
    </row>
    <row r="72" spans="1:44">
      <c r="A72" s="71"/>
      <c r="B72" s="142"/>
      <c r="C72" s="143"/>
      <c r="D72" s="143"/>
      <c r="E72" s="143"/>
      <c r="F72" s="144"/>
      <c r="G72" s="142"/>
      <c r="H72" s="144" t="str">
        <f>IF(OR(ISBLANK(I72),ISBLANK(AQ72))," ",IFERROR(VLOOKUP(CONCATENATE(I72,AQ72),Prestaciones!$E$1:$H$488,4,FALSE),IFERROR(VLOOKUP(CONCATENATE(LEFT(I72,6),AQ72),Prestaciones!$E$491:$H$836,4,FALSE),"La prestación no corresponde al grupo poblacional")))</f>
        <v xml:space="preserve"> </v>
      </c>
      <c r="I72" s="145"/>
      <c r="J72" s="145" t="str">
        <f>IF(OR(ISBLANK(I72),ISBLANK(AQ72))," ",IFERROR(VLOOKUP(CONCATENATE(I72,AQ72),Prestaciones!$E$1:$G$488,3,FALSE),IFERROR(VLOOKUP(CONCATENATE(LEFT(I72,6),AQ72),Prestaciones!$E$491:$H$836,3,FALSE),"La prestación no corresponde al grupo poblacional")))</f>
        <v xml:space="preserve"> </v>
      </c>
      <c r="K72" s="146"/>
      <c r="L72" s="146"/>
      <c r="M72" s="147"/>
      <c r="N72" s="148"/>
      <c r="O72" s="149"/>
      <c r="P72" s="150"/>
      <c r="Q72" s="151"/>
      <c r="R72" s="151"/>
      <c r="S72" s="151"/>
      <c r="T72" s="147"/>
      <c r="U72" s="147"/>
      <c r="V72" s="147"/>
      <c r="W72" s="149"/>
      <c r="X72" s="149"/>
      <c r="Y72" s="147"/>
      <c r="Z72" s="147"/>
      <c r="AA72" s="147"/>
      <c r="AB72" s="147"/>
      <c r="AC72" s="147"/>
      <c r="AD72" s="147"/>
      <c r="AE72" s="152"/>
      <c r="AF72" s="153" t="str">
        <f t="shared" si="3"/>
        <v xml:space="preserve"> </v>
      </c>
      <c r="AG72" s="154" t="str">
        <f t="shared" si="1"/>
        <v>Ingresar fuente de información</v>
      </c>
      <c r="AH72" s="134"/>
      <c r="AI72" s="155"/>
      <c r="AJ72" s="156"/>
      <c r="AK72" s="157"/>
      <c r="AM72" s="158"/>
      <c r="AN72" s="155" t="str">
        <f t="shared" si="2"/>
        <v xml:space="preserve"> </v>
      </c>
      <c r="AO72" s="156"/>
      <c r="AP72" s="157"/>
      <c r="AQ72" s="161"/>
      <c r="AR72" s="160" t="str">
        <f t="shared" si="4"/>
        <v xml:space="preserve"> </v>
      </c>
    </row>
    <row r="73" spans="1:44">
      <c r="A73" s="71"/>
      <c r="B73" s="142"/>
      <c r="C73" s="143"/>
      <c r="D73" s="143"/>
      <c r="E73" s="143"/>
      <c r="F73" s="144"/>
      <c r="G73" s="142"/>
      <c r="H73" s="144" t="str">
        <f>IF(OR(ISBLANK(I73),ISBLANK(AQ73))," ",IFERROR(VLOOKUP(CONCATENATE(I73,AQ73),Prestaciones!$E$1:$H$488,4,FALSE),IFERROR(VLOOKUP(CONCATENATE(LEFT(I73,6),AQ73),Prestaciones!$E$491:$H$836,4,FALSE),"La prestación no corresponde al grupo poblacional")))</f>
        <v xml:space="preserve"> </v>
      </c>
      <c r="I73" s="145"/>
      <c r="J73" s="145" t="str">
        <f>IF(OR(ISBLANK(I73),ISBLANK(AQ73))," ",IFERROR(VLOOKUP(CONCATENATE(I73,AQ73),Prestaciones!$E$1:$G$488,3,FALSE),IFERROR(VLOOKUP(CONCATENATE(LEFT(I73,6),AQ73),Prestaciones!$E$491:$H$836,3,FALSE),"La prestación no corresponde al grupo poblacional")))</f>
        <v xml:space="preserve"> </v>
      </c>
      <c r="K73" s="146"/>
      <c r="L73" s="146"/>
      <c r="M73" s="147"/>
      <c r="N73" s="148"/>
      <c r="O73" s="149"/>
      <c r="P73" s="150"/>
      <c r="Q73" s="151"/>
      <c r="R73" s="151"/>
      <c r="S73" s="151"/>
      <c r="T73" s="147"/>
      <c r="U73" s="147"/>
      <c r="V73" s="147"/>
      <c r="W73" s="149"/>
      <c r="X73" s="149"/>
      <c r="Y73" s="147"/>
      <c r="Z73" s="147"/>
      <c r="AA73" s="147"/>
      <c r="AB73" s="147"/>
      <c r="AC73" s="147"/>
      <c r="AD73" s="147"/>
      <c r="AE73" s="152"/>
      <c r="AF73" s="153" t="str">
        <f t="shared" si="3"/>
        <v xml:space="preserve"> </v>
      </c>
      <c r="AG73" s="154" t="str">
        <f t="shared" si="1"/>
        <v>Ingresar fuente de información</v>
      </c>
      <c r="AH73" s="134"/>
      <c r="AI73" s="155"/>
      <c r="AJ73" s="156"/>
      <c r="AK73" s="157"/>
      <c r="AM73" s="158"/>
      <c r="AN73" s="155" t="str">
        <f t="shared" si="2"/>
        <v xml:space="preserve"> </v>
      </c>
      <c r="AO73" s="156"/>
      <c r="AP73" s="157"/>
      <c r="AQ73" s="161"/>
      <c r="AR73" s="160" t="str">
        <f t="shared" si="4"/>
        <v xml:space="preserve"> </v>
      </c>
    </row>
    <row r="74" spans="1:44">
      <c r="A74" s="71"/>
      <c r="B74" s="142"/>
      <c r="C74" s="143"/>
      <c r="D74" s="143"/>
      <c r="E74" s="143"/>
      <c r="F74" s="144"/>
      <c r="G74" s="142"/>
      <c r="H74" s="144" t="str">
        <f>IF(OR(ISBLANK(I74),ISBLANK(AQ74))," ",IFERROR(VLOOKUP(CONCATENATE(I74,AQ74),Prestaciones!$E$1:$H$488,4,FALSE),IFERROR(VLOOKUP(CONCATENATE(LEFT(I74,6),AQ74),Prestaciones!$E$491:$H$836,4,FALSE),"La prestación no corresponde al grupo poblacional")))</f>
        <v xml:space="preserve"> </v>
      </c>
      <c r="I74" s="145"/>
      <c r="J74" s="145" t="str">
        <f>IF(OR(ISBLANK(I74),ISBLANK(AQ74))," ",IFERROR(VLOOKUP(CONCATENATE(I74,AQ74),Prestaciones!$E$1:$G$488,3,FALSE),IFERROR(VLOOKUP(CONCATENATE(LEFT(I74,6),AQ74),Prestaciones!$E$491:$H$836,3,FALSE),"La prestación no corresponde al grupo poblacional")))</f>
        <v xml:space="preserve"> </v>
      </c>
      <c r="K74" s="146"/>
      <c r="L74" s="146"/>
      <c r="M74" s="147"/>
      <c r="N74" s="148"/>
      <c r="O74" s="149"/>
      <c r="P74" s="150"/>
      <c r="Q74" s="151"/>
      <c r="R74" s="151"/>
      <c r="S74" s="151"/>
      <c r="T74" s="147"/>
      <c r="U74" s="147"/>
      <c r="V74" s="147"/>
      <c r="W74" s="149"/>
      <c r="X74" s="149"/>
      <c r="Y74" s="147"/>
      <c r="Z74" s="147"/>
      <c r="AA74" s="147"/>
      <c r="AB74" s="147"/>
      <c r="AC74" s="147"/>
      <c r="AD74" s="147"/>
      <c r="AE74" s="152"/>
      <c r="AF74" s="153" t="str">
        <f t="shared" si="3"/>
        <v xml:space="preserve"> </v>
      </c>
      <c r="AG74" s="154" t="str">
        <f t="shared" si="1"/>
        <v>Ingresar fuente de información</v>
      </c>
      <c r="AH74" s="134"/>
      <c r="AI74" s="155"/>
      <c r="AJ74" s="156"/>
      <c r="AK74" s="157"/>
      <c r="AM74" s="158"/>
      <c r="AN74" s="155" t="str">
        <f t="shared" si="2"/>
        <v xml:space="preserve"> </v>
      </c>
      <c r="AO74" s="156"/>
      <c r="AP74" s="157"/>
      <c r="AQ74" s="161"/>
      <c r="AR74" s="160" t="str">
        <f t="shared" si="4"/>
        <v xml:space="preserve"> </v>
      </c>
    </row>
    <row r="75" spans="1:44">
      <c r="A75" s="71"/>
      <c r="B75" s="142"/>
      <c r="C75" s="143"/>
      <c r="D75" s="143"/>
      <c r="E75" s="143"/>
      <c r="F75" s="144"/>
      <c r="G75" s="142"/>
      <c r="H75" s="144" t="str">
        <f>IF(OR(ISBLANK(I75),ISBLANK(AQ75))," ",IFERROR(VLOOKUP(CONCATENATE(I75,AQ75),Prestaciones!$E$1:$H$488,4,FALSE),IFERROR(VLOOKUP(CONCATENATE(LEFT(I75,6),AQ75),Prestaciones!$E$491:$H$836,4,FALSE),"La prestación no corresponde al grupo poblacional")))</f>
        <v xml:space="preserve"> </v>
      </c>
      <c r="I75" s="145"/>
      <c r="J75" s="145" t="str">
        <f>IF(OR(ISBLANK(I75),ISBLANK(AQ75))," ",IFERROR(VLOOKUP(CONCATENATE(I75,AQ75),Prestaciones!$E$1:$G$488,3,FALSE),IFERROR(VLOOKUP(CONCATENATE(LEFT(I75,6),AQ75),Prestaciones!$E$491:$H$836,3,FALSE),"La prestación no corresponde al grupo poblacional")))</f>
        <v xml:space="preserve"> </v>
      </c>
      <c r="K75" s="146"/>
      <c r="L75" s="146"/>
      <c r="M75" s="147"/>
      <c r="N75" s="148"/>
      <c r="O75" s="149"/>
      <c r="P75" s="150"/>
      <c r="Q75" s="151"/>
      <c r="R75" s="151"/>
      <c r="S75" s="151"/>
      <c r="T75" s="147"/>
      <c r="U75" s="147"/>
      <c r="V75" s="147"/>
      <c r="W75" s="149"/>
      <c r="X75" s="149"/>
      <c r="Y75" s="147"/>
      <c r="Z75" s="147"/>
      <c r="AA75" s="147"/>
      <c r="AB75" s="147"/>
      <c r="AC75" s="147"/>
      <c r="AD75" s="147"/>
      <c r="AE75" s="152"/>
      <c r="AF75" s="153" t="str">
        <f t="shared" si="3"/>
        <v xml:space="preserve"> </v>
      </c>
      <c r="AG75" s="154" t="str">
        <f t="shared" si="1"/>
        <v>Ingresar fuente de información</v>
      </c>
      <c r="AH75" s="134"/>
      <c r="AI75" s="155"/>
      <c r="AJ75" s="156"/>
      <c r="AK75" s="157"/>
      <c r="AM75" s="158"/>
      <c r="AN75" s="155" t="str">
        <f t="shared" si="2"/>
        <v xml:space="preserve"> </v>
      </c>
      <c r="AO75" s="156"/>
      <c r="AP75" s="157"/>
      <c r="AQ75" s="161"/>
      <c r="AR75" s="160" t="str">
        <f t="shared" si="4"/>
        <v xml:space="preserve"> </v>
      </c>
    </row>
    <row r="76" spans="1:44">
      <c r="A76" s="71"/>
      <c r="B76" s="142"/>
      <c r="C76" s="143"/>
      <c r="D76" s="143"/>
      <c r="E76" s="143"/>
      <c r="F76" s="144"/>
      <c r="G76" s="142"/>
      <c r="H76" s="144" t="str">
        <f>IF(OR(ISBLANK(I76),ISBLANK(AQ76))," ",IFERROR(VLOOKUP(CONCATENATE(I76,AQ76),Prestaciones!$E$1:$H$488,4,FALSE),IFERROR(VLOOKUP(CONCATENATE(LEFT(I76,6),AQ76),Prestaciones!$E$491:$H$836,4,FALSE),"La prestación no corresponde al grupo poblacional")))</f>
        <v xml:space="preserve"> </v>
      </c>
      <c r="I76" s="145"/>
      <c r="J76" s="145" t="str">
        <f>IF(OR(ISBLANK(I76),ISBLANK(AQ76))," ",IFERROR(VLOOKUP(CONCATENATE(I76,AQ76),Prestaciones!$E$1:$G$488,3,FALSE),IFERROR(VLOOKUP(CONCATENATE(LEFT(I76,6),AQ76),Prestaciones!$E$491:$H$836,3,FALSE),"La prestación no corresponde al grupo poblacional")))</f>
        <v xml:space="preserve"> </v>
      </c>
      <c r="K76" s="146"/>
      <c r="L76" s="146"/>
      <c r="M76" s="147"/>
      <c r="N76" s="148"/>
      <c r="O76" s="149"/>
      <c r="P76" s="150"/>
      <c r="Q76" s="151"/>
      <c r="R76" s="151"/>
      <c r="S76" s="151"/>
      <c r="T76" s="147"/>
      <c r="U76" s="147"/>
      <c r="V76" s="147"/>
      <c r="W76" s="149"/>
      <c r="X76" s="149"/>
      <c r="Y76" s="147"/>
      <c r="Z76" s="147"/>
      <c r="AA76" s="147"/>
      <c r="AB76" s="147"/>
      <c r="AC76" s="147"/>
      <c r="AD76" s="147"/>
      <c r="AE76" s="152"/>
      <c r="AF76" s="153" t="str">
        <f t="shared" si="3"/>
        <v xml:space="preserve"> </v>
      </c>
      <c r="AG76" s="154" t="str">
        <f t="shared" si="1"/>
        <v>Ingresar fuente de información</v>
      </c>
      <c r="AH76" s="134"/>
      <c r="AI76" s="155"/>
      <c r="AJ76" s="156"/>
      <c r="AK76" s="157"/>
      <c r="AM76" s="158"/>
      <c r="AN76" s="155" t="str">
        <f t="shared" ref="AN76:AN139" si="5">IF(ISBLANK(AM76)," ",IF(AM76=0,"Valido",IF(AM76=1,"No consta fuente de informacion valida",IF(AM76=2,"Prestación inexistente",IF(AM76=3,"Datos requeridos incompletos",IF(AM76=4,"Codificación erronea",IF(AM76=5,"Fuente invalida","Categoria invalida")))))))</f>
        <v xml:space="preserve"> </v>
      </c>
      <c r="AO76" s="156"/>
      <c r="AP76" s="157"/>
      <c r="AQ76" s="161"/>
      <c r="AR76" s="160" t="str">
        <f t="shared" si="4"/>
        <v xml:space="preserve"> </v>
      </c>
    </row>
    <row r="77" spans="1:44">
      <c r="A77" s="71"/>
      <c r="B77" s="142"/>
      <c r="C77" s="143"/>
      <c r="D77" s="143"/>
      <c r="E77" s="143"/>
      <c r="F77" s="144"/>
      <c r="G77" s="142"/>
      <c r="H77" s="144" t="str">
        <f>IF(OR(ISBLANK(I77),ISBLANK(AQ77))," ",IFERROR(VLOOKUP(CONCATENATE(I77,AQ77),Prestaciones!$E$1:$H$488,4,FALSE),IFERROR(VLOOKUP(CONCATENATE(LEFT(I77,6),AQ77),Prestaciones!$E$491:$H$836,4,FALSE),"La prestación no corresponde al grupo poblacional")))</f>
        <v xml:space="preserve"> </v>
      </c>
      <c r="I77" s="145"/>
      <c r="J77" s="145" t="str">
        <f>IF(OR(ISBLANK(I77),ISBLANK(AQ77))," ",IFERROR(VLOOKUP(CONCATENATE(I77,AQ77),Prestaciones!$E$1:$G$488,3,FALSE),IFERROR(VLOOKUP(CONCATENATE(LEFT(I77,6),AQ77),Prestaciones!$E$491:$H$836,3,FALSE),"La prestación no corresponde al grupo poblacional")))</f>
        <v xml:space="preserve"> </v>
      </c>
      <c r="K77" s="146"/>
      <c r="L77" s="146"/>
      <c r="M77" s="147"/>
      <c r="N77" s="148"/>
      <c r="O77" s="149"/>
      <c r="P77" s="150"/>
      <c r="Q77" s="151"/>
      <c r="R77" s="151"/>
      <c r="S77" s="151"/>
      <c r="T77" s="147"/>
      <c r="U77" s="147"/>
      <c r="V77" s="147"/>
      <c r="W77" s="149"/>
      <c r="X77" s="149"/>
      <c r="Y77" s="147"/>
      <c r="Z77" s="147"/>
      <c r="AA77" s="147"/>
      <c r="AB77" s="147"/>
      <c r="AC77" s="147"/>
      <c r="AD77" s="147"/>
      <c r="AE77" s="152"/>
      <c r="AF77" s="153" t="str">
        <f t="shared" si="3"/>
        <v xml:space="preserve"> </v>
      </c>
      <c r="AG77" s="154" t="str">
        <f t="shared" si="1"/>
        <v>Ingresar fuente de información</v>
      </c>
      <c r="AH77" s="134"/>
      <c r="AI77" s="155"/>
      <c r="AJ77" s="156"/>
      <c r="AK77" s="157"/>
      <c r="AM77" s="158"/>
      <c r="AN77" s="155" t="str">
        <f t="shared" si="5"/>
        <v xml:space="preserve"> </v>
      </c>
      <c r="AO77" s="156"/>
      <c r="AP77" s="157"/>
      <c r="AQ77" s="161"/>
      <c r="AR77" s="160" t="str">
        <f t="shared" si="4"/>
        <v xml:space="preserve"> </v>
      </c>
    </row>
    <row r="78" spans="1:44">
      <c r="A78" s="71"/>
      <c r="B78" s="142"/>
      <c r="C78" s="143"/>
      <c r="D78" s="143"/>
      <c r="E78" s="143"/>
      <c r="F78" s="144"/>
      <c r="G78" s="142"/>
      <c r="H78" s="144" t="str">
        <f>IF(OR(ISBLANK(I78),ISBLANK(AQ78))," ",IFERROR(VLOOKUP(CONCATENATE(I78,AQ78),Prestaciones!$E$1:$H$488,4,FALSE),IFERROR(VLOOKUP(CONCATENATE(LEFT(I78,6),AQ78),Prestaciones!$E$491:$H$836,4,FALSE),"La prestación no corresponde al grupo poblacional")))</f>
        <v xml:space="preserve"> </v>
      </c>
      <c r="I78" s="145"/>
      <c r="J78" s="145" t="str">
        <f>IF(OR(ISBLANK(I78),ISBLANK(AQ78))," ",IFERROR(VLOOKUP(CONCATENATE(I78,AQ78),Prestaciones!$E$1:$G$488,3,FALSE),IFERROR(VLOOKUP(CONCATENATE(LEFT(I78,6),AQ78),Prestaciones!$E$491:$H$836,3,FALSE),"La prestación no corresponde al grupo poblacional")))</f>
        <v xml:space="preserve"> </v>
      </c>
      <c r="K78" s="146"/>
      <c r="L78" s="146"/>
      <c r="M78" s="147"/>
      <c r="N78" s="148"/>
      <c r="O78" s="149"/>
      <c r="P78" s="150"/>
      <c r="Q78" s="151"/>
      <c r="R78" s="151"/>
      <c r="S78" s="151"/>
      <c r="T78" s="147"/>
      <c r="U78" s="147"/>
      <c r="V78" s="147"/>
      <c r="W78" s="149"/>
      <c r="X78" s="149"/>
      <c r="Y78" s="147"/>
      <c r="Z78" s="147"/>
      <c r="AA78" s="147"/>
      <c r="AB78" s="147"/>
      <c r="AC78" s="147"/>
      <c r="AD78" s="147"/>
      <c r="AE78" s="152"/>
      <c r="AF78" s="153" t="str">
        <f t="shared" si="3"/>
        <v xml:space="preserve"> </v>
      </c>
      <c r="AG78" s="154" t="str">
        <f t="shared" si="1"/>
        <v>Ingresar fuente de información</v>
      </c>
      <c r="AH78" s="134"/>
      <c r="AI78" s="155"/>
      <c r="AJ78" s="156"/>
      <c r="AK78" s="157"/>
      <c r="AM78" s="158"/>
      <c r="AN78" s="155" t="str">
        <f t="shared" si="5"/>
        <v xml:space="preserve"> </v>
      </c>
      <c r="AO78" s="156"/>
      <c r="AP78" s="157"/>
      <c r="AQ78" s="161"/>
      <c r="AR78" s="160" t="str">
        <f t="shared" si="4"/>
        <v xml:space="preserve"> </v>
      </c>
    </row>
    <row r="79" spans="1:44">
      <c r="A79" s="71"/>
      <c r="B79" s="142"/>
      <c r="C79" s="143"/>
      <c r="D79" s="143"/>
      <c r="E79" s="143"/>
      <c r="F79" s="144"/>
      <c r="G79" s="142"/>
      <c r="H79" s="144" t="str">
        <f>IF(OR(ISBLANK(I79),ISBLANK(AQ79))," ",IFERROR(VLOOKUP(CONCATENATE(I79,AQ79),Prestaciones!$E$1:$H$488,4,FALSE),IFERROR(VLOOKUP(CONCATENATE(LEFT(I79,6),AQ79),Prestaciones!$E$491:$H$836,4,FALSE),"La prestación no corresponde al grupo poblacional")))</f>
        <v xml:space="preserve"> </v>
      </c>
      <c r="I79" s="145"/>
      <c r="J79" s="145" t="str">
        <f>IF(OR(ISBLANK(I79),ISBLANK(AQ79))," ",IFERROR(VLOOKUP(CONCATENATE(I79,AQ79),Prestaciones!$E$1:$G$488,3,FALSE),IFERROR(VLOOKUP(CONCATENATE(LEFT(I79,6),AQ79),Prestaciones!$E$491:$H$836,3,FALSE),"La prestación no corresponde al grupo poblacional")))</f>
        <v xml:space="preserve"> </v>
      </c>
      <c r="K79" s="146"/>
      <c r="L79" s="146"/>
      <c r="M79" s="147"/>
      <c r="N79" s="148"/>
      <c r="O79" s="149"/>
      <c r="P79" s="150"/>
      <c r="Q79" s="151"/>
      <c r="R79" s="151"/>
      <c r="S79" s="151"/>
      <c r="T79" s="147"/>
      <c r="U79" s="147"/>
      <c r="V79" s="147"/>
      <c r="W79" s="149"/>
      <c r="X79" s="149"/>
      <c r="Y79" s="147"/>
      <c r="Z79" s="147"/>
      <c r="AA79" s="147"/>
      <c r="AB79" s="147"/>
      <c r="AC79" s="147"/>
      <c r="AD79" s="147"/>
      <c r="AE79" s="152"/>
      <c r="AF79" s="153" t="str">
        <f t="shared" si="3"/>
        <v xml:space="preserve"> </v>
      </c>
      <c r="AG79" s="154" t="str">
        <f t="shared" si="1"/>
        <v>Ingresar fuente de información</v>
      </c>
      <c r="AH79" s="134"/>
      <c r="AI79" s="155"/>
      <c r="AJ79" s="156"/>
      <c r="AK79" s="157"/>
      <c r="AM79" s="158"/>
      <c r="AN79" s="155" t="str">
        <f t="shared" si="5"/>
        <v xml:space="preserve"> </v>
      </c>
      <c r="AO79" s="156"/>
      <c r="AP79" s="157"/>
      <c r="AQ79" s="161"/>
      <c r="AR79" s="160" t="str">
        <f t="shared" si="4"/>
        <v xml:space="preserve"> </v>
      </c>
    </row>
    <row r="80" spans="1:44">
      <c r="A80" s="71"/>
      <c r="B80" s="142"/>
      <c r="C80" s="143"/>
      <c r="D80" s="143"/>
      <c r="E80" s="143"/>
      <c r="F80" s="144"/>
      <c r="G80" s="142"/>
      <c r="H80" s="144" t="str">
        <f>IF(OR(ISBLANK(I80),ISBLANK(AQ80))," ",IFERROR(VLOOKUP(CONCATENATE(I80,AQ80),Prestaciones!$E$1:$H$488,4,FALSE),IFERROR(VLOOKUP(CONCATENATE(LEFT(I80,6),AQ80),Prestaciones!$E$491:$H$836,4,FALSE),"La prestación no corresponde al grupo poblacional")))</f>
        <v xml:space="preserve"> </v>
      </c>
      <c r="I80" s="145"/>
      <c r="J80" s="145" t="str">
        <f>IF(OR(ISBLANK(I80),ISBLANK(AQ80))," ",IFERROR(VLOOKUP(CONCATENATE(I80,AQ80),Prestaciones!$E$1:$G$488,3,FALSE),IFERROR(VLOOKUP(CONCATENATE(LEFT(I80,6),AQ80),Prestaciones!$E$491:$H$836,3,FALSE),"La prestación no corresponde al grupo poblacional")))</f>
        <v xml:space="preserve"> </v>
      </c>
      <c r="K80" s="146"/>
      <c r="L80" s="146"/>
      <c r="M80" s="147"/>
      <c r="N80" s="148"/>
      <c r="O80" s="149"/>
      <c r="P80" s="150"/>
      <c r="Q80" s="151"/>
      <c r="R80" s="151"/>
      <c r="S80" s="151"/>
      <c r="T80" s="147"/>
      <c r="U80" s="147"/>
      <c r="V80" s="147"/>
      <c r="W80" s="149"/>
      <c r="X80" s="149"/>
      <c r="Y80" s="147"/>
      <c r="Z80" s="147"/>
      <c r="AA80" s="147"/>
      <c r="AB80" s="147"/>
      <c r="AC80" s="147"/>
      <c r="AD80" s="147"/>
      <c r="AE80" s="152"/>
      <c r="AF80" s="153" t="str">
        <f t="shared" si="3"/>
        <v xml:space="preserve"> </v>
      </c>
      <c r="AG80" s="154" t="str">
        <f t="shared" si="1"/>
        <v>Ingresar fuente de información</v>
      </c>
      <c r="AH80" s="134"/>
      <c r="AI80" s="155"/>
      <c r="AJ80" s="156"/>
      <c r="AK80" s="157"/>
      <c r="AM80" s="158"/>
      <c r="AN80" s="155" t="str">
        <f t="shared" si="5"/>
        <v xml:space="preserve"> </v>
      </c>
      <c r="AO80" s="156"/>
      <c r="AP80" s="157"/>
      <c r="AQ80" s="161"/>
      <c r="AR80" s="160" t="str">
        <f t="shared" si="4"/>
        <v xml:space="preserve"> </v>
      </c>
    </row>
    <row r="81" spans="1:44">
      <c r="A81" s="71"/>
      <c r="B81" s="142"/>
      <c r="C81" s="143"/>
      <c r="D81" s="143"/>
      <c r="E81" s="143"/>
      <c r="F81" s="144"/>
      <c r="G81" s="142"/>
      <c r="H81" s="144" t="str">
        <f>IF(OR(ISBLANK(I81),ISBLANK(AQ81))," ",IFERROR(VLOOKUP(CONCATENATE(I81,AQ81),Prestaciones!$E$1:$H$488,4,FALSE),IFERROR(VLOOKUP(CONCATENATE(LEFT(I81,6),AQ81),Prestaciones!$E$491:$H$836,4,FALSE),"La prestación no corresponde al grupo poblacional")))</f>
        <v xml:space="preserve"> </v>
      </c>
      <c r="I81" s="145"/>
      <c r="J81" s="145" t="str">
        <f>IF(OR(ISBLANK(I81),ISBLANK(AQ81))," ",IFERROR(VLOOKUP(CONCATENATE(I81,AQ81),Prestaciones!$E$1:$G$488,3,FALSE),IFERROR(VLOOKUP(CONCATENATE(LEFT(I81,6),AQ81),Prestaciones!$E$491:$H$836,3,FALSE),"La prestación no corresponde al grupo poblacional")))</f>
        <v xml:space="preserve"> </v>
      </c>
      <c r="K81" s="146"/>
      <c r="L81" s="146"/>
      <c r="M81" s="147"/>
      <c r="N81" s="148"/>
      <c r="O81" s="149"/>
      <c r="P81" s="150"/>
      <c r="Q81" s="151"/>
      <c r="R81" s="151"/>
      <c r="S81" s="151"/>
      <c r="T81" s="147"/>
      <c r="U81" s="147"/>
      <c r="V81" s="147"/>
      <c r="W81" s="149"/>
      <c r="X81" s="149"/>
      <c r="Y81" s="147"/>
      <c r="Z81" s="147"/>
      <c r="AA81" s="147"/>
      <c r="AB81" s="147"/>
      <c r="AC81" s="147"/>
      <c r="AD81" s="147"/>
      <c r="AE81" s="152"/>
      <c r="AF81" s="153" t="str">
        <f t="shared" si="3"/>
        <v xml:space="preserve"> </v>
      </c>
      <c r="AG81" s="154" t="str">
        <f t="shared" si="1"/>
        <v>Ingresar fuente de información</v>
      </c>
      <c r="AH81" s="134"/>
      <c r="AI81" s="155"/>
      <c r="AJ81" s="156"/>
      <c r="AK81" s="157"/>
      <c r="AM81" s="158"/>
      <c r="AN81" s="155" t="str">
        <f t="shared" si="5"/>
        <v xml:space="preserve"> </v>
      </c>
      <c r="AO81" s="156"/>
      <c r="AP81" s="157"/>
      <c r="AQ81" s="161"/>
      <c r="AR81" s="160" t="str">
        <f t="shared" si="4"/>
        <v xml:space="preserve"> </v>
      </c>
    </row>
    <row r="82" spans="1:44">
      <c r="A82" s="71"/>
      <c r="B82" s="142"/>
      <c r="C82" s="143"/>
      <c r="D82" s="143"/>
      <c r="E82" s="143"/>
      <c r="F82" s="144"/>
      <c r="G82" s="142"/>
      <c r="H82" s="144" t="str">
        <f>IF(OR(ISBLANK(I82),ISBLANK(AQ82))," ",IFERROR(VLOOKUP(CONCATENATE(I82,AQ82),Prestaciones!$E$1:$H$488,4,FALSE),IFERROR(VLOOKUP(CONCATENATE(LEFT(I82,6),AQ82),Prestaciones!$E$491:$H$836,4,FALSE),"La prestación no corresponde al grupo poblacional")))</f>
        <v xml:space="preserve"> </v>
      </c>
      <c r="I82" s="145"/>
      <c r="J82" s="145" t="str">
        <f>IF(OR(ISBLANK(I82),ISBLANK(AQ82))," ",IFERROR(VLOOKUP(CONCATENATE(I82,AQ82),Prestaciones!$E$1:$G$488,3,FALSE),IFERROR(VLOOKUP(CONCATENATE(LEFT(I82,6),AQ82),Prestaciones!$E$491:$H$836,3,FALSE),"La prestación no corresponde al grupo poblacional")))</f>
        <v xml:space="preserve"> </v>
      </c>
      <c r="K82" s="146"/>
      <c r="L82" s="146"/>
      <c r="M82" s="147"/>
      <c r="N82" s="148"/>
      <c r="O82" s="149"/>
      <c r="P82" s="150"/>
      <c r="Q82" s="151"/>
      <c r="R82" s="151"/>
      <c r="S82" s="151"/>
      <c r="T82" s="147"/>
      <c r="U82" s="147"/>
      <c r="V82" s="147"/>
      <c r="W82" s="149"/>
      <c r="X82" s="149"/>
      <c r="Y82" s="147"/>
      <c r="Z82" s="147"/>
      <c r="AA82" s="147"/>
      <c r="AB82" s="147"/>
      <c r="AC82" s="147"/>
      <c r="AD82" s="147"/>
      <c r="AE82" s="152"/>
      <c r="AF82" s="153" t="str">
        <f t="shared" si="3"/>
        <v xml:space="preserve"> </v>
      </c>
      <c r="AG82" s="154" t="str">
        <f t="shared" si="1"/>
        <v>Ingresar fuente de información</v>
      </c>
      <c r="AH82" s="134"/>
      <c r="AI82" s="155"/>
      <c r="AJ82" s="156"/>
      <c r="AK82" s="157"/>
      <c r="AM82" s="158"/>
      <c r="AN82" s="155" t="str">
        <f t="shared" si="5"/>
        <v xml:space="preserve"> </v>
      </c>
      <c r="AO82" s="156"/>
      <c r="AP82" s="157"/>
      <c r="AQ82" s="161"/>
      <c r="AR82" s="160" t="str">
        <f t="shared" si="4"/>
        <v xml:space="preserve"> </v>
      </c>
    </row>
    <row r="83" spans="1:44">
      <c r="A83" s="71"/>
      <c r="B83" s="142"/>
      <c r="C83" s="143"/>
      <c r="D83" s="143"/>
      <c r="E83" s="143"/>
      <c r="F83" s="144"/>
      <c r="G83" s="142"/>
      <c r="H83" s="144" t="str">
        <f>IF(OR(ISBLANK(I83),ISBLANK(AQ83))," ",IFERROR(VLOOKUP(CONCATENATE(I83,AQ83),Prestaciones!$E$1:$H$488,4,FALSE),IFERROR(VLOOKUP(CONCATENATE(LEFT(I83,6),AQ83),Prestaciones!$E$491:$H$836,4,FALSE),"La prestación no corresponde al grupo poblacional")))</f>
        <v xml:space="preserve"> </v>
      </c>
      <c r="I83" s="145"/>
      <c r="J83" s="145" t="str">
        <f>IF(OR(ISBLANK(I83),ISBLANK(AQ83))," ",IFERROR(VLOOKUP(CONCATENATE(I83,AQ83),Prestaciones!$E$1:$G$488,3,FALSE),IFERROR(VLOOKUP(CONCATENATE(LEFT(I83,6),AQ83),Prestaciones!$E$491:$H$836,3,FALSE),"La prestación no corresponde al grupo poblacional")))</f>
        <v xml:space="preserve"> </v>
      </c>
      <c r="K83" s="146"/>
      <c r="L83" s="146"/>
      <c r="M83" s="147"/>
      <c r="N83" s="148"/>
      <c r="O83" s="149"/>
      <c r="P83" s="150"/>
      <c r="Q83" s="151"/>
      <c r="R83" s="151"/>
      <c r="S83" s="151"/>
      <c r="T83" s="147"/>
      <c r="U83" s="147"/>
      <c r="V83" s="147"/>
      <c r="W83" s="149"/>
      <c r="X83" s="149"/>
      <c r="Y83" s="147"/>
      <c r="Z83" s="147"/>
      <c r="AA83" s="147"/>
      <c r="AB83" s="147"/>
      <c r="AC83" s="147"/>
      <c r="AD83" s="147"/>
      <c r="AE83" s="152"/>
      <c r="AF83" s="153" t="str">
        <f t="shared" si="3"/>
        <v xml:space="preserve"> </v>
      </c>
      <c r="AG83" s="154" t="str">
        <f t="shared" si="1"/>
        <v>Ingresar fuente de información</v>
      </c>
      <c r="AH83" s="134"/>
      <c r="AI83" s="155"/>
      <c r="AJ83" s="156"/>
      <c r="AK83" s="157"/>
      <c r="AM83" s="158"/>
      <c r="AN83" s="155" t="str">
        <f t="shared" si="5"/>
        <v xml:space="preserve"> </v>
      </c>
      <c r="AO83" s="156"/>
      <c r="AP83" s="157"/>
      <c r="AQ83" s="161"/>
      <c r="AR83" s="160" t="str">
        <f t="shared" si="4"/>
        <v xml:space="preserve"> </v>
      </c>
    </row>
    <row r="84" spans="1:44">
      <c r="A84" s="71"/>
      <c r="B84" s="142"/>
      <c r="C84" s="143"/>
      <c r="D84" s="143"/>
      <c r="E84" s="143"/>
      <c r="F84" s="144"/>
      <c r="G84" s="142"/>
      <c r="H84" s="144" t="str">
        <f>IF(OR(ISBLANK(I84),ISBLANK(AQ84))," ",IFERROR(VLOOKUP(CONCATENATE(I84,AQ84),Prestaciones!$E$1:$H$488,4,FALSE),IFERROR(VLOOKUP(CONCATENATE(LEFT(I84,6),AQ84),Prestaciones!$E$491:$H$836,4,FALSE),"La prestación no corresponde al grupo poblacional")))</f>
        <v xml:space="preserve"> </v>
      </c>
      <c r="I84" s="145"/>
      <c r="J84" s="145" t="str">
        <f>IF(OR(ISBLANK(I84),ISBLANK(AQ84))," ",IFERROR(VLOOKUP(CONCATENATE(I84,AQ84),Prestaciones!$E$1:$G$488,3,FALSE),IFERROR(VLOOKUP(CONCATENATE(LEFT(I84,6),AQ84),Prestaciones!$E$491:$H$836,3,FALSE),"La prestación no corresponde al grupo poblacional")))</f>
        <v xml:space="preserve"> </v>
      </c>
      <c r="K84" s="146"/>
      <c r="L84" s="146"/>
      <c r="M84" s="147"/>
      <c r="N84" s="148"/>
      <c r="O84" s="149"/>
      <c r="P84" s="150"/>
      <c r="Q84" s="151"/>
      <c r="R84" s="151"/>
      <c r="S84" s="151"/>
      <c r="T84" s="147"/>
      <c r="U84" s="147"/>
      <c r="V84" s="147"/>
      <c r="W84" s="149"/>
      <c r="X84" s="149"/>
      <c r="Y84" s="147"/>
      <c r="Z84" s="147"/>
      <c r="AA84" s="147"/>
      <c r="AB84" s="147"/>
      <c r="AC84" s="147"/>
      <c r="AD84" s="147"/>
      <c r="AE84" s="152"/>
      <c r="AF84" s="153" t="str">
        <f t="shared" si="3"/>
        <v xml:space="preserve"> </v>
      </c>
      <c r="AG84" s="154" t="str">
        <f t="shared" si="1"/>
        <v>Ingresar fuente de información</v>
      </c>
      <c r="AH84" s="134"/>
      <c r="AI84" s="155"/>
      <c r="AJ84" s="156"/>
      <c r="AK84" s="157"/>
      <c r="AM84" s="158"/>
      <c r="AN84" s="155" t="str">
        <f t="shared" si="5"/>
        <v xml:space="preserve"> </v>
      </c>
      <c r="AO84" s="156"/>
      <c r="AP84" s="157"/>
      <c r="AQ84" s="161"/>
      <c r="AR84" s="160" t="str">
        <f t="shared" si="4"/>
        <v xml:space="preserve"> </v>
      </c>
    </row>
    <row r="85" spans="1:44">
      <c r="A85" s="71"/>
      <c r="B85" s="142"/>
      <c r="C85" s="143"/>
      <c r="D85" s="143"/>
      <c r="E85" s="143"/>
      <c r="F85" s="144"/>
      <c r="G85" s="142"/>
      <c r="H85" s="144" t="str">
        <f>IF(OR(ISBLANK(I85),ISBLANK(AQ85))," ",IFERROR(VLOOKUP(CONCATENATE(I85,AQ85),Prestaciones!$E$1:$H$488,4,FALSE),IFERROR(VLOOKUP(CONCATENATE(LEFT(I85,6),AQ85),Prestaciones!$E$491:$H$836,4,FALSE),"La prestación no corresponde al grupo poblacional")))</f>
        <v xml:space="preserve"> </v>
      </c>
      <c r="I85" s="145"/>
      <c r="J85" s="145" t="str">
        <f>IF(OR(ISBLANK(I85),ISBLANK(AQ85))," ",IFERROR(VLOOKUP(CONCATENATE(I85,AQ85),Prestaciones!$E$1:$G$488,3,FALSE),IFERROR(VLOOKUP(CONCATENATE(LEFT(I85,6),AQ85),Prestaciones!$E$491:$H$836,3,FALSE),"La prestación no corresponde al grupo poblacional")))</f>
        <v xml:space="preserve"> </v>
      </c>
      <c r="K85" s="146"/>
      <c r="L85" s="146"/>
      <c r="M85" s="147"/>
      <c r="N85" s="148"/>
      <c r="O85" s="149"/>
      <c r="P85" s="150"/>
      <c r="Q85" s="151"/>
      <c r="R85" s="151"/>
      <c r="S85" s="151"/>
      <c r="T85" s="147"/>
      <c r="U85" s="147"/>
      <c r="V85" s="147"/>
      <c r="W85" s="149"/>
      <c r="X85" s="149"/>
      <c r="Y85" s="147"/>
      <c r="Z85" s="147"/>
      <c r="AA85" s="147"/>
      <c r="AB85" s="147"/>
      <c r="AC85" s="147"/>
      <c r="AD85" s="147"/>
      <c r="AE85" s="152"/>
      <c r="AF85" s="153" t="str">
        <f t="shared" si="3"/>
        <v xml:space="preserve"> </v>
      </c>
      <c r="AG85" s="154" t="str">
        <f t="shared" si="1"/>
        <v>Ingresar fuente de información</v>
      </c>
      <c r="AH85" s="134"/>
      <c r="AI85" s="155"/>
      <c r="AJ85" s="156"/>
      <c r="AK85" s="157"/>
      <c r="AM85" s="158"/>
      <c r="AN85" s="155" t="str">
        <f t="shared" si="5"/>
        <v xml:space="preserve"> </v>
      </c>
      <c r="AO85" s="156"/>
      <c r="AP85" s="157"/>
      <c r="AQ85" s="161"/>
      <c r="AR85" s="160" t="str">
        <f t="shared" si="4"/>
        <v xml:space="preserve"> </v>
      </c>
    </row>
    <row r="86" spans="1:44">
      <c r="A86" s="71"/>
      <c r="B86" s="142"/>
      <c r="C86" s="143"/>
      <c r="D86" s="143"/>
      <c r="E86" s="143"/>
      <c r="F86" s="144"/>
      <c r="G86" s="142"/>
      <c r="H86" s="144" t="str">
        <f>IF(OR(ISBLANK(I86),ISBLANK(AQ86))," ",IFERROR(VLOOKUP(CONCATENATE(I86,AQ86),Prestaciones!$E$1:$H$488,4,FALSE),IFERROR(VLOOKUP(CONCATENATE(LEFT(I86,6),AQ86),Prestaciones!$E$491:$H$836,4,FALSE),"La prestación no corresponde al grupo poblacional")))</f>
        <v xml:space="preserve"> </v>
      </c>
      <c r="I86" s="145"/>
      <c r="J86" s="145" t="str">
        <f>IF(OR(ISBLANK(I86),ISBLANK(AQ86))," ",IFERROR(VLOOKUP(CONCATENATE(I86,AQ86),Prestaciones!$E$1:$G$488,3,FALSE),IFERROR(VLOOKUP(CONCATENATE(LEFT(I86,6),AQ86),Prestaciones!$E$491:$H$836,3,FALSE),"La prestación no corresponde al grupo poblacional")))</f>
        <v xml:space="preserve"> </v>
      </c>
      <c r="K86" s="146"/>
      <c r="L86" s="146"/>
      <c r="M86" s="147"/>
      <c r="N86" s="148"/>
      <c r="O86" s="149"/>
      <c r="P86" s="150"/>
      <c r="Q86" s="151"/>
      <c r="R86" s="151"/>
      <c r="S86" s="151"/>
      <c r="T86" s="147"/>
      <c r="U86" s="147"/>
      <c r="V86" s="147"/>
      <c r="W86" s="149"/>
      <c r="X86" s="149"/>
      <c r="Y86" s="147"/>
      <c r="Z86" s="147"/>
      <c r="AA86" s="147"/>
      <c r="AB86" s="147"/>
      <c r="AC86" s="147"/>
      <c r="AD86" s="147"/>
      <c r="AE86" s="152"/>
      <c r="AF86" s="153" t="str">
        <f t="shared" si="3"/>
        <v xml:space="preserve"> </v>
      </c>
      <c r="AG86" s="154" t="str">
        <f t="shared" si="1"/>
        <v>Ingresar fuente de información</v>
      </c>
      <c r="AH86" s="134"/>
      <c r="AI86" s="155"/>
      <c r="AJ86" s="156"/>
      <c r="AK86" s="157"/>
      <c r="AM86" s="158"/>
      <c r="AN86" s="155" t="str">
        <f t="shared" si="5"/>
        <v xml:space="preserve"> </v>
      </c>
      <c r="AO86" s="156"/>
      <c r="AP86" s="157"/>
      <c r="AQ86" s="161"/>
      <c r="AR86" s="160" t="str">
        <f t="shared" si="4"/>
        <v xml:space="preserve"> </v>
      </c>
    </row>
    <row r="87" spans="1:44">
      <c r="A87" s="71"/>
      <c r="B87" s="142"/>
      <c r="C87" s="143"/>
      <c r="D87" s="143"/>
      <c r="E87" s="143"/>
      <c r="F87" s="144"/>
      <c r="G87" s="142"/>
      <c r="H87" s="144" t="str">
        <f>IF(OR(ISBLANK(I87),ISBLANK(AQ87))," ",IFERROR(VLOOKUP(CONCATENATE(I87,AQ87),Prestaciones!$E$1:$H$488,4,FALSE),IFERROR(VLOOKUP(CONCATENATE(LEFT(I87,6),AQ87),Prestaciones!$E$491:$H$836,4,FALSE),"La prestación no corresponde al grupo poblacional")))</f>
        <v xml:space="preserve"> </v>
      </c>
      <c r="I87" s="145"/>
      <c r="J87" s="145" t="str">
        <f>IF(OR(ISBLANK(I87),ISBLANK(AQ87))," ",IFERROR(VLOOKUP(CONCATENATE(I87,AQ87),Prestaciones!$E$1:$G$488,3,FALSE),IFERROR(VLOOKUP(CONCATENATE(LEFT(I87,6),AQ87),Prestaciones!$E$491:$H$836,3,FALSE),"La prestación no corresponde al grupo poblacional")))</f>
        <v xml:space="preserve"> </v>
      </c>
      <c r="K87" s="146"/>
      <c r="L87" s="146"/>
      <c r="M87" s="147"/>
      <c r="N87" s="148"/>
      <c r="O87" s="149"/>
      <c r="P87" s="150"/>
      <c r="Q87" s="151"/>
      <c r="R87" s="151"/>
      <c r="S87" s="151"/>
      <c r="T87" s="147"/>
      <c r="U87" s="147"/>
      <c r="V87" s="147"/>
      <c r="W87" s="149"/>
      <c r="X87" s="149"/>
      <c r="Y87" s="147"/>
      <c r="Z87" s="147"/>
      <c r="AA87" s="147"/>
      <c r="AB87" s="147"/>
      <c r="AC87" s="147"/>
      <c r="AD87" s="147"/>
      <c r="AE87" s="152"/>
      <c r="AF87" s="153" t="str">
        <f t="shared" si="3"/>
        <v xml:space="preserve"> </v>
      </c>
      <c r="AG87" s="154" t="str">
        <f t="shared" si="1"/>
        <v>Ingresar fuente de información</v>
      </c>
      <c r="AH87" s="134"/>
      <c r="AI87" s="155"/>
      <c r="AJ87" s="156"/>
      <c r="AK87" s="157"/>
      <c r="AM87" s="158"/>
      <c r="AN87" s="155" t="str">
        <f t="shared" si="5"/>
        <v xml:space="preserve"> </v>
      </c>
      <c r="AO87" s="156"/>
      <c r="AP87" s="157"/>
      <c r="AQ87" s="161"/>
      <c r="AR87" s="160" t="str">
        <f t="shared" si="4"/>
        <v xml:space="preserve"> </v>
      </c>
    </row>
    <row r="88" spans="1:44">
      <c r="A88" s="71"/>
      <c r="B88" s="142"/>
      <c r="C88" s="143"/>
      <c r="D88" s="143"/>
      <c r="E88" s="143"/>
      <c r="F88" s="144"/>
      <c r="G88" s="142"/>
      <c r="H88" s="144" t="str">
        <f>IF(OR(ISBLANK(I88),ISBLANK(AQ88))," ",IFERROR(VLOOKUP(CONCATENATE(I88,AQ88),Prestaciones!$E$1:$H$488,4,FALSE),IFERROR(VLOOKUP(CONCATENATE(LEFT(I88,6),AQ88),Prestaciones!$E$491:$H$836,4,FALSE),"La prestación no corresponde al grupo poblacional")))</f>
        <v xml:space="preserve"> </v>
      </c>
      <c r="I88" s="145"/>
      <c r="J88" s="145" t="str">
        <f>IF(OR(ISBLANK(I88),ISBLANK(AQ88))," ",IFERROR(VLOOKUP(CONCATENATE(I88,AQ88),Prestaciones!$E$1:$G$488,3,FALSE),IFERROR(VLOOKUP(CONCATENATE(LEFT(I88,6),AQ88),Prestaciones!$E$491:$H$836,3,FALSE),"La prestación no corresponde al grupo poblacional")))</f>
        <v xml:space="preserve"> </v>
      </c>
      <c r="K88" s="146"/>
      <c r="L88" s="146"/>
      <c r="M88" s="147"/>
      <c r="N88" s="148"/>
      <c r="O88" s="149"/>
      <c r="P88" s="150"/>
      <c r="Q88" s="151"/>
      <c r="R88" s="151"/>
      <c r="S88" s="151"/>
      <c r="T88" s="147"/>
      <c r="U88" s="147"/>
      <c r="V88" s="147"/>
      <c r="W88" s="149"/>
      <c r="X88" s="149"/>
      <c r="Y88" s="147"/>
      <c r="Z88" s="147"/>
      <c r="AA88" s="147"/>
      <c r="AB88" s="147"/>
      <c r="AC88" s="147"/>
      <c r="AD88" s="147"/>
      <c r="AE88" s="152"/>
      <c r="AF88" s="153" t="str">
        <f t="shared" si="3"/>
        <v xml:space="preserve"> </v>
      </c>
      <c r="AG88" s="154" t="str">
        <f t="shared" si="1"/>
        <v>Ingresar fuente de información</v>
      </c>
      <c r="AH88" s="134"/>
      <c r="AI88" s="155"/>
      <c r="AJ88" s="156"/>
      <c r="AK88" s="157"/>
      <c r="AM88" s="158"/>
      <c r="AN88" s="155" t="str">
        <f t="shared" si="5"/>
        <v xml:space="preserve"> </v>
      </c>
      <c r="AO88" s="156"/>
      <c r="AP88" s="157"/>
      <c r="AQ88" s="161"/>
      <c r="AR88" s="160" t="str">
        <f t="shared" si="4"/>
        <v xml:space="preserve"> </v>
      </c>
    </row>
    <row r="89" spans="1:44">
      <c r="A89" s="71"/>
      <c r="B89" s="142"/>
      <c r="C89" s="143"/>
      <c r="D89" s="143"/>
      <c r="E89" s="143"/>
      <c r="F89" s="144"/>
      <c r="G89" s="142"/>
      <c r="H89" s="144" t="str">
        <f>IF(OR(ISBLANK(I89),ISBLANK(AQ89))," ",IFERROR(VLOOKUP(CONCATENATE(I89,AQ89),Prestaciones!$E$1:$H$488,4,FALSE),IFERROR(VLOOKUP(CONCATENATE(LEFT(I89,6),AQ89),Prestaciones!$E$491:$H$836,4,FALSE),"La prestación no corresponde al grupo poblacional")))</f>
        <v xml:space="preserve"> </v>
      </c>
      <c r="I89" s="145"/>
      <c r="J89" s="145" t="str">
        <f>IF(OR(ISBLANK(I89),ISBLANK(AQ89))," ",IFERROR(VLOOKUP(CONCATENATE(I89,AQ89),Prestaciones!$E$1:$G$488,3,FALSE),IFERROR(VLOOKUP(CONCATENATE(LEFT(I89,6),AQ89),Prestaciones!$E$491:$H$836,3,FALSE),"La prestación no corresponde al grupo poblacional")))</f>
        <v xml:space="preserve"> </v>
      </c>
      <c r="K89" s="146"/>
      <c r="L89" s="146"/>
      <c r="M89" s="147"/>
      <c r="N89" s="148"/>
      <c r="O89" s="149"/>
      <c r="P89" s="150"/>
      <c r="Q89" s="151"/>
      <c r="R89" s="151"/>
      <c r="S89" s="151"/>
      <c r="T89" s="147"/>
      <c r="U89" s="147"/>
      <c r="V89" s="147"/>
      <c r="W89" s="149"/>
      <c r="X89" s="149"/>
      <c r="Y89" s="147"/>
      <c r="Z89" s="147"/>
      <c r="AA89" s="147"/>
      <c r="AB89" s="147"/>
      <c r="AC89" s="147"/>
      <c r="AD89" s="147"/>
      <c r="AE89" s="152"/>
      <c r="AF89" s="153" t="str">
        <f t="shared" si="3"/>
        <v xml:space="preserve"> </v>
      </c>
      <c r="AG89" s="154" t="str">
        <f t="shared" si="1"/>
        <v>Ingresar fuente de información</v>
      </c>
      <c r="AH89" s="134"/>
      <c r="AI89" s="155"/>
      <c r="AJ89" s="156"/>
      <c r="AK89" s="157"/>
      <c r="AM89" s="158"/>
      <c r="AN89" s="155" t="str">
        <f t="shared" si="5"/>
        <v xml:space="preserve"> </v>
      </c>
      <c r="AO89" s="156"/>
      <c r="AP89" s="157"/>
      <c r="AQ89" s="161"/>
      <c r="AR89" s="160" t="str">
        <f t="shared" si="4"/>
        <v xml:space="preserve"> </v>
      </c>
    </row>
    <row r="90" spans="1:44">
      <c r="A90" s="71"/>
      <c r="B90" s="142"/>
      <c r="C90" s="143"/>
      <c r="D90" s="143"/>
      <c r="E90" s="143"/>
      <c r="F90" s="144"/>
      <c r="G90" s="142"/>
      <c r="H90" s="144" t="str">
        <f>IF(OR(ISBLANK(I90),ISBLANK(AQ90))," ",IFERROR(VLOOKUP(CONCATENATE(I90,AQ90),Prestaciones!$E$1:$H$488,4,FALSE),IFERROR(VLOOKUP(CONCATENATE(LEFT(I90,6),AQ90),Prestaciones!$E$491:$H$836,4,FALSE),"La prestación no corresponde al grupo poblacional")))</f>
        <v xml:space="preserve"> </v>
      </c>
      <c r="I90" s="145"/>
      <c r="J90" s="145" t="str">
        <f>IF(OR(ISBLANK(I90),ISBLANK(AQ90))," ",IFERROR(VLOOKUP(CONCATENATE(I90,AQ90),Prestaciones!$E$1:$G$488,3,FALSE),IFERROR(VLOOKUP(CONCATENATE(LEFT(I90,6),AQ90),Prestaciones!$E$491:$H$836,3,FALSE),"La prestación no corresponde al grupo poblacional")))</f>
        <v xml:space="preserve"> </v>
      </c>
      <c r="K90" s="146"/>
      <c r="L90" s="146"/>
      <c r="M90" s="147"/>
      <c r="N90" s="148"/>
      <c r="O90" s="149"/>
      <c r="P90" s="150"/>
      <c r="Q90" s="151"/>
      <c r="R90" s="151"/>
      <c r="S90" s="151"/>
      <c r="T90" s="147"/>
      <c r="U90" s="147"/>
      <c r="V90" s="147"/>
      <c r="W90" s="149"/>
      <c r="X90" s="149"/>
      <c r="Y90" s="147"/>
      <c r="Z90" s="147"/>
      <c r="AA90" s="147"/>
      <c r="AB90" s="147"/>
      <c r="AC90" s="147"/>
      <c r="AD90" s="147"/>
      <c r="AE90" s="152"/>
      <c r="AF90" s="153" t="str">
        <f t="shared" si="3"/>
        <v xml:space="preserve"> </v>
      </c>
      <c r="AG90" s="154" t="str">
        <f t="shared" si="1"/>
        <v>Ingresar fuente de información</v>
      </c>
      <c r="AH90" s="134"/>
      <c r="AI90" s="155"/>
      <c r="AJ90" s="156"/>
      <c r="AK90" s="157"/>
      <c r="AM90" s="158"/>
      <c r="AN90" s="155" t="str">
        <f t="shared" si="5"/>
        <v xml:space="preserve"> </v>
      </c>
      <c r="AO90" s="156"/>
      <c r="AP90" s="157"/>
      <c r="AQ90" s="161"/>
      <c r="AR90" s="160" t="str">
        <f t="shared" si="4"/>
        <v xml:space="preserve"> </v>
      </c>
    </row>
    <row r="91" spans="1:44">
      <c r="A91" s="71"/>
      <c r="B91" s="142"/>
      <c r="C91" s="143"/>
      <c r="D91" s="143"/>
      <c r="E91" s="143"/>
      <c r="F91" s="144"/>
      <c r="G91" s="142"/>
      <c r="H91" s="144" t="str">
        <f>IF(OR(ISBLANK(I91),ISBLANK(AQ91))," ",IFERROR(VLOOKUP(CONCATENATE(I91,AQ91),Prestaciones!$E$1:$H$488,4,FALSE),IFERROR(VLOOKUP(CONCATENATE(LEFT(I91,6),AQ91),Prestaciones!$E$491:$H$836,4,FALSE),"La prestación no corresponde al grupo poblacional")))</f>
        <v xml:space="preserve"> </v>
      </c>
      <c r="I91" s="145"/>
      <c r="J91" s="145" t="str">
        <f>IF(OR(ISBLANK(I91),ISBLANK(AQ91))," ",IFERROR(VLOOKUP(CONCATENATE(I91,AQ91),Prestaciones!$E$1:$G$488,3,FALSE),IFERROR(VLOOKUP(CONCATENATE(LEFT(I91,6),AQ91),Prestaciones!$E$491:$H$836,3,FALSE),"La prestación no corresponde al grupo poblacional")))</f>
        <v xml:space="preserve"> </v>
      </c>
      <c r="K91" s="146"/>
      <c r="L91" s="146"/>
      <c r="M91" s="147"/>
      <c r="N91" s="148"/>
      <c r="O91" s="149"/>
      <c r="P91" s="150"/>
      <c r="Q91" s="151"/>
      <c r="R91" s="151"/>
      <c r="S91" s="151"/>
      <c r="T91" s="147"/>
      <c r="U91" s="147"/>
      <c r="V91" s="147"/>
      <c r="W91" s="149"/>
      <c r="X91" s="149"/>
      <c r="Y91" s="147"/>
      <c r="Z91" s="147"/>
      <c r="AA91" s="147"/>
      <c r="AB91" s="147"/>
      <c r="AC91" s="147"/>
      <c r="AD91" s="147"/>
      <c r="AE91" s="152"/>
      <c r="AF91" s="153" t="str">
        <f t="shared" si="3"/>
        <v xml:space="preserve"> </v>
      </c>
      <c r="AG91" s="154" t="str">
        <f t="shared" si="1"/>
        <v>Ingresar fuente de información</v>
      </c>
      <c r="AH91" s="134"/>
      <c r="AI91" s="155"/>
      <c r="AJ91" s="156"/>
      <c r="AK91" s="157"/>
      <c r="AM91" s="158"/>
      <c r="AN91" s="155" t="str">
        <f t="shared" si="5"/>
        <v xml:space="preserve"> </v>
      </c>
      <c r="AO91" s="156"/>
      <c r="AP91" s="157"/>
      <c r="AQ91" s="161"/>
      <c r="AR91" s="160" t="str">
        <f t="shared" si="4"/>
        <v xml:space="preserve"> </v>
      </c>
    </row>
    <row r="92" spans="1:44">
      <c r="A92" s="71"/>
      <c r="B92" s="142"/>
      <c r="C92" s="143"/>
      <c r="D92" s="143"/>
      <c r="E92" s="143"/>
      <c r="F92" s="144"/>
      <c r="G92" s="142"/>
      <c r="H92" s="144" t="str">
        <f>IF(OR(ISBLANK(I92),ISBLANK(AQ92))," ",IFERROR(VLOOKUP(CONCATENATE(I92,AQ92),Prestaciones!$E$1:$H$488,4,FALSE),IFERROR(VLOOKUP(CONCATENATE(LEFT(I92,6),AQ92),Prestaciones!$E$491:$H$836,4,FALSE),"La prestación no corresponde al grupo poblacional")))</f>
        <v xml:space="preserve"> </v>
      </c>
      <c r="I92" s="145"/>
      <c r="J92" s="145" t="str">
        <f>IF(OR(ISBLANK(I92),ISBLANK(AQ92))," ",IFERROR(VLOOKUP(CONCATENATE(I92,AQ92),Prestaciones!$E$1:$G$488,3,FALSE),IFERROR(VLOOKUP(CONCATENATE(LEFT(I92,6),AQ92),Prestaciones!$E$491:$H$836,3,FALSE),"La prestación no corresponde al grupo poblacional")))</f>
        <v xml:space="preserve"> </v>
      </c>
      <c r="K92" s="146"/>
      <c r="L92" s="146"/>
      <c r="M92" s="147"/>
      <c r="N92" s="148"/>
      <c r="O92" s="149"/>
      <c r="P92" s="150"/>
      <c r="Q92" s="151"/>
      <c r="R92" s="151"/>
      <c r="S92" s="151"/>
      <c r="T92" s="147"/>
      <c r="U92" s="147"/>
      <c r="V92" s="147"/>
      <c r="W92" s="149"/>
      <c r="X92" s="149"/>
      <c r="Y92" s="147"/>
      <c r="Z92" s="147"/>
      <c r="AA92" s="147"/>
      <c r="AB92" s="147"/>
      <c r="AC92" s="147"/>
      <c r="AD92" s="147"/>
      <c r="AE92" s="152"/>
      <c r="AF92" s="153" t="str">
        <f t="shared" si="3"/>
        <v xml:space="preserve"> </v>
      </c>
      <c r="AG92" s="154" t="str">
        <f t="shared" si="1"/>
        <v>Ingresar fuente de información</v>
      </c>
      <c r="AH92" s="134"/>
      <c r="AI92" s="155"/>
      <c r="AJ92" s="156"/>
      <c r="AK92" s="157"/>
      <c r="AM92" s="158"/>
      <c r="AN92" s="155" t="str">
        <f t="shared" si="5"/>
        <v xml:space="preserve"> </v>
      </c>
      <c r="AO92" s="156"/>
      <c r="AP92" s="157"/>
      <c r="AQ92" s="161"/>
      <c r="AR92" s="160" t="str">
        <f t="shared" si="4"/>
        <v xml:space="preserve"> </v>
      </c>
    </row>
    <row r="93" spans="1:44">
      <c r="A93" s="71"/>
      <c r="B93" s="142"/>
      <c r="C93" s="143"/>
      <c r="D93" s="143"/>
      <c r="E93" s="143"/>
      <c r="F93" s="144"/>
      <c r="G93" s="142"/>
      <c r="H93" s="144" t="str">
        <f>IF(OR(ISBLANK(I93),ISBLANK(AQ93))," ",IFERROR(VLOOKUP(CONCATENATE(I93,AQ93),Prestaciones!$E$1:$H$488,4,FALSE),IFERROR(VLOOKUP(CONCATENATE(LEFT(I93,6),AQ93),Prestaciones!$E$491:$H$836,4,FALSE),"La prestación no corresponde al grupo poblacional")))</f>
        <v xml:space="preserve"> </v>
      </c>
      <c r="I93" s="145"/>
      <c r="J93" s="145" t="str">
        <f>IF(OR(ISBLANK(I93),ISBLANK(AQ93))," ",IFERROR(VLOOKUP(CONCATENATE(I93,AQ93),Prestaciones!$E$1:$G$488,3,FALSE),IFERROR(VLOOKUP(CONCATENATE(LEFT(I93,6),AQ93),Prestaciones!$E$491:$H$836,3,FALSE),"La prestación no corresponde al grupo poblacional")))</f>
        <v xml:space="preserve"> </v>
      </c>
      <c r="K93" s="146"/>
      <c r="L93" s="146"/>
      <c r="M93" s="147"/>
      <c r="N93" s="148"/>
      <c r="O93" s="149"/>
      <c r="P93" s="150"/>
      <c r="Q93" s="151"/>
      <c r="R93" s="151"/>
      <c r="S93" s="151"/>
      <c r="T93" s="147"/>
      <c r="U93" s="147"/>
      <c r="V93" s="147"/>
      <c r="W93" s="149"/>
      <c r="X93" s="149"/>
      <c r="Y93" s="147"/>
      <c r="Z93" s="147"/>
      <c r="AA93" s="147"/>
      <c r="AB93" s="147"/>
      <c r="AC93" s="147"/>
      <c r="AD93" s="147"/>
      <c r="AE93" s="152"/>
      <c r="AF93" s="153" t="str">
        <f t="shared" si="3"/>
        <v xml:space="preserve"> </v>
      </c>
      <c r="AG93" s="154" t="str">
        <f t="shared" si="1"/>
        <v>Ingresar fuente de información</v>
      </c>
      <c r="AH93" s="134"/>
      <c r="AI93" s="155"/>
      <c r="AJ93" s="156"/>
      <c r="AK93" s="157"/>
      <c r="AM93" s="158"/>
      <c r="AN93" s="155" t="str">
        <f t="shared" si="5"/>
        <v xml:space="preserve"> </v>
      </c>
      <c r="AO93" s="156"/>
      <c r="AP93" s="157"/>
      <c r="AQ93" s="161"/>
      <c r="AR93" s="160" t="str">
        <f t="shared" si="4"/>
        <v xml:space="preserve"> </v>
      </c>
    </row>
    <row r="94" spans="1:44">
      <c r="A94" s="71"/>
      <c r="B94" s="142"/>
      <c r="C94" s="143"/>
      <c r="D94" s="143"/>
      <c r="E94" s="143"/>
      <c r="F94" s="144"/>
      <c r="G94" s="142"/>
      <c r="H94" s="144" t="str">
        <f>IF(OR(ISBLANK(I94),ISBLANK(AQ94))," ",IFERROR(VLOOKUP(CONCATENATE(I94,AQ94),Prestaciones!$E$1:$H$488,4,FALSE),IFERROR(VLOOKUP(CONCATENATE(LEFT(I94,6),AQ94),Prestaciones!$E$491:$H$836,4,FALSE),"La prestación no corresponde al grupo poblacional")))</f>
        <v xml:space="preserve"> </v>
      </c>
      <c r="I94" s="145"/>
      <c r="J94" s="145" t="str">
        <f>IF(OR(ISBLANK(I94),ISBLANK(AQ94))," ",IFERROR(VLOOKUP(CONCATENATE(I94,AQ94),Prestaciones!$E$1:$G$488,3,FALSE),IFERROR(VLOOKUP(CONCATENATE(LEFT(I94,6),AQ94),Prestaciones!$E$491:$H$836,3,FALSE),"La prestación no corresponde al grupo poblacional")))</f>
        <v xml:space="preserve"> </v>
      </c>
      <c r="K94" s="146"/>
      <c r="L94" s="146"/>
      <c r="M94" s="147"/>
      <c r="N94" s="148"/>
      <c r="O94" s="149"/>
      <c r="P94" s="150"/>
      <c r="Q94" s="151"/>
      <c r="R94" s="151"/>
      <c r="S94" s="151"/>
      <c r="T94" s="147"/>
      <c r="U94" s="147"/>
      <c r="V94" s="147"/>
      <c r="W94" s="149"/>
      <c r="X94" s="149"/>
      <c r="Y94" s="147"/>
      <c r="Z94" s="147"/>
      <c r="AA94" s="147"/>
      <c r="AB94" s="147"/>
      <c r="AC94" s="147"/>
      <c r="AD94" s="147"/>
      <c r="AE94" s="152"/>
      <c r="AF94" s="153" t="str">
        <f t="shared" si="3"/>
        <v xml:space="preserve"> </v>
      </c>
      <c r="AG94" s="154" t="str">
        <f t="shared" si="1"/>
        <v>Ingresar fuente de información</v>
      </c>
      <c r="AH94" s="134"/>
      <c r="AI94" s="155"/>
      <c r="AJ94" s="156"/>
      <c r="AK94" s="157"/>
      <c r="AM94" s="158"/>
      <c r="AN94" s="155" t="str">
        <f t="shared" si="5"/>
        <v xml:space="preserve"> </v>
      </c>
      <c r="AO94" s="156"/>
      <c r="AP94" s="157"/>
      <c r="AQ94" s="161"/>
      <c r="AR94" s="160" t="str">
        <f t="shared" si="4"/>
        <v xml:space="preserve"> </v>
      </c>
    </row>
    <row r="95" spans="1:44">
      <c r="A95" s="71"/>
      <c r="B95" s="142"/>
      <c r="C95" s="143"/>
      <c r="D95" s="143"/>
      <c r="E95" s="143"/>
      <c r="F95" s="144"/>
      <c r="G95" s="142"/>
      <c r="H95" s="144" t="str">
        <f>IF(OR(ISBLANK(I95),ISBLANK(AQ95))," ",IFERROR(VLOOKUP(CONCATENATE(I95,AQ95),Prestaciones!$E$1:$H$488,4,FALSE),IFERROR(VLOOKUP(CONCATENATE(LEFT(I95,6),AQ95),Prestaciones!$E$491:$H$836,4,FALSE),"La prestación no corresponde al grupo poblacional")))</f>
        <v xml:space="preserve"> </v>
      </c>
      <c r="I95" s="145"/>
      <c r="J95" s="145" t="str">
        <f>IF(OR(ISBLANK(I95),ISBLANK(AQ95))," ",IFERROR(VLOOKUP(CONCATENATE(I95,AQ95),Prestaciones!$E$1:$G$488,3,FALSE),IFERROR(VLOOKUP(CONCATENATE(LEFT(I95,6),AQ95),Prestaciones!$E$491:$H$836,3,FALSE),"La prestación no corresponde al grupo poblacional")))</f>
        <v xml:space="preserve"> </v>
      </c>
      <c r="K95" s="146"/>
      <c r="L95" s="146"/>
      <c r="M95" s="147"/>
      <c r="N95" s="148"/>
      <c r="O95" s="149"/>
      <c r="P95" s="150"/>
      <c r="Q95" s="151"/>
      <c r="R95" s="151"/>
      <c r="S95" s="151"/>
      <c r="T95" s="147"/>
      <c r="U95" s="147"/>
      <c r="V95" s="147"/>
      <c r="W95" s="149"/>
      <c r="X95" s="149"/>
      <c r="Y95" s="147"/>
      <c r="Z95" s="147"/>
      <c r="AA95" s="147"/>
      <c r="AB95" s="147"/>
      <c r="AC95" s="147"/>
      <c r="AD95" s="147"/>
      <c r="AE95" s="152"/>
      <c r="AF95" s="153" t="str">
        <f t="shared" ref="AF95:AF158" si="6">IF(ISBLANK(P95)," ",(K95-P95)/365)</f>
        <v xml:space="preserve"> </v>
      </c>
      <c r="AG95" s="154" t="str">
        <f t="shared" ref="AG95:AG158" si="7">IF(M95="No consta fuente de información","Se debe labrar acta",IF(M95="Prestación inexistente","Se debe labrar acta e indicar el tipo de fuente de información en observaciones",IF(M95="","Ingresar fuente de información",IF(AND(OR(M95="HC",M95="Ficha odontológica",M95="Libro de enfermería",M95="SIP",M95="Registro vacunatorio",M95="HCPB",M95="Ficha médica",M95="Libro del servicio de imágenes",M95="Registro del servicio de anatomía patológica",M95="Sistema informático",M95="Caso duplicado"),(OR(ISBLANK(O95),ISBLANK(Q95),ISBLANK(R95),ISBLANK(S95),ISBLANK(T95),ISBLANK(U95),ISBLANK(V95),ISBLANK(W95),ISBLANK(X95),ISBLANK(Y95),ISBLANK(Z95),ISBLANK(AA95),ISBLANK(AB95),ISBLANK(AC95),ISBLANK(AD95)))),"Completar todos los campos","OK"))))</f>
        <v>Ingresar fuente de información</v>
      </c>
      <c r="AH95" s="134"/>
      <c r="AI95" s="155"/>
      <c r="AJ95" s="156"/>
      <c r="AK95" s="157"/>
      <c r="AM95" s="158"/>
      <c r="AN95" s="155" t="str">
        <f t="shared" si="5"/>
        <v xml:space="preserve"> </v>
      </c>
      <c r="AO95" s="156"/>
      <c r="AP95" s="157"/>
      <c r="AQ95" s="161"/>
      <c r="AR95" s="160" t="str">
        <f t="shared" si="4"/>
        <v xml:space="preserve"> </v>
      </c>
    </row>
    <row r="96" spans="1:44">
      <c r="A96" s="71"/>
      <c r="B96" s="142"/>
      <c r="C96" s="143"/>
      <c r="D96" s="143"/>
      <c r="E96" s="143"/>
      <c r="F96" s="144"/>
      <c r="G96" s="142"/>
      <c r="H96" s="144" t="str">
        <f>IF(OR(ISBLANK(I96),ISBLANK(AQ96))," ",IFERROR(VLOOKUP(CONCATENATE(I96,AQ96),Prestaciones!$E$1:$H$488,4,FALSE),IFERROR(VLOOKUP(CONCATENATE(LEFT(I96,6),AQ96),Prestaciones!$E$491:$H$836,4,FALSE),"La prestación no corresponde al grupo poblacional")))</f>
        <v xml:space="preserve"> </v>
      </c>
      <c r="I96" s="145"/>
      <c r="J96" s="145" t="str">
        <f>IF(OR(ISBLANK(I96),ISBLANK(AQ96))," ",IFERROR(VLOOKUP(CONCATENATE(I96,AQ96),Prestaciones!$E$1:$G$488,3,FALSE),IFERROR(VLOOKUP(CONCATENATE(LEFT(I96,6),AQ96),Prestaciones!$E$491:$H$836,3,FALSE),"La prestación no corresponde al grupo poblacional")))</f>
        <v xml:space="preserve"> </v>
      </c>
      <c r="K96" s="146"/>
      <c r="L96" s="146"/>
      <c r="M96" s="147"/>
      <c r="N96" s="148"/>
      <c r="O96" s="149"/>
      <c r="P96" s="150"/>
      <c r="Q96" s="151"/>
      <c r="R96" s="151"/>
      <c r="S96" s="151"/>
      <c r="T96" s="147"/>
      <c r="U96" s="147"/>
      <c r="V96" s="147"/>
      <c r="W96" s="149"/>
      <c r="X96" s="149"/>
      <c r="Y96" s="147"/>
      <c r="Z96" s="147"/>
      <c r="AA96" s="147"/>
      <c r="AB96" s="147"/>
      <c r="AC96" s="147"/>
      <c r="AD96" s="147"/>
      <c r="AE96" s="152"/>
      <c r="AF96" s="153" t="str">
        <f t="shared" si="6"/>
        <v xml:space="preserve"> </v>
      </c>
      <c r="AG96" s="154" t="str">
        <f t="shared" si="7"/>
        <v>Ingresar fuente de información</v>
      </c>
      <c r="AH96" s="134"/>
      <c r="AI96" s="155"/>
      <c r="AJ96" s="156"/>
      <c r="AK96" s="157"/>
      <c r="AM96" s="158"/>
      <c r="AN96" s="155" t="str">
        <f t="shared" si="5"/>
        <v xml:space="preserve"> </v>
      </c>
      <c r="AO96" s="156"/>
      <c r="AP96" s="157"/>
      <c r="AQ96" s="161"/>
      <c r="AR96" s="160" t="str">
        <f t="shared" ref="AR96:AR159" si="8">IF(ISBLANK(P96)," ",IF(AND(AF96&lt;10),"Niños",IF(AND(AF96&gt;=10,AF96&lt;20),"Adolescentes",IF(AND(AF96&gt;=20,AF96&lt;65),"Adultos","No valido"))))</f>
        <v xml:space="preserve"> </v>
      </c>
    </row>
    <row r="97" spans="1:44">
      <c r="A97" s="71"/>
      <c r="B97" s="142"/>
      <c r="C97" s="143"/>
      <c r="D97" s="143"/>
      <c r="E97" s="143"/>
      <c r="F97" s="144"/>
      <c r="G97" s="142"/>
      <c r="H97" s="144" t="str">
        <f>IF(OR(ISBLANK(I97),ISBLANK(AQ97))," ",IFERROR(VLOOKUP(CONCATENATE(I97,AQ97),Prestaciones!$E$1:$H$488,4,FALSE),IFERROR(VLOOKUP(CONCATENATE(LEFT(I97,6),AQ97),Prestaciones!$E$491:$H$836,4,FALSE),"La prestación no corresponde al grupo poblacional")))</f>
        <v xml:space="preserve"> </v>
      </c>
      <c r="I97" s="145"/>
      <c r="J97" s="145" t="str">
        <f>IF(OR(ISBLANK(I97),ISBLANK(AQ97))," ",IFERROR(VLOOKUP(CONCATENATE(I97,AQ97),Prestaciones!$E$1:$G$488,3,FALSE),IFERROR(VLOOKUP(CONCATENATE(LEFT(I97,6),AQ97),Prestaciones!$E$491:$H$836,3,FALSE),"La prestación no corresponde al grupo poblacional")))</f>
        <v xml:space="preserve"> </v>
      </c>
      <c r="K97" s="146"/>
      <c r="L97" s="146"/>
      <c r="M97" s="147"/>
      <c r="N97" s="148"/>
      <c r="O97" s="149"/>
      <c r="P97" s="150"/>
      <c r="Q97" s="151"/>
      <c r="R97" s="151"/>
      <c r="S97" s="151"/>
      <c r="T97" s="147"/>
      <c r="U97" s="147"/>
      <c r="V97" s="147"/>
      <c r="W97" s="149"/>
      <c r="X97" s="149"/>
      <c r="Y97" s="147"/>
      <c r="Z97" s="147"/>
      <c r="AA97" s="147"/>
      <c r="AB97" s="147"/>
      <c r="AC97" s="147"/>
      <c r="AD97" s="147"/>
      <c r="AE97" s="152"/>
      <c r="AF97" s="153" t="str">
        <f t="shared" si="6"/>
        <v xml:space="preserve"> </v>
      </c>
      <c r="AG97" s="154" t="str">
        <f t="shared" si="7"/>
        <v>Ingresar fuente de información</v>
      </c>
      <c r="AH97" s="134"/>
      <c r="AI97" s="155"/>
      <c r="AJ97" s="156"/>
      <c r="AK97" s="157"/>
      <c r="AM97" s="158"/>
      <c r="AN97" s="155" t="str">
        <f t="shared" si="5"/>
        <v xml:space="preserve"> </v>
      </c>
      <c r="AO97" s="156"/>
      <c r="AP97" s="157"/>
      <c r="AQ97" s="161"/>
      <c r="AR97" s="160" t="str">
        <f t="shared" si="8"/>
        <v xml:space="preserve"> </v>
      </c>
    </row>
    <row r="98" spans="1:44">
      <c r="A98" s="71"/>
      <c r="B98" s="142"/>
      <c r="C98" s="143"/>
      <c r="D98" s="143"/>
      <c r="E98" s="143"/>
      <c r="F98" s="144"/>
      <c r="G98" s="142"/>
      <c r="H98" s="144" t="str">
        <f>IF(OR(ISBLANK(I98),ISBLANK(AQ98))," ",IFERROR(VLOOKUP(CONCATENATE(I98,AQ98),Prestaciones!$E$1:$H$488,4,FALSE),IFERROR(VLOOKUP(CONCATENATE(LEFT(I98,6),AQ98),Prestaciones!$E$491:$H$836,4,FALSE),"La prestación no corresponde al grupo poblacional")))</f>
        <v xml:space="preserve"> </v>
      </c>
      <c r="I98" s="145"/>
      <c r="J98" s="145" t="str">
        <f>IF(OR(ISBLANK(I98),ISBLANK(AQ98))," ",IFERROR(VLOOKUP(CONCATENATE(I98,AQ98),Prestaciones!$E$1:$G$488,3,FALSE),IFERROR(VLOOKUP(CONCATENATE(LEFT(I98,6),AQ98),Prestaciones!$E$491:$H$836,3,FALSE),"La prestación no corresponde al grupo poblacional")))</f>
        <v xml:space="preserve"> </v>
      </c>
      <c r="K98" s="146"/>
      <c r="L98" s="146"/>
      <c r="M98" s="147"/>
      <c r="N98" s="148"/>
      <c r="O98" s="149"/>
      <c r="P98" s="150"/>
      <c r="Q98" s="151"/>
      <c r="R98" s="151"/>
      <c r="S98" s="151"/>
      <c r="T98" s="147"/>
      <c r="U98" s="147"/>
      <c r="V98" s="147"/>
      <c r="W98" s="149"/>
      <c r="X98" s="149"/>
      <c r="Y98" s="147"/>
      <c r="Z98" s="147"/>
      <c r="AA98" s="147"/>
      <c r="AB98" s="147"/>
      <c r="AC98" s="147"/>
      <c r="AD98" s="147"/>
      <c r="AE98" s="152"/>
      <c r="AF98" s="153" t="str">
        <f t="shared" si="6"/>
        <v xml:space="preserve"> </v>
      </c>
      <c r="AG98" s="154" t="str">
        <f t="shared" si="7"/>
        <v>Ingresar fuente de información</v>
      </c>
      <c r="AH98" s="134"/>
      <c r="AI98" s="155"/>
      <c r="AJ98" s="156"/>
      <c r="AK98" s="157"/>
      <c r="AM98" s="158"/>
      <c r="AN98" s="155" t="str">
        <f t="shared" si="5"/>
        <v xml:space="preserve"> </v>
      </c>
      <c r="AO98" s="156"/>
      <c r="AP98" s="157"/>
      <c r="AQ98" s="161"/>
      <c r="AR98" s="160" t="str">
        <f t="shared" si="8"/>
        <v xml:space="preserve"> </v>
      </c>
    </row>
    <row r="99" spans="1:44">
      <c r="A99" s="71"/>
      <c r="B99" s="142"/>
      <c r="C99" s="143"/>
      <c r="D99" s="143"/>
      <c r="E99" s="143"/>
      <c r="F99" s="144"/>
      <c r="G99" s="142"/>
      <c r="H99" s="144" t="str">
        <f>IF(OR(ISBLANK(I99),ISBLANK(AQ99))," ",IFERROR(VLOOKUP(CONCATENATE(I99,AQ99),Prestaciones!$E$1:$H$488,4,FALSE),IFERROR(VLOOKUP(CONCATENATE(LEFT(I99,6),AQ99),Prestaciones!$E$491:$H$836,4,FALSE),"La prestación no corresponde al grupo poblacional")))</f>
        <v xml:space="preserve"> </v>
      </c>
      <c r="I99" s="145"/>
      <c r="J99" s="145" t="str">
        <f>IF(OR(ISBLANK(I99),ISBLANK(AQ99))," ",IFERROR(VLOOKUP(CONCATENATE(I99,AQ99),Prestaciones!$E$1:$G$488,3,FALSE),IFERROR(VLOOKUP(CONCATENATE(LEFT(I99,6),AQ99),Prestaciones!$E$491:$H$836,3,FALSE),"La prestación no corresponde al grupo poblacional")))</f>
        <v xml:space="preserve"> </v>
      </c>
      <c r="K99" s="146"/>
      <c r="L99" s="146"/>
      <c r="M99" s="147"/>
      <c r="N99" s="148"/>
      <c r="O99" s="149"/>
      <c r="P99" s="150"/>
      <c r="Q99" s="151"/>
      <c r="R99" s="151"/>
      <c r="S99" s="151"/>
      <c r="T99" s="147"/>
      <c r="U99" s="147"/>
      <c r="V99" s="147"/>
      <c r="W99" s="149"/>
      <c r="X99" s="149"/>
      <c r="Y99" s="147"/>
      <c r="Z99" s="147"/>
      <c r="AA99" s="147"/>
      <c r="AB99" s="147"/>
      <c r="AC99" s="147"/>
      <c r="AD99" s="147"/>
      <c r="AE99" s="152"/>
      <c r="AF99" s="153" t="str">
        <f t="shared" si="6"/>
        <v xml:space="preserve"> </v>
      </c>
      <c r="AG99" s="154" t="str">
        <f t="shared" si="7"/>
        <v>Ingresar fuente de información</v>
      </c>
      <c r="AH99" s="134"/>
      <c r="AI99" s="155"/>
      <c r="AJ99" s="156"/>
      <c r="AK99" s="157"/>
      <c r="AM99" s="158"/>
      <c r="AN99" s="155" t="str">
        <f t="shared" si="5"/>
        <v xml:space="preserve"> </v>
      </c>
      <c r="AO99" s="156"/>
      <c r="AP99" s="157"/>
      <c r="AQ99" s="161"/>
      <c r="AR99" s="160" t="str">
        <f t="shared" si="8"/>
        <v xml:space="preserve"> </v>
      </c>
    </row>
    <row r="100" spans="1:44">
      <c r="A100" s="71"/>
      <c r="B100" s="142"/>
      <c r="C100" s="143"/>
      <c r="D100" s="143"/>
      <c r="E100" s="143"/>
      <c r="F100" s="144"/>
      <c r="G100" s="142"/>
      <c r="H100" s="144" t="str">
        <f>IF(OR(ISBLANK(I100),ISBLANK(AQ100))," ",IFERROR(VLOOKUP(CONCATENATE(I100,AQ100),Prestaciones!$E$1:$H$488,4,FALSE),IFERROR(VLOOKUP(CONCATENATE(LEFT(I100,6),AQ100),Prestaciones!$E$491:$H$836,4,FALSE),"La prestación no corresponde al grupo poblacional")))</f>
        <v xml:space="preserve"> </v>
      </c>
      <c r="I100" s="145"/>
      <c r="J100" s="145" t="str">
        <f>IF(OR(ISBLANK(I100),ISBLANK(AQ100))," ",IFERROR(VLOOKUP(CONCATENATE(I100,AQ100),Prestaciones!$E$1:$G$488,3,FALSE),IFERROR(VLOOKUP(CONCATENATE(LEFT(I100,6),AQ100),Prestaciones!$E$491:$H$836,3,FALSE),"La prestación no corresponde al grupo poblacional")))</f>
        <v xml:space="preserve"> </v>
      </c>
      <c r="K100" s="146"/>
      <c r="L100" s="146"/>
      <c r="M100" s="147"/>
      <c r="N100" s="148"/>
      <c r="O100" s="149"/>
      <c r="P100" s="150"/>
      <c r="Q100" s="151"/>
      <c r="R100" s="151"/>
      <c r="S100" s="151"/>
      <c r="T100" s="147"/>
      <c r="U100" s="147"/>
      <c r="V100" s="147"/>
      <c r="W100" s="149"/>
      <c r="X100" s="149"/>
      <c r="Y100" s="147"/>
      <c r="Z100" s="147"/>
      <c r="AA100" s="147"/>
      <c r="AB100" s="147"/>
      <c r="AC100" s="147"/>
      <c r="AD100" s="147"/>
      <c r="AE100" s="152"/>
      <c r="AF100" s="153" t="str">
        <f t="shared" si="6"/>
        <v xml:space="preserve"> </v>
      </c>
      <c r="AG100" s="154" t="str">
        <f t="shared" si="7"/>
        <v>Ingresar fuente de información</v>
      </c>
      <c r="AH100" s="134"/>
      <c r="AI100" s="155"/>
      <c r="AJ100" s="156"/>
      <c r="AK100" s="157"/>
      <c r="AM100" s="158"/>
      <c r="AN100" s="155" t="str">
        <f t="shared" si="5"/>
        <v xml:space="preserve"> </v>
      </c>
      <c r="AO100" s="156"/>
      <c r="AP100" s="157"/>
      <c r="AQ100" s="161"/>
      <c r="AR100" s="160" t="str">
        <f t="shared" si="8"/>
        <v xml:space="preserve"> </v>
      </c>
    </row>
    <row r="101" spans="1:44">
      <c r="A101" s="71"/>
      <c r="B101" s="142"/>
      <c r="C101" s="143"/>
      <c r="D101" s="143"/>
      <c r="E101" s="143"/>
      <c r="F101" s="144"/>
      <c r="G101" s="142"/>
      <c r="H101" s="144" t="str">
        <f>IF(OR(ISBLANK(I101),ISBLANK(AQ101))," ",IFERROR(VLOOKUP(CONCATENATE(I101,AQ101),Prestaciones!$E$1:$H$488,4,FALSE),IFERROR(VLOOKUP(CONCATENATE(LEFT(I101,6),AQ101),Prestaciones!$E$491:$H$836,4,FALSE),"La prestación no corresponde al grupo poblacional")))</f>
        <v xml:space="preserve"> </v>
      </c>
      <c r="I101" s="145"/>
      <c r="J101" s="145" t="str">
        <f>IF(OR(ISBLANK(I101),ISBLANK(AQ101))," ",IFERROR(VLOOKUP(CONCATENATE(I101,AQ101),Prestaciones!$E$1:$G$488,3,FALSE),IFERROR(VLOOKUP(CONCATENATE(LEFT(I101,6),AQ101),Prestaciones!$E$491:$H$836,3,FALSE),"La prestación no corresponde al grupo poblacional")))</f>
        <v xml:space="preserve"> </v>
      </c>
      <c r="K101" s="146"/>
      <c r="L101" s="146"/>
      <c r="M101" s="147"/>
      <c r="N101" s="148"/>
      <c r="O101" s="149"/>
      <c r="P101" s="150"/>
      <c r="Q101" s="151"/>
      <c r="R101" s="151"/>
      <c r="S101" s="151"/>
      <c r="T101" s="147"/>
      <c r="U101" s="147"/>
      <c r="V101" s="147"/>
      <c r="W101" s="149"/>
      <c r="X101" s="149"/>
      <c r="Y101" s="147"/>
      <c r="Z101" s="147"/>
      <c r="AA101" s="147"/>
      <c r="AB101" s="147"/>
      <c r="AC101" s="147"/>
      <c r="AD101" s="147"/>
      <c r="AE101" s="152"/>
      <c r="AF101" s="153" t="str">
        <f t="shared" si="6"/>
        <v xml:space="preserve"> </v>
      </c>
      <c r="AG101" s="154" t="str">
        <f t="shared" si="7"/>
        <v>Ingresar fuente de información</v>
      </c>
      <c r="AH101" s="134"/>
      <c r="AI101" s="155"/>
      <c r="AJ101" s="156"/>
      <c r="AK101" s="157"/>
      <c r="AM101" s="158"/>
      <c r="AN101" s="155" t="str">
        <f t="shared" si="5"/>
        <v xml:space="preserve"> </v>
      </c>
      <c r="AO101" s="156"/>
      <c r="AP101" s="157"/>
      <c r="AQ101" s="161"/>
      <c r="AR101" s="160" t="str">
        <f t="shared" si="8"/>
        <v xml:space="preserve"> </v>
      </c>
    </row>
    <row r="102" spans="1:44">
      <c r="A102" s="71"/>
      <c r="B102" s="142"/>
      <c r="C102" s="143"/>
      <c r="D102" s="143"/>
      <c r="E102" s="143"/>
      <c r="F102" s="144"/>
      <c r="G102" s="142"/>
      <c r="H102" s="144" t="str">
        <f>IF(OR(ISBLANK(I102),ISBLANK(AQ102))," ",IFERROR(VLOOKUP(CONCATENATE(I102,AQ102),Prestaciones!$E$1:$H$488,4,FALSE),IFERROR(VLOOKUP(CONCATENATE(LEFT(I102,6),AQ102),Prestaciones!$E$491:$H$836,4,FALSE),"La prestación no corresponde al grupo poblacional")))</f>
        <v xml:space="preserve"> </v>
      </c>
      <c r="I102" s="145"/>
      <c r="J102" s="145" t="str">
        <f>IF(OR(ISBLANK(I102),ISBLANK(AQ102))," ",IFERROR(VLOOKUP(CONCATENATE(I102,AQ102),Prestaciones!$E$1:$G$488,3,FALSE),IFERROR(VLOOKUP(CONCATENATE(LEFT(I102,6),AQ102),Prestaciones!$E$491:$H$836,3,FALSE),"La prestación no corresponde al grupo poblacional")))</f>
        <v xml:space="preserve"> </v>
      </c>
      <c r="K102" s="146"/>
      <c r="L102" s="146"/>
      <c r="M102" s="147"/>
      <c r="N102" s="148"/>
      <c r="O102" s="149"/>
      <c r="P102" s="150"/>
      <c r="Q102" s="151"/>
      <c r="R102" s="151"/>
      <c r="S102" s="151"/>
      <c r="T102" s="147"/>
      <c r="U102" s="147"/>
      <c r="V102" s="147"/>
      <c r="W102" s="149"/>
      <c r="X102" s="149"/>
      <c r="Y102" s="147"/>
      <c r="Z102" s="147"/>
      <c r="AA102" s="147"/>
      <c r="AB102" s="147"/>
      <c r="AC102" s="147"/>
      <c r="AD102" s="147"/>
      <c r="AE102" s="152"/>
      <c r="AF102" s="153" t="str">
        <f t="shared" si="6"/>
        <v xml:space="preserve"> </v>
      </c>
      <c r="AG102" s="154" t="str">
        <f t="shared" si="7"/>
        <v>Ingresar fuente de información</v>
      </c>
      <c r="AH102" s="134"/>
      <c r="AI102" s="155"/>
      <c r="AJ102" s="156"/>
      <c r="AK102" s="157"/>
      <c r="AM102" s="158"/>
      <c r="AN102" s="155" t="str">
        <f t="shared" si="5"/>
        <v xml:space="preserve"> </v>
      </c>
      <c r="AO102" s="156"/>
      <c r="AP102" s="157"/>
      <c r="AQ102" s="161"/>
      <c r="AR102" s="160" t="str">
        <f t="shared" si="8"/>
        <v xml:space="preserve"> </v>
      </c>
    </row>
    <row r="103" spans="1:44">
      <c r="A103" s="71"/>
      <c r="B103" s="142"/>
      <c r="C103" s="143"/>
      <c r="D103" s="143"/>
      <c r="E103" s="143"/>
      <c r="F103" s="144"/>
      <c r="G103" s="142"/>
      <c r="H103" s="144" t="str">
        <f>IF(OR(ISBLANK(I103),ISBLANK(AQ103))," ",IFERROR(VLOOKUP(CONCATENATE(I103,AQ103),Prestaciones!$E$1:$H$488,4,FALSE),IFERROR(VLOOKUP(CONCATENATE(LEFT(I103,6),AQ103),Prestaciones!$E$491:$H$836,4,FALSE),"La prestación no corresponde al grupo poblacional")))</f>
        <v xml:space="preserve"> </v>
      </c>
      <c r="I103" s="145"/>
      <c r="J103" s="145" t="str">
        <f>IF(OR(ISBLANK(I103),ISBLANK(AQ103))," ",IFERROR(VLOOKUP(CONCATENATE(I103,AQ103),Prestaciones!$E$1:$G$488,3,FALSE),IFERROR(VLOOKUP(CONCATENATE(LEFT(I103,6),AQ103),Prestaciones!$E$491:$H$836,3,FALSE),"La prestación no corresponde al grupo poblacional")))</f>
        <v xml:space="preserve"> </v>
      </c>
      <c r="K103" s="146"/>
      <c r="L103" s="146"/>
      <c r="M103" s="147"/>
      <c r="N103" s="148"/>
      <c r="O103" s="149"/>
      <c r="P103" s="150"/>
      <c r="Q103" s="151"/>
      <c r="R103" s="151"/>
      <c r="S103" s="151"/>
      <c r="T103" s="147"/>
      <c r="U103" s="147"/>
      <c r="V103" s="147"/>
      <c r="W103" s="149"/>
      <c r="X103" s="149"/>
      <c r="Y103" s="147"/>
      <c r="Z103" s="147"/>
      <c r="AA103" s="147"/>
      <c r="AB103" s="147"/>
      <c r="AC103" s="147"/>
      <c r="AD103" s="147"/>
      <c r="AE103" s="152"/>
      <c r="AF103" s="153" t="str">
        <f t="shared" si="6"/>
        <v xml:space="preserve"> </v>
      </c>
      <c r="AG103" s="154" t="str">
        <f t="shared" si="7"/>
        <v>Ingresar fuente de información</v>
      </c>
      <c r="AH103" s="134"/>
      <c r="AI103" s="155"/>
      <c r="AJ103" s="156"/>
      <c r="AK103" s="157"/>
      <c r="AM103" s="158"/>
      <c r="AN103" s="155" t="str">
        <f t="shared" si="5"/>
        <v xml:space="preserve"> </v>
      </c>
      <c r="AO103" s="156"/>
      <c r="AP103" s="157"/>
      <c r="AQ103" s="161"/>
      <c r="AR103" s="160" t="str">
        <f t="shared" si="8"/>
        <v xml:space="preserve"> </v>
      </c>
    </row>
    <row r="104" spans="1:44">
      <c r="A104" s="71"/>
      <c r="B104" s="142"/>
      <c r="C104" s="143"/>
      <c r="D104" s="143"/>
      <c r="E104" s="143"/>
      <c r="F104" s="144"/>
      <c r="G104" s="142"/>
      <c r="H104" s="144" t="str">
        <f>IF(OR(ISBLANK(I104),ISBLANK(AQ104))," ",IFERROR(VLOOKUP(CONCATENATE(I104,AQ104),Prestaciones!$E$1:$H$488,4,FALSE),IFERROR(VLOOKUP(CONCATENATE(LEFT(I104,6),AQ104),Prestaciones!$E$491:$H$836,4,FALSE),"La prestación no corresponde al grupo poblacional")))</f>
        <v xml:space="preserve"> </v>
      </c>
      <c r="I104" s="145"/>
      <c r="J104" s="145" t="str">
        <f>IF(OR(ISBLANK(I104),ISBLANK(AQ104))," ",IFERROR(VLOOKUP(CONCATENATE(I104,AQ104),Prestaciones!$E$1:$G$488,3,FALSE),IFERROR(VLOOKUP(CONCATENATE(LEFT(I104,6),AQ104),Prestaciones!$E$491:$H$836,3,FALSE),"La prestación no corresponde al grupo poblacional")))</f>
        <v xml:space="preserve"> </v>
      </c>
      <c r="K104" s="146"/>
      <c r="L104" s="146"/>
      <c r="M104" s="147"/>
      <c r="N104" s="148"/>
      <c r="O104" s="149"/>
      <c r="P104" s="150"/>
      <c r="Q104" s="151"/>
      <c r="R104" s="151"/>
      <c r="S104" s="151"/>
      <c r="T104" s="147"/>
      <c r="U104" s="147"/>
      <c r="V104" s="147"/>
      <c r="W104" s="149"/>
      <c r="X104" s="149"/>
      <c r="Y104" s="147"/>
      <c r="Z104" s="147"/>
      <c r="AA104" s="147"/>
      <c r="AB104" s="147"/>
      <c r="AC104" s="147"/>
      <c r="AD104" s="147"/>
      <c r="AE104" s="152"/>
      <c r="AF104" s="153" t="str">
        <f t="shared" si="6"/>
        <v xml:space="preserve"> </v>
      </c>
      <c r="AG104" s="154" t="str">
        <f t="shared" si="7"/>
        <v>Ingresar fuente de información</v>
      </c>
      <c r="AH104" s="134"/>
      <c r="AI104" s="155"/>
      <c r="AJ104" s="156"/>
      <c r="AK104" s="157"/>
      <c r="AM104" s="158"/>
      <c r="AN104" s="155" t="str">
        <f t="shared" si="5"/>
        <v xml:space="preserve"> </v>
      </c>
      <c r="AO104" s="156"/>
      <c r="AP104" s="157"/>
      <c r="AQ104" s="161"/>
      <c r="AR104" s="160" t="str">
        <f t="shared" si="8"/>
        <v xml:space="preserve"> </v>
      </c>
    </row>
    <row r="105" spans="1:44">
      <c r="A105" s="71"/>
      <c r="B105" s="142"/>
      <c r="C105" s="143"/>
      <c r="D105" s="143"/>
      <c r="E105" s="143"/>
      <c r="F105" s="144"/>
      <c r="G105" s="142"/>
      <c r="H105" s="144" t="str">
        <f>IF(OR(ISBLANK(I105),ISBLANK(AQ105))," ",IFERROR(VLOOKUP(CONCATENATE(I105,AQ105),Prestaciones!$E$1:$H$488,4,FALSE),IFERROR(VLOOKUP(CONCATENATE(LEFT(I105,6),AQ105),Prestaciones!$E$491:$H$836,4,FALSE),"La prestación no corresponde al grupo poblacional")))</f>
        <v xml:space="preserve"> </v>
      </c>
      <c r="I105" s="145"/>
      <c r="J105" s="145" t="str">
        <f>IF(OR(ISBLANK(I105),ISBLANK(AQ105))," ",IFERROR(VLOOKUP(CONCATENATE(I105,AQ105),Prestaciones!$E$1:$G$488,3,FALSE),IFERROR(VLOOKUP(CONCATENATE(LEFT(I105,6),AQ105),Prestaciones!$E$491:$H$836,3,FALSE),"La prestación no corresponde al grupo poblacional")))</f>
        <v xml:space="preserve"> </v>
      </c>
      <c r="K105" s="146"/>
      <c r="L105" s="146"/>
      <c r="M105" s="147"/>
      <c r="N105" s="148"/>
      <c r="O105" s="149"/>
      <c r="P105" s="150"/>
      <c r="Q105" s="151"/>
      <c r="R105" s="151"/>
      <c r="S105" s="151"/>
      <c r="T105" s="147"/>
      <c r="U105" s="147"/>
      <c r="V105" s="147"/>
      <c r="W105" s="149"/>
      <c r="X105" s="149"/>
      <c r="Y105" s="147"/>
      <c r="Z105" s="147"/>
      <c r="AA105" s="147"/>
      <c r="AB105" s="147"/>
      <c r="AC105" s="147"/>
      <c r="AD105" s="147"/>
      <c r="AE105" s="152"/>
      <c r="AF105" s="153" t="str">
        <f t="shared" si="6"/>
        <v xml:space="preserve"> </v>
      </c>
      <c r="AG105" s="154" t="str">
        <f t="shared" si="7"/>
        <v>Ingresar fuente de información</v>
      </c>
      <c r="AH105" s="134"/>
      <c r="AI105" s="155"/>
      <c r="AJ105" s="156"/>
      <c r="AK105" s="157"/>
      <c r="AM105" s="158"/>
      <c r="AN105" s="155" t="str">
        <f t="shared" si="5"/>
        <v xml:space="preserve"> </v>
      </c>
      <c r="AO105" s="156"/>
      <c r="AP105" s="157"/>
      <c r="AQ105" s="161"/>
      <c r="AR105" s="160" t="str">
        <f t="shared" si="8"/>
        <v xml:space="preserve"> </v>
      </c>
    </row>
    <row r="106" spans="1:44">
      <c r="A106" s="71"/>
      <c r="B106" s="142"/>
      <c r="C106" s="143"/>
      <c r="D106" s="143"/>
      <c r="E106" s="143"/>
      <c r="F106" s="144"/>
      <c r="G106" s="142"/>
      <c r="H106" s="144" t="str">
        <f>IF(OR(ISBLANK(I106),ISBLANK(AQ106))," ",IFERROR(VLOOKUP(CONCATENATE(I106,AQ106),Prestaciones!$E$1:$H$488,4,FALSE),IFERROR(VLOOKUP(CONCATENATE(LEFT(I106,6),AQ106),Prestaciones!$E$491:$H$836,4,FALSE),"La prestación no corresponde al grupo poblacional")))</f>
        <v xml:space="preserve"> </v>
      </c>
      <c r="I106" s="145"/>
      <c r="J106" s="145" t="str">
        <f>IF(OR(ISBLANK(I106),ISBLANK(AQ106))," ",IFERROR(VLOOKUP(CONCATENATE(I106,AQ106),Prestaciones!$E$1:$G$488,3,FALSE),IFERROR(VLOOKUP(CONCATENATE(LEFT(I106,6),AQ106),Prestaciones!$E$491:$H$836,3,FALSE),"La prestación no corresponde al grupo poblacional")))</f>
        <v xml:space="preserve"> </v>
      </c>
      <c r="K106" s="146"/>
      <c r="L106" s="146"/>
      <c r="M106" s="147"/>
      <c r="N106" s="148"/>
      <c r="O106" s="149"/>
      <c r="P106" s="150"/>
      <c r="Q106" s="151"/>
      <c r="R106" s="151"/>
      <c r="S106" s="151"/>
      <c r="T106" s="147"/>
      <c r="U106" s="147"/>
      <c r="V106" s="147"/>
      <c r="W106" s="149"/>
      <c r="X106" s="149"/>
      <c r="Y106" s="147"/>
      <c r="Z106" s="147"/>
      <c r="AA106" s="147"/>
      <c r="AB106" s="147"/>
      <c r="AC106" s="147"/>
      <c r="AD106" s="147"/>
      <c r="AE106" s="152"/>
      <c r="AF106" s="153" t="str">
        <f t="shared" si="6"/>
        <v xml:space="preserve"> </v>
      </c>
      <c r="AG106" s="154" t="str">
        <f t="shared" si="7"/>
        <v>Ingresar fuente de información</v>
      </c>
      <c r="AH106" s="134"/>
      <c r="AI106" s="155"/>
      <c r="AJ106" s="156"/>
      <c r="AK106" s="157"/>
      <c r="AM106" s="158"/>
      <c r="AN106" s="155" t="str">
        <f t="shared" si="5"/>
        <v xml:space="preserve"> </v>
      </c>
      <c r="AO106" s="156"/>
      <c r="AP106" s="157"/>
      <c r="AQ106" s="161"/>
      <c r="AR106" s="160" t="str">
        <f t="shared" si="8"/>
        <v xml:space="preserve"> </v>
      </c>
    </row>
    <row r="107" spans="1:44">
      <c r="A107" s="71"/>
      <c r="B107" s="142"/>
      <c r="C107" s="143"/>
      <c r="D107" s="143"/>
      <c r="E107" s="143"/>
      <c r="F107" s="144"/>
      <c r="G107" s="142"/>
      <c r="H107" s="144" t="str">
        <f>IF(OR(ISBLANK(I107),ISBLANK(AQ107))," ",IFERROR(VLOOKUP(CONCATENATE(I107,AQ107),Prestaciones!$E$1:$H$488,4,FALSE),IFERROR(VLOOKUP(CONCATENATE(LEFT(I107,6),AQ107),Prestaciones!$E$491:$H$836,4,FALSE),"La prestación no corresponde al grupo poblacional")))</f>
        <v xml:space="preserve"> </v>
      </c>
      <c r="I107" s="145"/>
      <c r="J107" s="145" t="str">
        <f>IF(OR(ISBLANK(I107),ISBLANK(AQ107))," ",IFERROR(VLOOKUP(CONCATENATE(I107,AQ107),Prestaciones!$E$1:$G$488,3,FALSE),IFERROR(VLOOKUP(CONCATENATE(LEFT(I107,6),AQ107),Prestaciones!$E$491:$H$836,3,FALSE),"La prestación no corresponde al grupo poblacional")))</f>
        <v xml:space="preserve"> </v>
      </c>
      <c r="K107" s="146"/>
      <c r="L107" s="146"/>
      <c r="M107" s="147"/>
      <c r="N107" s="148"/>
      <c r="O107" s="149"/>
      <c r="P107" s="150"/>
      <c r="Q107" s="151"/>
      <c r="R107" s="151"/>
      <c r="S107" s="151"/>
      <c r="T107" s="147"/>
      <c r="U107" s="147"/>
      <c r="V107" s="147"/>
      <c r="W107" s="149"/>
      <c r="X107" s="149"/>
      <c r="Y107" s="147"/>
      <c r="Z107" s="147"/>
      <c r="AA107" s="147"/>
      <c r="AB107" s="147"/>
      <c r="AC107" s="147"/>
      <c r="AD107" s="147"/>
      <c r="AE107" s="152"/>
      <c r="AF107" s="153" t="str">
        <f t="shared" si="6"/>
        <v xml:space="preserve"> </v>
      </c>
      <c r="AG107" s="154" t="str">
        <f t="shared" si="7"/>
        <v>Ingresar fuente de información</v>
      </c>
      <c r="AH107" s="134"/>
      <c r="AI107" s="155"/>
      <c r="AJ107" s="156"/>
      <c r="AK107" s="157"/>
      <c r="AM107" s="158"/>
      <c r="AN107" s="155" t="str">
        <f t="shared" si="5"/>
        <v xml:space="preserve"> </v>
      </c>
      <c r="AO107" s="156"/>
      <c r="AP107" s="157"/>
      <c r="AQ107" s="161"/>
      <c r="AR107" s="160" t="str">
        <f t="shared" si="8"/>
        <v xml:space="preserve"> </v>
      </c>
    </row>
    <row r="108" spans="1:44">
      <c r="A108" s="71"/>
      <c r="B108" s="142"/>
      <c r="C108" s="143"/>
      <c r="D108" s="143"/>
      <c r="E108" s="143"/>
      <c r="F108" s="144"/>
      <c r="G108" s="142"/>
      <c r="H108" s="144" t="str">
        <f>IF(OR(ISBLANK(I108),ISBLANK(AQ108))," ",IFERROR(VLOOKUP(CONCATENATE(I108,AQ108),Prestaciones!$E$1:$H$488,4,FALSE),IFERROR(VLOOKUP(CONCATENATE(LEFT(I108,6),AQ108),Prestaciones!$E$491:$H$836,4,FALSE),"La prestación no corresponde al grupo poblacional")))</f>
        <v xml:space="preserve"> </v>
      </c>
      <c r="I108" s="145"/>
      <c r="J108" s="145" t="str">
        <f>IF(OR(ISBLANK(I108),ISBLANK(AQ108))," ",IFERROR(VLOOKUP(CONCATENATE(I108,AQ108),Prestaciones!$E$1:$G$488,3,FALSE),IFERROR(VLOOKUP(CONCATENATE(LEFT(I108,6),AQ108),Prestaciones!$E$491:$H$836,3,FALSE),"La prestación no corresponde al grupo poblacional")))</f>
        <v xml:space="preserve"> </v>
      </c>
      <c r="K108" s="146"/>
      <c r="L108" s="146"/>
      <c r="M108" s="147"/>
      <c r="N108" s="148"/>
      <c r="O108" s="149"/>
      <c r="P108" s="150"/>
      <c r="Q108" s="151"/>
      <c r="R108" s="151"/>
      <c r="S108" s="151"/>
      <c r="T108" s="147"/>
      <c r="U108" s="147"/>
      <c r="V108" s="147"/>
      <c r="W108" s="149"/>
      <c r="X108" s="149"/>
      <c r="Y108" s="147"/>
      <c r="Z108" s="147"/>
      <c r="AA108" s="147"/>
      <c r="AB108" s="147"/>
      <c r="AC108" s="147"/>
      <c r="AD108" s="147"/>
      <c r="AE108" s="152"/>
      <c r="AF108" s="153" t="str">
        <f t="shared" si="6"/>
        <v xml:space="preserve"> </v>
      </c>
      <c r="AG108" s="154" t="str">
        <f t="shared" si="7"/>
        <v>Ingresar fuente de información</v>
      </c>
      <c r="AH108" s="134"/>
      <c r="AI108" s="155"/>
      <c r="AJ108" s="156"/>
      <c r="AK108" s="157"/>
      <c r="AM108" s="158"/>
      <c r="AN108" s="155" t="str">
        <f t="shared" si="5"/>
        <v xml:space="preserve"> </v>
      </c>
      <c r="AO108" s="156"/>
      <c r="AP108" s="157"/>
      <c r="AQ108" s="161"/>
      <c r="AR108" s="160" t="str">
        <f t="shared" si="8"/>
        <v xml:space="preserve"> </v>
      </c>
    </row>
    <row r="109" spans="1:44">
      <c r="A109" s="71"/>
      <c r="B109" s="142"/>
      <c r="C109" s="143"/>
      <c r="D109" s="143"/>
      <c r="E109" s="143"/>
      <c r="F109" s="144"/>
      <c r="G109" s="142"/>
      <c r="H109" s="144" t="str">
        <f>IF(OR(ISBLANK(I109),ISBLANK(AQ109))," ",IFERROR(VLOOKUP(CONCATENATE(I109,AQ109),Prestaciones!$E$1:$H$488,4,FALSE),IFERROR(VLOOKUP(CONCATENATE(LEFT(I109,6),AQ109),Prestaciones!$E$491:$H$836,4,FALSE),"La prestación no corresponde al grupo poblacional")))</f>
        <v xml:space="preserve"> </v>
      </c>
      <c r="I109" s="145"/>
      <c r="J109" s="145" t="str">
        <f>IF(OR(ISBLANK(I109),ISBLANK(AQ109))," ",IFERROR(VLOOKUP(CONCATENATE(I109,AQ109),Prestaciones!$E$1:$G$488,3,FALSE),IFERROR(VLOOKUP(CONCATENATE(LEFT(I109,6),AQ109),Prestaciones!$E$491:$H$836,3,FALSE),"La prestación no corresponde al grupo poblacional")))</f>
        <v xml:space="preserve"> </v>
      </c>
      <c r="K109" s="146"/>
      <c r="L109" s="146"/>
      <c r="M109" s="147"/>
      <c r="N109" s="148"/>
      <c r="O109" s="149"/>
      <c r="P109" s="150"/>
      <c r="Q109" s="151"/>
      <c r="R109" s="151"/>
      <c r="S109" s="151"/>
      <c r="T109" s="147"/>
      <c r="U109" s="147"/>
      <c r="V109" s="147"/>
      <c r="W109" s="149"/>
      <c r="X109" s="149"/>
      <c r="Y109" s="147"/>
      <c r="Z109" s="147"/>
      <c r="AA109" s="147"/>
      <c r="AB109" s="147"/>
      <c r="AC109" s="147"/>
      <c r="AD109" s="147"/>
      <c r="AE109" s="152"/>
      <c r="AF109" s="153" t="str">
        <f t="shared" si="6"/>
        <v xml:space="preserve"> </v>
      </c>
      <c r="AG109" s="154" t="str">
        <f t="shared" si="7"/>
        <v>Ingresar fuente de información</v>
      </c>
      <c r="AH109" s="134"/>
      <c r="AI109" s="155"/>
      <c r="AJ109" s="156"/>
      <c r="AK109" s="157"/>
      <c r="AM109" s="158"/>
      <c r="AN109" s="155" t="str">
        <f t="shared" si="5"/>
        <v xml:space="preserve"> </v>
      </c>
      <c r="AO109" s="156"/>
      <c r="AP109" s="157"/>
      <c r="AQ109" s="161"/>
      <c r="AR109" s="160" t="str">
        <f t="shared" si="8"/>
        <v xml:space="preserve"> </v>
      </c>
    </row>
    <row r="110" spans="1:44">
      <c r="A110" s="71"/>
      <c r="B110" s="142"/>
      <c r="C110" s="143"/>
      <c r="D110" s="143"/>
      <c r="E110" s="143"/>
      <c r="F110" s="144"/>
      <c r="G110" s="142"/>
      <c r="H110" s="144" t="str">
        <f>IF(OR(ISBLANK(I110),ISBLANK(AQ110))," ",IFERROR(VLOOKUP(CONCATENATE(I110,AQ110),Prestaciones!$E$1:$H$488,4,FALSE),IFERROR(VLOOKUP(CONCATENATE(LEFT(I110,6),AQ110),Prestaciones!$E$491:$H$836,4,FALSE),"La prestación no corresponde al grupo poblacional")))</f>
        <v xml:space="preserve"> </v>
      </c>
      <c r="I110" s="145"/>
      <c r="J110" s="145" t="str">
        <f>IF(OR(ISBLANK(I110),ISBLANK(AQ110))," ",IFERROR(VLOOKUP(CONCATENATE(I110,AQ110),Prestaciones!$E$1:$G$488,3,FALSE),IFERROR(VLOOKUP(CONCATENATE(LEFT(I110,6),AQ110),Prestaciones!$E$491:$H$836,3,FALSE),"La prestación no corresponde al grupo poblacional")))</f>
        <v xml:space="preserve"> </v>
      </c>
      <c r="K110" s="146"/>
      <c r="L110" s="146"/>
      <c r="M110" s="147"/>
      <c r="N110" s="148"/>
      <c r="O110" s="149"/>
      <c r="P110" s="150"/>
      <c r="Q110" s="151"/>
      <c r="R110" s="151"/>
      <c r="S110" s="151"/>
      <c r="T110" s="147"/>
      <c r="U110" s="147"/>
      <c r="V110" s="147"/>
      <c r="W110" s="149"/>
      <c r="X110" s="149"/>
      <c r="Y110" s="147"/>
      <c r="Z110" s="147"/>
      <c r="AA110" s="147"/>
      <c r="AB110" s="147"/>
      <c r="AC110" s="147"/>
      <c r="AD110" s="147"/>
      <c r="AE110" s="152"/>
      <c r="AF110" s="153" t="str">
        <f t="shared" si="6"/>
        <v xml:space="preserve"> </v>
      </c>
      <c r="AG110" s="154" t="str">
        <f t="shared" si="7"/>
        <v>Ingresar fuente de información</v>
      </c>
      <c r="AH110" s="134"/>
      <c r="AI110" s="155"/>
      <c r="AJ110" s="156"/>
      <c r="AK110" s="157"/>
      <c r="AM110" s="158"/>
      <c r="AN110" s="155" t="str">
        <f t="shared" si="5"/>
        <v xml:space="preserve"> </v>
      </c>
      <c r="AO110" s="156"/>
      <c r="AP110" s="157"/>
      <c r="AQ110" s="161"/>
      <c r="AR110" s="160" t="str">
        <f t="shared" si="8"/>
        <v xml:space="preserve"> </v>
      </c>
    </row>
    <row r="111" spans="1:44">
      <c r="A111" s="71"/>
      <c r="B111" s="142"/>
      <c r="C111" s="143"/>
      <c r="D111" s="143"/>
      <c r="E111" s="143"/>
      <c r="F111" s="144"/>
      <c r="G111" s="142"/>
      <c r="H111" s="144" t="str">
        <f>IF(OR(ISBLANK(I111),ISBLANK(AQ111))," ",IFERROR(VLOOKUP(CONCATENATE(I111,AQ111),Prestaciones!$E$1:$H$488,4,FALSE),IFERROR(VLOOKUP(CONCATENATE(LEFT(I111,6),AQ111),Prestaciones!$E$491:$H$836,4,FALSE),"La prestación no corresponde al grupo poblacional")))</f>
        <v xml:space="preserve"> </v>
      </c>
      <c r="I111" s="145"/>
      <c r="J111" s="145" t="str">
        <f>IF(OR(ISBLANK(I111),ISBLANK(AQ111))," ",IFERROR(VLOOKUP(CONCATENATE(I111,AQ111),Prestaciones!$E$1:$G$488,3,FALSE),IFERROR(VLOOKUP(CONCATENATE(LEFT(I111,6),AQ111),Prestaciones!$E$491:$H$836,3,FALSE),"La prestación no corresponde al grupo poblacional")))</f>
        <v xml:space="preserve"> </v>
      </c>
      <c r="K111" s="146"/>
      <c r="L111" s="146"/>
      <c r="M111" s="147"/>
      <c r="N111" s="148"/>
      <c r="O111" s="149"/>
      <c r="P111" s="150"/>
      <c r="Q111" s="151"/>
      <c r="R111" s="151"/>
      <c r="S111" s="151"/>
      <c r="T111" s="147"/>
      <c r="U111" s="147"/>
      <c r="V111" s="147"/>
      <c r="W111" s="149"/>
      <c r="X111" s="149"/>
      <c r="Y111" s="147"/>
      <c r="Z111" s="147"/>
      <c r="AA111" s="147"/>
      <c r="AB111" s="147"/>
      <c r="AC111" s="147"/>
      <c r="AD111" s="147"/>
      <c r="AE111" s="152"/>
      <c r="AF111" s="153" t="str">
        <f t="shared" si="6"/>
        <v xml:space="preserve"> </v>
      </c>
      <c r="AG111" s="154" t="str">
        <f t="shared" si="7"/>
        <v>Ingresar fuente de información</v>
      </c>
      <c r="AH111" s="134"/>
      <c r="AI111" s="155"/>
      <c r="AJ111" s="156"/>
      <c r="AK111" s="157"/>
      <c r="AM111" s="158"/>
      <c r="AN111" s="155" t="str">
        <f t="shared" si="5"/>
        <v xml:space="preserve"> </v>
      </c>
      <c r="AO111" s="156"/>
      <c r="AP111" s="157"/>
      <c r="AQ111" s="161"/>
      <c r="AR111" s="160" t="str">
        <f t="shared" si="8"/>
        <v xml:space="preserve"> </v>
      </c>
    </row>
    <row r="112" spans="1:44">
      <c r="A112" s="71"/>
      <c r="B112" s="142"/>
      <c r="C112" s="143"/>
      <c r="D112" s="143"/>
      <c r="E112" s="143"/>
      <c r="F112" s="144"/>
      <c r="G112" s="142"/>
      <c r="H112" s="144" t="str">
        <f>IF(OR(ISBLANK(I112),ISBLANK(AQ112))," ",IFERROR(VLOOKUP(CONCATENATE(I112,AQ112),Prestaciones!$E$1:$H$488,4,FALSE),IFERROR(VLOOKUP(CONCATENATE(LEFT(I112,6),AQ112),Prestaciones!$E$491:$H$836,4,FALSE),"La prestación no corresponde al grupo poblacional")))</f>
        <v xml:space="preserve"> </v>
      </c>
      <c r="I112" s="145"/>
      <c r="J112" s="145" t="str">
        <f>IF(OR(ISBLANK(I112),ISBLANK(AQ112))," ",IFERROR(VLOOKUP(CONCATENATE(I112,AQ112),Prestaciones!$E$1:$G$488,3,FALSE),IFERROR(VLOOKUP(CONCATENATE(LEFT(I112,6),AQ112),Prestaciones!$E$491:$H$836,3,FALSE),"La prestación no corresponde al grupo poblacional")))</f>
        <v xml:space="preserve"> </v>
      </c>
      <c r="K112" s="146"/>
      <c r="L112" s="146"/>
      <c r="M112" s="147"/>
      <c r="N112" s="148"/>
      <c r="O112" s="149"/>
      <c r="P112" s="150"/>
      <c r="Q112" s="151"/>
      <c r="R112" s="151"/>
      <c r="S112" s="151"/>
      <c r="T112" s="147"/>
      <c r="U112" s="147"/>
      <c r="V112" s="147"/>
      <c r="W112" s="149"/>
      <c r="X112" s="149"/>
      <c r="Y112" s="147"/>
      <c r="Z112" s="147"/>
      <c r="AA112" s="147"/>
      <c r="AB112" s="147"/>
      <c r="AC112" s="147"/>
      <c r="AD112" s="147"/>
      <c r="AE112" s="152"/>
      <c r="AF112" s="153" t="str">
        <f t="shared" si="6"/>
        <v xml:space="preserve"> </v>
      </c>
      <c r="AG112" s="154" t="str">
        <f t="shared" si="7"/>
        <v>Ingresar fuente de información</v>
      </c>
      <c r="AH112" s="134"/>
      <c r="AI112" s="155"/>
      <c r="AJ112" s="156"/>
      <c r="AK112" s="157"/>
      <c r="AM112" s="158"/>
      <c r="AN112" s="155" t="str">
        <f t="shared" si="5"/>
        <v xml:space="preserve"> </v>
      </c>
      <c r="AO112" s="156"/>
      <c r="AP112" s="157"/>
      <c r="AQ112" s="161"/>
      <c r="AR112" s="160" t="str">
        <f t="shared" si="8"/>
        <v xml:space="preserve"> </v>
      </c>
    </row>
    <row r="113" spans="1:44">
      <c r="A113" s="71"/>
      <c r="B113" s="142"/>
      <c r="C113" s="143"/>
      <c r="D113" s="143"/>
      <c r="E113" s="143"/>
      <c r="F113" s="144"/>
      <c r="G113" s="142"/>
      <c r="H113" s="144" t="str">
        <f>IF(OR(ISBLANK(I113),ISBLANK(AQ113))," ",IFERROR(VLOOKUP(CONCATENATE(I113,AQ113),Prestaciones!$E$1:$H$488,4,FALSE),IFERROR(VLOOKUP(CONCATENATE(LEFT(I113,6),AQ113),Prestaciones!$E$491:$H$836,4,FALSE),"La prestación no corresponde al grupo poblacional")))</f>
        <v xml:space="preserve"> </v>
      </c>
      <c r="I113" s="145"/>
      <c r="J113" s="145" t="str">
        <f>IF(OR(ISBLANK(I113),ISBLANK(AQ113))," ",IFERROR(VLOOKUP(CONCATENATE(I113,AQ113),Prestaciones!$E$1:$G$488,3,FALSE),IFERROR(VLOOKUP(CONCATENATE(LEFT(I113,6),AQ113),Prestaciones!$E$491:$H$836,3,FALSE),"La prestación no corresponde al grupo poblacional")))</f>
        <v xml:space="preserve"> </v>
      </c>
      <c r="K113" s="146"/>
      <c r="L113" s="146"/>
      <c r="M113" s="147"/>
      <c r="N113" s="148"/>
      <c r="O113" s="149"/>
      <c r="P113" s="150"/>
      <c r="Q113" s="151"/>
      <c r="R113" s="151"/>
      <c r="S113" s="151"/>
      <c r="T113" s="147"/>
      <c r="U113" s="147"/>
      <c r="V113" s="147"/>
      <c r="W113" s="149"/>
      <c r="X113" s="149"/>
      <c r="Y113" s="147"/>
      <c r="Z113" s="147"/>
      <c r="AA113" s="147"/>
      <c r="AB113" s="147"/>
      <c r="AC113" s="147"/>
      <c r="AD113" s="147"/>
      <c r="AE113" s="152"/>
      <c r="AF113" s="153" t="str">
        <f t="shared" si="6"/>
        <v xml:space="preserve"> </v>
      </c>
      <c r="AG113" s="154" t="str">
        <f t="shared" si="7"/>
        <v>Ingresar fuente de información</v>
      </c>
      <c r="AH113" s="134"/>
      <c r="AI113" s="155"/>
      <c r="AJ113" s="156"/>
      <c r="AK113" s="157"/>
      <c r="AM113" s="158"/>
      <c r="AN113" s="155" t="str">
        <f t="shared" si="5"/>
        <v xml:space="preserve"> </v>
      </c>
      <c r="AO113" s="156"/>
      <c r="AP113" s="157"/>
      <c r="AQ113" s="161"/>
      <c r="AR113" s="160" t="str">
        <f t="shared" si="8"/>
        <v xml:space="preserve"> </v>
      </c>
    </row>
    <row r="114" spans="1:44">
      <c r="A114" s="71"/>
      <c r="B114" s="142"/>
      <c r="C114" s="143"/>
      <c r="D114" s="143"/>
      <c r="E114" s="143"/>
      <c r="F114" s="144"/>
      <c r="G114" s="142"/>
      <c r="H114" s="144" t="str">
        <f>IF(OR(ISBLANK(I114),ISBLANK(AQ114))," ",IFERROR(VLOOKUP(CONCATENATE(I114,AQ114),Prestaciones!$E$1:$H$488,4,FALSE),IFERROR(VLOOKUP(CONCATENATE(LEFT(I114,6),AQ114),Prestaciones!$E$491:$H$836,4,FALSE),"La prestación no corresponde al grupo poblacional")))</f>
        <v xml:space="preserve"> </v>
      </c>
      <c r="I114" s="145"/>
      <c r="J114" s="145" t="str">
        <f>IF(OR(ISBLANK(I114),ISBLANK(AQ114))," ",IFERROR(VLOOKUP(CONCATENATE(I114,AQ114),Prestaciones!$E$1:$G$488,3,FALSE),IFERROR(VLOOKUP(CONCATENATE(LEFT(I114,6),AQ114),Prestaciones!$E$491:$H$836,3,FALSE),"La prestación no corresponde al grupo poblacional")))</f>
        <v xml:space="preserve"> </v>
      </c>
      <c r="K114" s="146"/>
      <c r="L114" s="146"/>
      <c r="M114" s="147"/>
      <c r="N114" s="148"/>
      <c r="O114" s="149"/>
      <c r="P114" s="150"/>
      <c r="Q114" s="151"/>
      <c r="R114" s="151"/>
      <c r="S114" s="151"/>
      <c r="T114" s="147"/>
      <c r="U114" s="147"/>
      <c r="V114" s="147"/>
      <c r="W114" s="149"/>
      <c r="X114" s="149"/>
      <c r="Y114" s="147"/>
      <c r="Z114" s="147"/>
      <c r="AA114" s="147"/>
      <c r="AB114" s="147"/>
      <c r="AC114" s="147"/>
      <c r="AD114" s="147"/>
      <c r="AE114" s="152"/>
      <c r="AF114" s="153" t="str">
        <f t="shared" si="6"/>
        <v xml:space="preserve"> </v>
      </c>
      <c r="AG114" s="154" t="str">
        <f t="shared" si="7"/>
        <v>Ingresar fuente de información</v>
      </c>
      <c r="AH114" s="134"/>
      <c r="AI114" s="155"/>
      <c r="AJ114" s="156"/>
      <c r="AK114" s="157"/>
      <c r="AM114" s="158"/>
      <c r="AN114" s="155" t="str">
        <f t="shared" si="5"/>
        <v xml:space="preserve"> </v>
      </c>
      <c r="AO114" s="156"/>
      <c r="AP114" s="157"/>
      <c r="AQ114" s="161"/>
      <c r="AR114" s="160" t="str">
        <f t="shared" si="8"/>
        <v xml:space="preserve"> </v>
      </c>
    </row>
    <row r="115" spans="1:44">
      <c r="A115" s="71"/>
      <c r="B115" s="142"/>
      <c r="C115" s="143"/>
      <c r="D115" s="143"/>
      <c r="E115" s="143"/>
      <c r="F115" s="144"/>
      <c r="G115" s="142"/>
      <c r="H115" s="144" t="str">
        <f>IF(OR(ISBLANK(I115),ISBLANK(AQ115))," ",IFERROR(VLOOKUP(CONCATENATE(I115,AQ115),Prestaciones!$E$1:$H$488,4,FALSE),IFERROR(VLOOKUP(CONCATENATE(LEFT(I115,6),AQ115),Prestaciones!$E$491:$H$836,4,FALSE),"La prestación no corresponde al grupo poblacional")))</f>
        <v xml:space="preserve"> </v>
      </c>
      <c r="I115" s="145"/>
      <c r="J115" s="145" t="str">
        <f>IF(OR(ISBLANK(I115),ISBLANK(AQ115))," ",IFERROR(VLOOKUP(CONCATENATE(I115,AQ115),Prestaciones!$E$1:$G$488,3,FALSE),IFERROR(VLOOKUP(CONCATENATE(LEFT(I115,6),AQ115),Prestaciones!$E$491:$H$836,3,FALSE),"La prestación no corresponde al grupo poblacional")))</f>
        <v xml:space="preserve"> </v>
      </c>
      <c r="K115" s="146"/>
      <c r="L115" s="146"/>
      <c r="M115" s="147"/>
      <c r="N115" s="148"/>
      <c r="O115" s="149"/>
      <c r="P115" s="150"/>
      <c r="Q115" s="151"/>
      <c r="R115" s="151"/>
      <c r="S115" s="151"/>
      <c r="T115" s="147"/>
      <c r="U115" s="147"/>
      <c r="V115" s="147"/>
      <c r="W115" s="149"/>
      <c r="X115" s="149"/>
      <c r="Y115" s="147"/>
      <c r="Z115" s="147"/>
      <c r="AA115" s="147"/>
      <c r="AB115" s="147"/>
      <c r="AC115" s="147"/>
      <c r="AD115" s="147"/>
      <c r="AE115" s="152"/>
      <c r="AF115" s="153" t="str">
        <f t="shared" si="6"/>
        <v xml:space="preserve"> </v>
      </c>
      <c r="AG115" s="154" t="str">
        <f t="shared" si="7"/>
        <v>Ingresar fuente de información</v>
      </c>
      <c r="AH115" s="134"/>
      <c r="AI115" s="155"/>
      <c r="AJ115" s="156"/>
      <c r="AK115" s="157"/>
      <c r="AM115" s="158"/>
      <c r="AN115" s="155" t="str">
        <f t="shared" si="5"/>
        <v xml:space="preserve"> </v>
      </c>
      <c r="AO115" s="156"/>
      <c r="AP115" s="157"/>
      <c r="AQ115" s="161"/>
      <c r="AR115" s="160" t="str">
        <f t="shared" si="8"/>
        <v xml:space="preserve"> </v>
      </c>
    </row>
    <row r="116" spans="1:44">
      <c r="A116" s="71"/>
      <c r="B116" s="142"/>
      <c r="C116" s="143"/>
      <c r="D116" s="143"/>
      <c r="E116" s="143"/>
      <c r="F116" s="144"/>
      <c r="G116" s="142"/>
      <c r="H116" s="144" t="str">
        <f>IF(OR(ISBLANK(I116),ISBLANK(AQ116))," ",IFERROR(VLOOKUP(CONCATENATE(I116,AQ116),Prestaciones!$E$1:$H$488,4,FALSE),IFERROR(VLOOKUP(CONCATENATE(LEFT(I116,6),AQ116),Prestaciones!$E$491:$H$836,4,FALSE),"La prestación no corresponde al grupo poblacional")))</f>
        <v xml:space="preserve"> </v>
      </c>
      <c r="I116" s="145"/>
      <c r="J116" s="145" t="str">
        <f>IF(OR(ISBLANK(I116),ISBLANK(AQ116))," ",IFERROR(VLOOKUP(CONCATENATE(I116,AQ116),Prestaciones!$E$1:$G$488,3,FALSE),IFERROR(VLOOKUP(CONCATENATE(LEFT(I116,6),AQ116),Prestaciones!$E$491:$H$836,3,FALSE),"La prestación no corresponde al grupo poblacional")))</f>
        <v xml:space="preserve"> </v>
      </c>
      <c r="K116" s="146"/>
      <c r="L116" s="146"/>
      <c r="M116" s="147"/>
      <c r="N116" s="148"/>
      <c r="O116" s="149"/>
      <c r="P116" s="150"/>
      <c r="Q116" s="151"/>
      <c r="R116" s="151"/>
      <c r="S116" s="151"/>
      <c r="T116" s="147"/>
      <c r="U116" s="147"/>
      <c r="V116" s="147"/>
      <c r="W116" s="149"/>
      <c r="X116" s="149"/>
      <c r="Y116" s="147"/>
      <c r="Z116" s="147"/>
      <c r="AA116" s="147"/>
      <c r="AB116" s="147"/>
      <c r="AC116" s="147"/>
      <c r="AD116" s="147"/>
      <c r="AE116" s="152"/>
      <c r="AF116" s="153" t="str">
        <f t="shared" si="6"/>
        <v xml:space="preserve"> </v>
      </c>
      <c r="AG116" s="154" t="str">
        <f t="shared" si="7"/>
        <v>Ingresar fuente de información</v>
      </c>
      <c r="AH116" s="134"/>
      <c r="AI116" s="155"/>
      <c r="AJ116" s="156"/>
      <c r="AK116" s="157"/>
      <c r="AM116" s="158"/>
      <c r="AN116" s="155" t="str">
        <f t="shared" si="5"/>
        <v xml:space="preserve"> </v>
      </c>
      <c r="AO116" s="156"/>
      <c r="AP116" s="157"/>
      <c r="AQ116" s="161"/>
      <c r="AR116" s="160" t="str">
        <f t="shared" si="8"/>
        <v xml:space="preserve"> </v>
      </c>
    </row>
    <row r="117" spans="1:44">
      <c r="A117" s="71"/>
      <c r="B117" s="142"/>
      <c r="C117" s="143"/>
      <c r="D117" s="143"/>
      <c r="E117" s="143"/>
      <c r="F117" s="144"/>
      <c r="G117" s="142"/>
      <c r="H117" s="144" t="str">
        <f>IF(OR(ISBLANK(I117),ISBLANK(AQ117))," ",IFERROR(VLOOKUP(CONCATENATE(I117,AQ117),Prestaciones!$E$1:$H$488,4,FALSE),IFERROR(VLOOKUP(CONCATENATE(LEFT(I117,6),AQ117),Prestaciones!$E$491:$H$836,4,FALSE),"La prestación no corresponde al grupo poblacional")))</f>
        <v xml:space="preserve"> </v>
      </c>
      <c r="I117" s="145"/>
      <c r="J117" s="145" t="str">
        <f>IF(OR(ISBLANK(I117),ISBLANK(AQ117))," ",IFERROR(VLOOKUP(CONCATENATE(I117,AQ117),Prestaciones!$E$1:$G$488,3,FALSE),IFERROR(VLOOKUP(CONCATENATE(LEFT(I117,6),AQ117),Prestaciones!$E$491:$H$836,3,FALSE),"La prestación no corresponde al grupo poblacional")))</f>
        <v xml:space="preserve"> </v>
      </c>
      <c r="K117" s="146"/>
      <c r="L117" s="146"/>
      <c r="M117" s="147"/>
      <c r="N117" s="148"/>
      <c r="O117" s="149"/>
      <c r="P117" s="150"/>
      <c r="Q117" s="151"/>
      <c r="R117" s="151"/>
      <c r="S117" s="151"/>
      <c r="T117" s="147"/>
      <c r="U117" s="147"/>
      <c r="V117" s="147"/>
      <c r="W117" s="149"/>
      <c r="X117" s="149"/>
      <c r="Y117" s="147"/>
      <c r="Z117" s="147"/>
      <c r="AA117" s="147"/>
      <c r="AB117" s="147"/>
      <c r="AC117" s="147"/>
      <c r="AD117" s="147"/>
      <c r="AE117" s="152"/>
      <c r="AF117" s="153" t="str">
        <f t="shared" si="6"/>
        <v xml:space="preserve"> </v>
      </c>
      <c r="AG117" s="154" t="str">
        <f t="shared" si="7"/>
        <v>Ingresar fuente de información</v>
      </c>
      <c r="AH117" s="134"/>
      <c r="AI117" s="155"/>
      <c r="AJ117" s="156"/>
      <c r="AK117" s="157"/>
      <c r="AM117" s="158"/>
      <c r="AN117" s="155" t="str">
        <f t="shared" si="5"/>
        <v xml:space="preserve"> </v>
      </c>
      <c r="AO117" s="156"/>
      <c r="AP117" s="157"/>
      <c r="AQ117" s="161"/>
      <c r="AR117" s="160" t="str">
        <f t="shared" si="8"/>
        <v xml:space="preserve"> </v>
      </c>
    </row>
    <row r="118" spans="1:44">
      <c r="A118" s="71"/>
      <c r="B118" s="142"/>
      <c r="C118" s="143"/>
      <c r="D118" s="143"/>
      <c r="E118" s="143"/>
      <c r="F118" s="144"/>
      <c r="G118" s="142"/>
      <c r="H118" s="144" t="str">
        <f>IF(OR(ISBLANK(I118),ISBLANK(AQ118))," ",IFERROR(VLOOKUP(CONCATENATE(I118,AQ118),Prestaciones!$E$1:$H$488,4,FALSE),IFERROR(VLOOKUP(CONCATENATE(LEFT(I118,6),AQ118),Prestaciones!$E$491:$H$836,4,FALSE),"La prestación no corresponde al grupo poblacional")))</f>
        <v xml:space="preserve"> </v>
      </c>
      <c r="I118" s="145"/>
      <c r="J118" s="145" t="str">
        <f>IF(OR(ISBLANK(I118),ISBLANK(AQ118))," ",IFERROR(VLOOKUP(CONCATENATE(I118,AQ118),Prestaciones!$E$1:$G$488,3,FALSE),IFERROR(VLOOKUP(CONCATENATE(LEFT(I118,6),AQ118),Prestaciones!$E$491:$H$836,3,FALSE),"La prestación no corresponde al grupo poblacional")))</f>
        <v xml:space="preserve"> </v>
      </c>
      <c r="K118" s="146"/>
      <c r="L118" s="146"/>
      <c r="M118" s="147"/>
      <c r="N118" s="148"/>
      <c r="O118" s="149"/>
      <c r="P118" s="150"/>
      <c r="Q118" s="151"/>
      <c r="R118" s="151"/>
      <c r="S118" s="151"/>
      <c r="T118" s="147"/>
      <c r="U118" s="147"/>
      <c r="V118" s="147"/>
      <c r="W118" s="149"/>
      <c r="X118" s="149"/>
      <c r="Y118" s="147"/>
      <c r="Z118" s="147"/>
      <c r="AA118" s="147"/>
      <c r="AB118" s="147"/>
      <c r="AC118" s="147"/>
      <c r="AD118" s="147"/>
      <c r="AE118" s="152"/>
      <c r="AF118" s="153" t="str">
        <f t="shared" si="6"/>
        <v xml:space="preserve"> </v>
      </c>
      <c r="AG118" s="154" t="str">
        <f t="shared" si="7"/>
        <v>Ingresar fuente de información</v>
      </c>
      <c r="AH118" s="134"/>
      <c r="AI118" s="155"/>
      <c r="AJ118" s="156"/>
      <c r="AK118" s="157"/>
      <c r="AM118" s="158"/>
      <c r="AN118" s="155" t="str">
        <f t="shared" si="5"/>
        <v xml:space="preserve"> </v>
      </c>
      <c r="AO118" s="156"/>
      <c r="AP118" s="157"/>
      <c r="AQ118" s="161"/>
      <c r="AR118" s="160" t="str">
        <f t="shared" si="8"/>
        <v xml:space="preserve"> </v>
      </c>
    </row>
    <row r="119" spans="1:44">
      <c r="A119" s="71"/>
      <c r="B119" s="142"/>
      <c r="C119" s="143"/>
      <c r="D119" s="143"/>
      <c r="E119" s="143"/>
      <c r="F119" s="144"/>
      <c r="G119" s="142"/>
      <c r="H119" s="144" t="str">
        <f>IF(OR(ISBLANK(I119),ISBLANK(AQ119))," ",IFERROR(VLOOKUP(CONCATENATE(I119,AQ119),Prestaciones!$E$1:$H$488,4,FALSE),IFERROR(VLOOKUP(CONCATENATE(LEFT(I119,6),AQ119),Prestaciones!$E$491:$H$836,4,FALSE),"La prestación no corresponde al grupo poblacional")))</f>
        <v xml:space="preserve"> </v>
      </c>
      <c r="I119" s="145"/>
      <c r="J119" s="145" t="str">
        <f>IF(OR(ISBLANK(I119),ISBLANK(AQ119))," ",IFERROR(VLOOKUP(CONCATENATE(I119,AQ119),Prestaciones!$E$1:$G$488,3,FALSE),IFERROR(VLOOKUP(CONCATENATE(LEFT(I119,6),AQ119),Prestaciones!$E$491:$H$836,3,FALSE),"La prestación no corresponde al grupo poblacional")))</f>
        <v xml:space="preserve"> </v>
      </c>
      <c r="K119" s="146"/>
      <c r="L119" s="146"/>
      <c r="M119" s="147"/>
      <c r="N119" s="148"/>
      <c r="O119" s="149"/>
      <c r="P119" s="150"/>
      <c r="Q119" s="151"/>
      <c r="R119" s="151"/>
      <c r="S119" s="151"/>
      <c r="T119" s="147"/>
      <c r="U119" s="147"/>
      <c r="V119" s="147"/>
      <c r="W119" s="149"/>
      <c r="X119" s="149"/>
      <c r="Y119" s="147"/>
      <c r="Z119" s="147"/>
      <c r="AA119" s="147"/>
      <c r="AB119" s="147"/>
      <c r="AC119" s="147"/>
      <c r="AD119" s="147"/>
      <c r="AE119" s="152"/>
      <c r="AF119" s="153" t="str">
        <f t="shared" si="6"/>
        <v xml:space="preserve"> </v>
      </c>
      <c r="AG119" s="154" t="str">
        <f t="shared" si="7"/>
        <v>Ingresar fuente de información</v>
      </c>
      <c r="AH119" s="134"/>
      <c r="AI119" s="155"/>
      <c r="AJ119" s="156"/>
      <c r="AK119" s="157"/>
      <c r="AM119" s="158"/>
      <c r="AN119" s="155" t="str">
        <f t="shared" si="5"/>
        <v xml:space="preserve"> </v>
      </c>
      <c r="AO119" s="156"/>
      <c r="AP119" s="157"/>
      <c r="AQ119" s="161"/>
      <c r="AR119" s="160" t="str">
        <f t="shared" si="8"/>
        <v xml:space="preserve"> </v>
      </c>
    </row>
    <row r="120" spans="1:44">
      <c r="A120" s="71"/>
      <c r="B120" s="142"/>
      <c r="C120" s="143"/>
      <c r="D120" s="143"/>
      <c r="E120" s="143"/>
      <c r="F120" s="144"/>
      <c r="G120" s="142"/>
      <c r="H120" s="144" t="str">
        <f>IF(OR(ISBLANK(I120),ISBLANK(AQ120))," ",IFERROR(VLOOKUP(CONCATENATE(I120,AQ120),Prestaciones!$E$1:$H$488,4,FALSE),IFERROR(VLOOKUP(CONCATENATE(LEFT(I120,6),AQ120),Prestaciones!$E$491:$H$836,4,FALSE),"La prestación no corresponde al grupo poblacional")))</f>
        <v xml:space="preserve"> </v>
      </c>
      <c r="I120" s="145"/>
      <c r="J120" s="145" t="str">
        <f>IF(OR(ISBLANK(I120),ISBLANK(AQ120))," ",IFERROR(VLOOKUP(CONCATENATE(I120,AQ120),Prestaciones!$E$1:$G$488,3,FALSE),IFERROR(VLOOKUP(CONCATENATE(LEFT(I120,6),AQ120),Prestaciones!$E$491:$H$836,3,FALSE),"La prestación no corresponde al grupo poblacional")))</f>
        <v xml:space="preserve"> </v>
      </c>
      <c r="K120" s="146"/>
      <c r="L120" s="146"/>
      <c r="M120" s="147"/>
      <c r="N120" s="148"/>
      <c r="O120" s="149"/>
      <c r="P120" s="150"/>
      <c r="Q120" s="151"/>
      <c r="R120" s="151"/>
      <c r="S120" s="151"/>
      <c r="T120" s="147"/>
      <c r="U120" s="147"/>
      <c r="V120" s="147"/>
      <c r="W120" s="149"/>
      <c r="X120" s="149"/>
      <c r="Y120" s="147"/>
      <c r="Z120" s="147"/>
      <c r="AA120" s="147"/>
      <c r="AB120" s="147"/>
      <c r="AC120" s="147"/>
      <c r="AD120" s="147"/>
      <c r="AE120" s="152"/>
      <c r="AF120" s="153" t="str">
        <f t="shared" si="6"/>
        <v xml:space="preserve"> </v>
      </c>
      <c r="AG120" s="154" t="str">
        <f t="shared" si="7"/>
        <v>Ingresar fuente de información</v>
      </c>
      <c r="AH120" s="134"/>
      <c r="AI120" s="155"/>
      <c r="AJ120" s="156"/>
      <c r="AK120" s="157"/>
      <c r="AM120" s="158"/>
      <c r="AN120" s="155" t="str">
        <f t="shared" si="5"/>
        <v xml:space="preserve"> </v>
      </c>
      <c r="AO120" s="156"/>
      <c r="AP120" s="157"/>
      <c r="AQ120" s="161"/>
      <c r="AR120" s="160" t="str">
        <f t="shared" si="8"/>
        <v xml:space="preserve"> </v>
      </c>
    </row>
    <row r="121" spans="1:44">
      <c r="A121" s="71"/>
      <c r="B121" s="142"/>
      <c r="C121" s="143"/>
      <c r="D121" s="143"/>
      <c r="E121" s="143"/>
      <c r="F121" s="144"/>
      <c r="G121" s="142"/>
      <c r="H121" s="144" t="str">
        <f>IF(OR(ISBLANK(I121),ISBLANK(AQ121))," ",IFERROR(VLOOKUP(CONCATENATE(I121,AQ121),Prestaciones!$E$1:$H$488,4,FALSE),IFERROR(VLOOKUP(CONCATENATE(LEFT(I121,6),AQ121),Prestaciones!$E$491:$H$836,4,FALSE),"La prestación no corresponde al grupo poblacional")))</f>
        <v xml:space="preserve"> </v>
      </c>
      <c r="I121" s="145"/>
      <c r="J121" s="145" t="str">
        <f>IF(OR(ISBLANK(I121),ISBLANK(AQ121))," ",IFERROR(VLOOKUP(CONCATENATE(I121,AQ121),Prestaciones!$E$1:$G$488,3,FALSE),IFERROR(VLOOKUP(CONCATENATE(LEFT(I121,6),AQ121),Prestaciones!$E$491:$H$836,3,FALSE),"La prestación no corresponde al grupo poblacional")))</f>
        <v xml:space="preserve"> </v>
      </c>
      <c r="K121" s="146"/>
      <c r="L121" s="146"/>
      <c r="M121" s="147"/>
      <c r="N121" s="148"/>
      <c r="O121" s="149"/>
      <c r="P121" s="150"/>
      <c r="Q121" s="151"/>
      <c r="R121" s="151"/>
      <c r="S121" s="151"/>
      <c r="T121" s="147"/>
      <c r="U121" s="147"/>
      <c r="V121" s="147"/>
      <c r="W121" s="149"/>
      <c r="X121" s="149"/>
      <c r="Y121" s="147"/>
      <c r="Z121" s="147"/>
      <c r="AA121" s="147"/>
      <c r="AB121" s="147"/>
      <c r="AC121" s="147"/>
      <c r="AD121" s="147"/>
      <c r="AE121" s="152"/>
      <c r="AF121" s="153" t="str">
        <f t="shared" si="6"/>
        <v xml:space="preserve"> </v>
      </c>
      <c r="AG121" s="154" t="str">
        <f t="shared" si="7"/>
        <v>Ingresar fuente de información</v>
      </c>
      <c r="AH121" s="134"/>
      <c r="AI121" s="155"/>
      <c r="AJ121" s="156"/>
      <c r="AK121" s="157"/>
      <c r="AM121" s="158"/>
      <c r="AN121" s="155" t="str">
        <f t="shared" si="5"/>
        <v xml:space="preserve"> </v>
      </c>
      <c r="AO121" s="156"/>
      <c r="AP121" s="157"/>
      <c r="AQ121" s="161"/>
      <c r="AR121" s="160" t="str">
        <f t="shared" si="8"/>
        <v xml:space="preserve"> </v>
      </c>
    </row>
    <row r="122" spans="1:44">
      <c r="A122" s="71"/>
      <c r="B122" s="142"/>
      <c r="C122" s="143"/>
      <c r="D122" s="143"/>
      <c r="E122" s="143"/>
      <c r="F122" s="144"/>
      <c r="G122" s="142"/>
      <c r="H122" s="144" t="str">
        <f>IF(OR(ISBLANK(I122),ISBLANK(AQ122))," ",IFERROR(VLOOKUP(CONCATENATE(I122,AQ122),Prestaciones!$E$1:$H$488,4,FALSE),IFERROR(VLOOKUP(CONCATENATE(LEFT(I122,6),AQ122),Prestaciones!$E$491:$H$836,4,FALSE),"La prestación no corresponde al grupo poblacional")))</f>
        <v xml:space="preserve"> </v>
      </c>
      <c r="I122" s="145"/>
      <c r="J122" s="145" t="str">
        <f>IF(OR(ISBLANK(I122),ISBLANK(AQ122))," ",IFERROR(VLOOKUP(CONCATENATE(I122,AQ122),Prestaciones!$E$1:$G$488,3,FALSE),IFERROR(VLOOKUP(CONCATENATE(LEFT(I122,6),AQ122),Prestaciones!$E$491:$H$836,3,FALSE),"La prestación no corresponde al grupo poblacional")))</f>
        <v xml:space="preserve"> </v>
      </c>
      <c r="K122" s="146"/>
      <c r="L122" s="146"/>
      <c r="M122" s="147"/>
      <c r="N122" s="148"/>
      <c r="O122" s="149"/>
      <c r="P122" s="150"/>
      <c r="Q122" s="151"/>
      <c r="R122" s="151"/>
      <c r="S122" s="151"/>
      <c r="T122" s="147"/>
      <c r="U122" s="147"/>
      <c r="V122" s="147"/>
      <c r="W122" s="149"/>
      <c r="X122" s="149"/>
      <c r="Y122" s="147"/>
      <c r="Z122" s="147"/>
      <c r="AA122" s="147"/>
      <c r="AB122" s="147"/>
      <c r="AC122" s="147"/>
      <c r="AD122" s="147"/>
      <c r="AE122" s="152"/>
      <c r="AF122" s="153" t="str">
        <f t="shared" si="6"/>
        <v xml:space="preserve"> </v>
      </c>
      <c r="AG122" s="154" t="str">
        <f t="shared" si="7"/>
        <v>Ingresar fuente de información</v>
      </c>
      <c r="AH122" s="134"/>
      <c r="AI122" s="155"/>
      <c r="AJ122" s="156"/>
      <c r="AK122" s="157"/>
      <c r="AM122" s="158"/>
      <c r="AN122" s="155" t="str">
        <f t="shared" si="5"/>
        <v xml:space="preserve"> </v>
      </c>
      <c r="AO122" s="156"/>
      <c r="AP122" s="157"/>
      <c r="AQ122" s="161"/>
      <c r="AR122" s="160" t="str">
        <f t="shared" si="8"/>
        <v xml:space="preserve"> </v>
      </c>
    </row>
    <row r="123" spans="1:44">
      <c r="A123" s="71"/>
      <c r="B123" s="142"/>
      <c r="C123" s="143"/>
      <c r="D123" s="143"/>
      <c r="E123" s="143"/>
      <c r="F123" s="144"/>
      <c r="G123" s="142"/>
      <c r="H123" s="144" t="str">
        <f>IF(OR(ISBLANK(I123),ISBLANK(AQ123))," ",IFERROR(VLOOKUP(CONCATENATE(I123,AQ123),Prestaciones!$E$1:$H$488,4,FALSE),IFERROR(VLOOKUP(CONCATENATE(LEFT(I123,6),AQ123),Prestaciones!$E$491:$H$836,4,FALSE),"La prestación no corresponde al grupo poblacional")))</f>
        <v xml:space="preserve"> </v>
      </c>
      <c r="I123" s="145"/>
      <c r="J123" s="145" t="str">
        <f>IF(OR(ISBLANK(I123),ISBLANK(AQ123))," ",IFERROR(VLOOKUP(CONCATENATE(I123,AQ123),Prestaciones!$E$1:$G$488,3,FALSE),IFERROR(VLOOKUP(CONCATENATE(LEFT(I123,6),AQ123),Prestaciones!$E$491:$H$836,3,FALSE),"La prestación no corresponde al grupo poblacional")))</f>
        <v xml:space="preserve"> </v>
      </c>
      <c r="K123" s="146"/>
      <c r="L123" s="146"/>
      <c r="M123" s="147"/>
      <c r="N123" s="148"/>
      <c r="O123" s="149"/>
      <c r="P123" s="150"/>
      <c r="Q123" s="151"/>
      <c r="R123" s="151"/>
      <c r="S123" s="151"/>
      <c r="T123" s="147"/>
      <c r="U123" s="147"/>
      <c r="V123" s="147"/>
      <c r="W123" s="149"/>
      <c r="X123" s="149"/>
      <c r="Y123" s="147"/>
      <c r="Z123" s="147"/>
      <c r="AA123" s="147"/>
      <c r="AB123" s="147"/>
      <c r="AC123" s="147"/>
      <c r="AD123" s="147"/>
      <c r="AE123" s="152"/>
      <c r="AF123" s="153" t="str">
        <f t="shared" si="6"/>
        <v xml:space="preserve"> </v>
      </c>
      <c r="AG123" s="154" t="str">
        <f t="shared" si="7"/>
        <v>Ingresar fuente de información</v>
      </c>
      <c r="AH123" s="134"/>
      <c r="AI123" s="155"/>
      <c r="AJ123" s="156"/>
      <c r="AK123" s="157"/>
      <c r="AM123" s="158"/>
      <c r="AN123" s="155" t="str">
        <f t="shared" si="5"/>
        <v xml:space="preserve"> </v>
      </c>
      <c r="AO123" s="156"/>
      <c r="AP123" s="157"/>
      <c r="AQ123" s="161"/>
      <c r="AR123" s="160" t="str">
        <f t="shared" si="8"/>
        <v xml:space="preserve"> </v>
      </c>
    </row>
    <row r="124" spans="1:44">
      <c r="A124" s="71"/>
      <c r="B124" s="142"/>
      <c r="C124" s="143"/>
      <c r="D124" s="143"/>
      <c r="E124" s="143"/>
      <c r="F124" s="144"/>
      <c r="G124" s="142"/>
      <c r="H124" s="144" t="str">
        <f>IF(OR(ISBLANK(I124),ISBLANK(AQ124))," ",IFERROR(VLOOKUP(CONCATENATE(I124,AQ124),Prestaciones!$E$1:$H$488,4,FALSE),IFERROR(VLOOKUP(CONCATENATE(LEFT(I124,6),AQ124),Prestaciones!$E$491:$H$836,4,FALSE),"La prestación no corresponde al grupo poblacional")))</f>
        <v xml:space="preserve"> </v>
      </c>
      <c r="I124" s="145"/>
      <c r="J124" s="145" t="str">
        <f>IF(OR(ISBLANK(I124),ISBLANK(AQ124))," ",IFERROR(VLOOKUP(CONCATENATE(I124,AQ124),Prestaciones!$E$1:$G$488,3,FALSE),IFERROR(VLOOKUP(CONCATENATE(LEFT(I124,6),AQ124),Prestaciones!$E$491:$H$836,3,FALSE),"La prestación no corresponde al grupo poblacional")))</f>
        <v xml:space="preserve"> </v>
      </c>
      <c r="K124" s="146"/>
      <c r="L124" s="146"/>
      <c r="M124" s="147"/>
      <c r="N124" s="148"/>
      <c r="O124" s="149"/>
      <c r="P124" s="150"/>
      <c r="Q124" s="151"/>
      <c r="R124" s="151"/>
      <c r="S124" s="151"/>
      <c r="T124" s="147"/>
      <c r="U124" s="147"/>
      <c r="V124" s="147"/>
      <c r="W124" s="149"/>
      <c r="X124" s="149"/>
      <c r="Y124" s="147"/>
      <c r="Z124" s="147"/>
      <c r="AA124" s="147"/>
      <c r="AB124" s="147"/>
      <c r="AC124" s="147"/>
      <c r="AD124" s="147"/>
      <c r="AE124" s="152"/>
      <c r="AF124" s="153" t="str">
        <f t="shared" si="6"/>
        <v xml:space="preserve"> </v>
      </c>
      <c r="AG124" s="154" t="str">
        <f t="shared" si="7"/>
        <v>Ingresar fuente de información</v>
      </c>
      <c r="AH124" s="134"/>
      <c r="AI124" s="155"/>
      <c r="AJ124" s="156"/>
      <c r="AK124" s="157"/>
      <c r="AM124" s="158"/>
      <c r="AN124" s="155" t="str">
        <f t="shared" si="5"/>
        <v xml:space="preserve"> </v>
      </c>
      <c r="AO124" s="156"/>
      <c r="AP124" s="157"/>
      <c r="AQ124" s="161"/>
      <c r="AR124" s="160" t="str">
        <f t="shared" si="8"/>
        <v xml:space="preserve"> </v>
      </c>
    </row>
    <row r="125" spans="1:44">
      <c r="A125" s="71"/>
      <c r="B125" s="142"/>
      <c r="C125" s="143"/>
      <c r="D125" s="143"/>
      <c r="E125" s="143"/>
      <c r="F125" s="144"/>
      <c r="G125" s="142"/>
      <c r="H125" s="144" t="str">
        <f>IF(OR(ISBLANK(I125),ISBLANK(AQ125))," ",IFERROR(VLOOKUP(CONCATENATE(I125,AQ125),Prestaciones!$E$1:$H$488,4,FALSE),IFERROR(VLOOKUP(CONCATENATE(LEFT(I125,6),AQ125),Prestaciones!$E$491:$H$836,4,FALSE),"La prestación no corresponde al grupo poblacional")))</f>
        <v xml:space="preserve"> </v>
      </c>
      <c r="I125" s="145"/>
      <c r="J125" s="145" t="str">
        <f>IF(OR(ISBLANK(I125),ISBLANK(AQ125))," ",IFERROR(VLOOKUP(CONCATENATE(I125,AQ125),Prestaciones!$E$1:$G$488,3,FALSE),IFERROR(VLOOKUP(CONCATENATE(LEFT(I125,6),AQ125),Prestaciones!$E$491:$H$836,3,FALSE),"La prestación no corresponde al grupo poblacional")))</f>
        <v xml:space="preserve"> </v>
      </c>
      <c r="K125" s="146"/>
      <c r="L125" s="146"/>
      <c r="M125" s="147"/>
      <c r="N125" s="148"/>
      <c r="O125" s="149"/>
      <c r="P125" s="150"/>
      <c r="Q125" s="151"/>
      <c r="R125" s="151"/>
      <c r="S125" s="151"/>
      <c r="T125" s="147"/>
      <c r="U125" s="147"/>
      <c r="V125" s="147"/>
      <c r="W125" s="149"/>
      <c r="X125" s="149"/>
      <c r="Y125" s="147"/>
      <c r="Z125" s="147"/>
      <c r="AA125" s="147"/>
      <c r="AB125" s="147"/>
      <c r="AC125" s="147"/>
      <c r="AD125" s="147"/>
      <c r="AE125" s="152"/>
      <c r="AF125" s="153" t="str">
        <f t="shared" si="6"/>
        <v xml:space="preserve"> </v>
      </c>
      <c r="AG125" s="154" t="str">
        <f t="shared" si="7"/>
        <v>Ingresar fuente de información</v>
      </c>
      <c r="AH125" s="134"/>
      <c r="AI125" s="155"/>
      <c r="AJ125" s="156"/>
      <c r="AK125" s="157"/>
      <c r="AM125" s="158"/>
      <c r="AN125" s="155" t="str">
        <f t="shared" si="5"/>
        <v xml:space="preserve"> </v>
      </c>
      <c r="AO125" s="156"/>
      <c r="AP125" s="157"/>
      <c r="AQ125" s="161"/>
      <c r="AR125" s="160" t="str">
        <f t="shared" si="8"/>
        <v xml:space="preserve"> </v>
      </c>
    </row>
    <row r="126" spans="1:44">
      <c r="A126" s="71"/>
      <c r="B126" s="142"/>
      <c r="C126" s="143"/>
      <c r="D126" s="143"/>
      <c r="E126" s="143"/>
      <c r="F126" s="144"/>
      <c r="G126" s="142"/>
      <c r="H126" s="144" t="str">
        <f>IF(OR(ISBLANK(I126),ISBLANK(AQ126))," ",IFERROR(VLOOKUP(CONCATENATE(I126,AQ126),Prestaciones!$E$1:$H$488,4,FALSE),IFERROR(VLOOKUP(CONCATENATE(LEFT(I126,6),AQ126),Prestaciones!$E$491:$H$836,4,FALSE),"La prestación no corresponde al grupo poblacional")))</f>
        <v xml:space="preserve"> </v>
      </c>
      <c r="I126" s="145"/>
      <c r="J126" s="145" t="str">
        <f>IF(OR(ISBLANK(I126),ISBLANK(AQ126))," ",IFERROR(VLOOKUP(CONCATENATE(I126,AQ126),Prestaciones!$E$1:$G$488,3,FALSE),IFERROR(VLOOKUP(CONCATENATE(LEFT(I126,6),AQ126),Prestaciones!$E$491:$H$836,3,FALSE),"La prestación no corresponde al grupo poblacional")))</f>
        <v xml:space="preserve"> </v>
      </c>
      <c r="K126" s="146"/>
      <c r="L126" s="146"/>
      <c r="M126" s="147"/>
      <c r="N126" s="148"/>
      <c r="O126" s="149"/>
      <c r="P126" s="150"/>
      <c r="Q126" s="151"/>
      <c r="R126" s="151"/>
      <c r="S126" s="151"/>
      <c r="T126" s="147"/>
      <c r="U126" s="147"/>
      <c r="V126" s="147"/>
      <c r="W126" s="149"/>
      <c r="X126" s="149"/>
      <c r="Y126" s="147"/>
      <c r="Z126" s="147"/>
      <c r="AA126" s="147"/>
      <c r="AB126" s="147"/>
      <c r="AC126" s="147"/>
      <c r="AD126" s="147"/>
      <c r="AE126" s="152"/>
      <c r="AF126" s="153" t="str">
        <f t="shared" si="6"/>
        <v xml:space="preserve"> </v>
      </c>
      <c r="AG126" s="154" t="str">
        <f t="shared" si="7"/>
        <v>Ingresar fuente de información</v>
      </c>
      <c r="AH126" s="134"/>
      <c r="AI126" s="155"/>
      <c r="AJ126" s="156"/>
      <c r="AK126" s="157"/>
      <c r="AM126" s="158"/>
      <c r="AN126" s="155" t="str">
        <f t="shared" si="5"/>
        <v xml:space="preserve"> </v>
      </c>
      <c r="AO126" s="156"/>
      <c r="AP126" s="157"/>
      <c r="AQ126" s="161"/>
      <c r="AR126" s="160" t="str">
        <f t="shared" si="8"/>
        <v xml:space="preserve"> </v>
      </c>
    </row>
    <row r="127" spans="1:44">
      <c r="A127" s="71"/>
      <c r="B127" s="142"/>
      <c r="C127" s="143"/>
      <c r="D127" s="143"/>
      <c r="E127" s="143"/>
      <c r="F127" s="144"/>
      <c r="G127" s="142"/>
      <c r="H127" s="144" t="str">
        <f>IF(OR(ISBLANK(I127),ISBLANK(AQ127))," ",IFERROR(VLOOKUP(CONCATENATE(I127,AQ127),Prestaciones!$E$1:$H$488,4,FALSE),IFERROR(VLOOKUP(CONCATENATE(LEFT(I127,6),AQ127),Prestaciones!$E$491:$H$836,4,FALSE),"La prestación no corresponde al grupo poblacional")))</f>
        <v xml:space="preserve"> </v>
      </c>
      <c r="I127" s="145"/>
      <c r="J127" s="145" t="str">
        <f>IF(OR(ISBLANK(I127),ISBLANK(AQ127))," ",IFERROR(VLOOKUP(CONCATENATE(I127,AQ127),Prestaciones!$E$1:$G$488,3,FALSE),IFERROR(VLOOKUP(CONCATENATE(LEFT(I127,6),AQ127),Prestaciones!$E$491:$H$836,3,FALSE),"La prestación no corresponde al grupo poblacional")))</f>
        <v xml:space="preserve"> </v>
      </c>
      <c r="K127" s="146"/>
      <c r="L127" s="146"/>
      <c r="M127" s="147"/>
      <c r="N127" s="148"/>
      <c r="O127" s="149"/>
      <c r="P127" s="150"/>
      <c r="Q127" s="151"/>
      <c r="R127" s="151"/>
      <c r="S127" s="151"/>
      <c r="T127" s="147"/>
      <c r="U127" s="147"/>
      <c r="V127" s="147"/>
      <c r="W127" s="149"/>
      <c r="X127" s="149"/>
      <c r="Y127" s="147"/>
      <c r="Z127" s="147"/>
      <c r="AA127" s="147"/>
      <c r="AB127" s="147"/>
      <c r="AC127" s="147"/>
      <c r="AD127" s="147"/>
      <c r="AE127" s="152"/>
      <c r="AF127" s="153" t="str">
        <f t="shared" si="6"/>
        <v xml:space="preserve"> </v>
      </c>
      <c r="AG127" s="154" t="str">
        <f t="shared" si="7"/>
        <v>Ingresar fuente de información</v>
      </c>
      <c r="AH127" s="134"/>
      <c r="AI127" s="155"/>
      <c r="AJ127" s="156"/>
      <c r="AK127" s="157"/>
      <c r="AM127" s="158"/>
      <c r="AN127" s="155" t="str">
        <f t="shared" si="5"/>
        <v xml:space="preserve"> </v>
      </c>
      <c r="AO127" s="156"/>
      <c r="AP127" s="157"/>
      <c r="AQ127" s="161"/>
      <c r="AR127" s="160" t="str">
        <f t="shared" si="8"/>
        <v xml:space="preserve"> </v>
      </c>
    </row>
    <row r="128" spans="1:44">
      <c r="A128" s="71"/>
      <c r="B128" s="142"/>
      <c r="C128" s="143"/>
      <c r="D128" s="143"/>
      <c r="E128" s="143"/>
      <c r="F128" s="144"/>
      <c r="G128" s="142"/>
      <c r="H128" s="144" t="str">
        <f>IF(OR(ISBLANK(I128),ISBLANK(AQ128))," ",IFERROR(VLOOKUP(CONCATENATE(I128,AQ128),Prestaciones!$E$1:$H$488,4,FALSE),IFERROR(VLOOKUP(CONCATENATE(LEFT(I128,6),AQ128),Prestaciones!$E$491:$H$836,4,FALSE),"La prestación no corresponde al grupo poblacional")))</f>
        <v xml:space="preserve"> </v>
      </c>
      <c r="I128" s="145"/>
      <c r="J128" s="145" t="str">
        <f>IF(OR(ISBLANK(I128),ISBLANK(AQ128))," ",IFERROR(VLOOKUP(CONCATENATE(I128,AQ128),Prestaciones!$E$1:$G$488,3,FALSE),IFERROR(VLOOKUP(CONCATENATE(LEFT(I128,6),AQ128),Prestaciones!$E$491:$H$836,3,FALSE),"La prestación no corresponde al grupo poblacional")))</f>
        <v xml:space="preserve"> </v>
      </c>
      <c r="K128" s="146"/>
      <c r="L128" s="146"/>
      <c r="M128" s="147"/>
      <c r="N128" s="148"/>
      <c r="O128" s="149"/>
      <c r="P128" s="150"/>
      <c r="Q128" s="151"/>
      <c r="R128" s="151"/>
      <c r="S128" s="151"/>
      <c r="T128" s="147"/>
      <c r="U128" s="147"/>
      <c r="V128" s="147"/>
      <c r="W128" s="149"/>
      <c r="X128" s="149"/>
      <c r="Y128" s="147"/>
      <c r="Z128" s="147"/>
      <c r="AA128" s="147"/>
      <c r="AB128" s="147"/>
      <c r="AC128" s="147"/>
      <c r="AD128" s="147"/>
      <c r="AE128" s="152"/>
      <c r="AF128" s="153" t="str">
        <f t="shared" si="6"/>
        <v xml:space="preserve"> </v>
      </c>
      <c r="AG128" s="154" t="str">
        <f t="shared" si="7"/>
        <v>Ingresar fuente de información</v>
      </c>
      <c r="AH128" s="134"/>
      <c r="AI128" s="155"/>
      <c r="AJ128" s="156"/>
      <c r="AK128" s="157"/>
      <c r="AM128" s="158"/>
      <c r="AN128" s="155" t="str">
        <f t="shared" si="5"/>
        <v xml:space="preserve"> </v>
      </c>
      <c r="AO128" s="156"/>
      <c r="AP128" s="157"/>
      <c r="AQ128" s="161"/>
      <c r="AR128" s="160" t="str">
        <f t="shared" si="8"/>
        <v xml:space="preserve"> </v>
      </c>
    </row>
    <row r="129" spans="1:44">
      <c r="A129" s="71"/>
      <c r="B129" s="142"/>
      <c r="C129" s="143"/>
      <c r="D129" s="143"/>
      <c r="E129" s="143"/>
      <c r="F129" s="144"/>
      <c r="G129" s="142"/>
      <c r="H129" s="144" t="str">
        <f>IF(OR(ISBLANK(I129),ISBLANK(AQ129))," ",IFERROR(VLOOKUP(CONCATENATE(I129,AQ129),Prestaciones!$E$1:$H$488,4,FALSE),IFERROR(VLOOKUP(CONCATENATE(LEFT(I129,6),AQ129),Prestaciones!$E$491:$H$836,4,FALSE),"La prestación no corresponde al grupo poblacional")))</f>
        <v xml:space="preserve"> </v>
      </c>
      <c r="I129" s="145"/>
      <c r="J129" s="145" t="str">
        <f>IF(OR(ISBLANK(I129),ISBLANK(AQ129))," ",IFERROR(VLOOKUP(CONCATENATE(I129,AQ129),Prestaciones!$E$1:$G$488,3,FALSE),IFERROR(VLOOKUP(CONCATENATE(LEFT(I129,6),AQ129),Prestaciones!$E$491:$H$836,3,FALSE),"La prestación no corresponde al grupo poblacional")))</f>
        <v xml:space="preserve"> </v>
      </c>
      <c r="K129" s="146"/>
      <c r="L129" s="146"/>
      <c r="M129" s="147"/>
      <c r="N129" s="148"/>
      <c r="O129" s="149"/>
      <c r="P129" s="150"/>
      <c r="Q129" s="151"/>
      <c r="R129" s="151"/>
      <c r="S129" s="151"/>
      <c r="T129" s="147"/>
      <c r="U129" s="147"/>
      <c r="V129" s="147"/>
      <c r="W129" s="149"/>
      <c r="X129" s="149"/>
      <c r="Y129" s="147"/>
      <c r="Z129" s="147"/>
      <c r="AA129" s="147"/>
      <c r="AB129" s="147"/>
      <c r="AC129" s="147"/>
      <c r="AD129" s="147"/>
      <c r="AE129" s="152"/>
      <c r="AF129" s="153" t="str">
        <f t="shared" si="6"/>
        <v xml:space="preserve"> </v>
      </c>
      <c r="AG129" s="154" t="str">
        <f t="shared" si="7"/>
        <v>Ingresar fuente de información</v>
      </c>
      <c r="AH129" s="134"/>
      <c r="AI129" s="155"/>
      <c r="AJ129" s="156"/>
      <c r="AK129" s="157"/>
      <c r="AM129" s="158"/>
      <c r="AN129" s="155" t="str">
        <f t="shared" si="5"/>
        <v xml:space="preserve"> </v>
      </c>
      <c r="AO129" s="156"/>
      <c r="AP129" s="157"/>
      <c r="AQ129" s="161"/>
      <c r="AR129" s="160" t="str">
        <f t="shared" si="8"/>
        <v xml:space="preserve"> </v>
      </c>
    </row>
    <row r="130" spans="1:44">
      <c r="A130" s="71"/>
      <c r="B130" s="142"/>
      <c r="C130" s="143"/>
      <c r="D130" s="143"/>
      <c r="E130" s="143"/>
      <c r="F130" s="144"/>
      <c r="G130" s="142"/>
      <c r="H130" s="144" t="str">
        <f>IF(OR(ISBLANK(I130),ISBLANK(AQ130))," ",IFERROR(VLOOKUP(CONCATENATE(I130,AQ130),Prestaciones!$E$1:$H$488,4,FALSE),IFERROR(VLOOKUP(CONCATENATE(LEFT(I130,6),AQ130),Prestaciones!$E$491:$H$836,4,FALSE),"La prestación no corresponde al grupo poblacional")))</f>
        <v xml:space="preserve"> </v>
      </c>
      <c r="I130" s="145"/>
      <c r="J130" s="145" t="str">
        <f>IF(OR(ISBLANK(I130),ISBLANK(AQ130))," ",IFERROR(VLOOKUP(CONCATENATE(I130,AQ130),Prestaciones!$E$1:$G$488,3,FALSE),IFERROR(VLOOKUP(CONCATENATE(LEFT(I130,6),AQ130),Prestaciones!$E$491:$H$836,3,FALSE),"La prestación no corresponde al grupo poblacional")))</f>
        <v xml:space="preserve"> </v>
      </c>
      <c r="K130" s="146"/>
      <c r="L130" s="146"/>
      <c r="M130" s="147"/>
      <c r="N130" s="148"/>
      <c r="O130" s="149"/>
      <c r="P130" s="150"/>
      <c r="Q130" s="151"/>
      <c r="R130" s="151"/>
      <c r="S130" s="151"/>
      <c r="T130" s="147"/>
      <c r="U130" s="147"/>
      <c r="V130" s="147"/>
      <c r="W130" s="149"/>
      <c r="X130" s="149"/>
      <c r="Y130" s="147"/>
      <c r="Z130" s="147"/>
      <c r="AA130" s="147"/>
      <c r="AB130" s="147"/>
      <c r="AC130" s="147"/>
      <c r="AD130" s="147"/>
      <c r="AE130" s="152"/>
      <c r="AF130" s="153" t="str">
        <f t="shared" si="6"/>
        <v xml:space="preserve"> </v>
      </c>
      <c r="AG130" s="154" t="str">
        <f t="shared" si="7"/>
        <v>Ingresar fuente de información</v>
      </c>
      <c r="AH130" s="134"/>
      <c r="AI130" s="155"/>
      <c r="AJ130" s="156"/>
      <c r="AK130" s="157"/>
      <c r="AM130" s="158"/>
      <c r="AN130" s="155" t="str">
        <f t="shared" si="5"/>
        <v xml:space="preserve"> </v>
      </c>
      <c r="AO130" s="156"/>
      <c r="AP130" s="157"/>
      <c r="AQ130" s="161"/>
      <c r="AR130" s="160" t="str">
        <f t="shared" si="8"/>
        <v xml:space="preserve"> </v>
      </c>
    </row>
    <row r="131" spans="1:44">
      <c r="A131" s="71"/>
      <c r="B131" s="142"/>
      <c r="C131" s="143"/>
      <c r="D131" s="143"/>
      <c r="E131" s="143"/>
      <c r="F131" s="144"/>
      <c r="G131" s="142"/>
      <c r="H131" s="144" t="str">
        <f>IF(OR(ISBLANK(I131),ISBLANK(AQ131))," ",IFERROR(VLOOKUP(CONCATENATE(I131,AQ131),Prestaciones!$E$1:$H$488,4,FALSE),IFERROR(VLOOKUP(CONCATENATE(LEFT(I131,6),AQ131),Prestaciones!$E$491:$H$836,4,FALSE),"La prestación no corresponde al grupo poblacional")))</f>
        <v xml:space="preserve"> </v>
      </c>
      <c r="I131" s="145"/>
      <c r="J131" s="145" t="str">
        <f>IF(OR(ISBLANK(I131),ISBLANK(AQ131))," ",IFERROR(VLOOKUP(CONCATENATE(I131,AQ131),Prestaciones!$E$1:$G$488,3,FALSE),IFERROR(VLOOKUP(CONCATENATE(LEFT(I131,6),AQ131),Prestaciones!$E$491:$H$836,3,FALSE),"La prestación no corresponde al grupo poblacional")))</f>
        <v xml:space="preserve"> </v>
      </c>
      <c r="K131" s="146"/>
      <c r="L131" s="146"/>
      <c r="M131" s="147"/>
      <c r="N131" s="148"/>
      <c r="O131" s="149"/>
      <c r="P131" s="150"/>
      <c r="Q131" s="151"/>
      <c r="R131" s="151"/>
      <c r="S131" s="151"/>
      <c r="T131" s="147"/>
      <c r="U131" s="147"/>
      <c r="V131" s="147"/>
      <c r="W131" s="149"/>
      <c r="X131" s="149"/>
      <c r="Y131" s="147"/>
      <c r="Z131" s="147"/>
      <c r="AA131" s="147"/>
      <c r="AB131" s="147"/>
      <c r="AC131" s="147"/>
      <c r="AD131" s="147"/>
      <c r="AE131" s="152"/>
      <c r="AF131" s="153" t="str">
        <f t="shared" si="6"/>
        <v xml:space="preserve"> </v>
      </c>
      <c r="AG131" s="154" t="str">
        <f t="shared" si="7"/>
        <v>Ingresar fuente de información</v>
      </c>
      <c r="AH131" s="134"/>
      <c r="AI131" s="155"/>
      <c r="AJ131" s="156"/>
      <c r="AK131" s="157"/>
      <c r="AM131" s="158"/>
      <c r="AN131" s="155" t="str">
        <f t="shared" si="5"/>
        <v xml:space="preserve"> </v>
      </c>
      <c r="AO131" s="156"/>
      <c r="AP131" s="157"/>
      <c r="AQ131" s="161"/>
      <c r="AR131" s="160" t="str">
        <f t="shared" si="8"/>
        <v xml:space="preserve"> </v>
      </c>
    </row>
    <row r="132" spans="1:44">
      <c r="A132" s="71"/>
      <c r="B132" s="142"/>
      <c r="C132" s="143"/>
      <c r="D132" s="143"/>
      <c r="E132" s="143"/>
      <c r="F132" s="144"/>
      <c r="G132" s="142"/>
      <c r="H132" s="144" t="str">
        <f>IF(OR(ISBLANK(I132),ISBLANK(AQ132))," ",IFERROR(VLOOKUP(CONCATENATE(I132,AQ132),Prestaciones!$E$1:$H$488,4,FALSE),IFERROR(VLOOKUP(CONCATENATE(LEFT(I132,6),AQ132),Prestaciones!$E$491:$H$836,4,FALSE),"La prestación no corresponde al grupo poblacional")))</f>
        <v xml:space="preserve"> </v>
      </c>
      <c r="I132" s="145"/>
      <c r="J132" s="145" t="str">
        <f>IF(OR(ISBLANK(I132),ISBLANK(AQ132))," ",IFERROR(VLOOKUP(CONCATENATE(I132,AQ132),Prestaciones!$E$1:$G$488,3,FALSE),IFERROR(VLOOKUP(CONCATENATE(LEFT(I132,6),AQ132),Prestaciones!$E$491:$H$836,3,FALSE),"La prestación no corresponde al grupo poblacional")))</f>
        <v xml:space="preserve"> </v>
      </c>
      <c r="K132" s="146"/>
      <c r="L132" s="146"/>
      <c r="M132" s="147"/>
      <c r="N132" s="148"/>
      <c r="O132" s="149"/>
      <c r="P132" s="150"/>
      <c r="Q132" s="151"/>
      <c r="R132" s="151"/>
      <c r="S132" s="151"/>
      <c r="T132" s="147"/>
      <c r="U132" s="147"/>
      <c r="V132" s="147"/>
      <c r="W132" s="149"/>
      <c r="X132" s="149"/>
      <c r="Y132" s="147"/>
      <c r="Z132" s="147"/>
      <c r="AA132" s="147"/>
      <c r="AB132" s="147"/>
      <c r="AC132" s="147"/>
      <c r="AD132" s="147"/>
      <c r="AE132" s="152"/>
      <c r="AF132" s="153" t="str">
        <f t="shared" si="6"/>
        <v xml:space="preserve"> </v>
      </c>
      <c r="AG132" s="154" t="str">
        <f t="shared" si="7"/>
        <v>Ingresar fuente de información</v>
      </c>
      <c r="AH132" s="134"/>
      <c r="AI132" s="155"/>
      <c r="AJ132" s="156"/>
      <c r="AK132" s="157"/>
      <c r="AM132" s="158"/>
      <c r="AN132" s="155" t="str">
        <f t="shared" si="5"/>
        <v xml:space="preserve"> </v>
      </c>
      <c r="AO132" s="156"/>
      <c r="AP132" s="157"/>
      <c r="AQ132" s="161"/>
      <c r="AR132" s="160" t="str">
        <f t="shared" si="8"/>
        <v xml:space="preserve"> </v>
      </c>
    </row>
    <row r="133" spans="1:44">
      <c r="A133" s="71"/>
      <c r="B133" s="142"/>
      <c r="C133" s="143"/>
      <c r="D133" s="143"/>
      <c r="E133" s="143"/>
      <c r="F133" s="144"/>
      <c r="G133" s="142"/>
      <c r="H133" s="144" t="str">
        <f>IF(OR(ISBLANK(I133),ISBLANK(AQ133))," ",IFERROR(VLOOKUP(CONCATENATE(I133,AQ133),Prestaciones!$E$1:$H$488,4,FALSE),IFERROR(VLOOKUP(CONCATENATE(LEFT(I133,6),AQ133),Prestaciones!$E$491:$H$836,4,FALSE),"La prestación no corresponde al grupo poblacional")))</f>
        <v xml:space="preserve"> </v>
      </c>
      <c r="I133" s="145"/>
      <c r="J133" s="145" t="str">
        <f>IF(OR(ISBLANK(I133),ISBLANK(AQ133))," ",IFERROR(VLOOKUP(CONCATENATE(I133,AQ133),Prestaciones!$E$1:$G$488,3,FALSE),IFERROR(VLOOKUP(CONCATENATE(LEFT(I133,6),AQ133),Prestaciones!$E$491:$H$836,3,FALSE),"La prestación no corresponde al grupo poblacional")))</f>
        <v xml:space="preserve"> </v>
      </c>
      <c r="K133" s="146"/>
      <c r="L133" s="146"/>
      <c r="M133" s="147"/>
      <c r="N133" s="148"/>
      <c r="O133" s="149"/>
      <c r="P133" s="150"/>
      <c r="Q133" s="151"/>
      <c r="R133" s="151"/>
      <c r="S133" s="151"/>
      <c r="T133" s="147"/>
      <c r="U133" s="147"/>
      <c r="V133" s="147"/>
      <c r="W133" s="149"/>
      <c r="X133" s="149"/>
      <c r="Y133" s="147"/>
      <c r="Z133" s="147"/>
      <c r="AA133" s="147"/>
      <c r="AB133" s="147"/>
      <c r="AC133" s="147"/>
      <c r="AD133" s="147"/>
      <c r="AE133" s="152"/>
      <c r="AF133" s="153" t="str">
        <f t="shared" si="6"/>
        <v xml:space="preserve"> </v>
      </c>
      <c r="AG133" s="154" t="str">
        <f t="shared" si="7"/>
        <v>Ingresar fuente de información</v>
      </c>
      <c r="AH133" s="134"/>
      <c r="AI133" s="155"/>
      <c r="AJ133" s="156"/>
      <c r="AK133" s="157"/>
      <c r="AM133" s="158"/>
      <c r="AN133" s="155" t="str">
        <f t="shared" si="5"/>
        <v xml:space="preserve"> </v>
      </c>
      <c r="AO133" s="156"/>
      <c r="AP133" s="157"/>
      <c r="AQ133" s="161"/>
      <c r="AR133" s="160" t="str">
        <f t="shared" si="8"/>
        <v xml:space="preserve"> </v>
      </c>
    </row>
    <row r="134" spans="1:44">
      <c r="A134" s="71"/>
      <c r="B134" s="142"/>
      <c r="C134" s="143"/>
      <c r="D134" s="143"/>
      <c r="E134" s="143"/>
      <c r="F134" s="144"/>
      <c r="G134" s="142"/>
      <c r="H134" s="144" t="str">
        <f>IF(OR(ISBLANK(I134),ISBLANK(AQ134))," ",IFERROR(VLOOKUP(CONCATENATE(I134,AQ134),Prestaciones!$E$1:$H$488,4,FALSE),IFERROR(VLOOKUP(CONCATENATE(LEFT(I134,6),AQ134),Prestaciones!$E$491:$H$836,4,FALSE),"La prestación no corresponde al grupo poblacional")))</f>
        <v xml:space="preserve"> </v>
      </c>
      <c r="I134" s="145"/>
      <c r="J134" s="145" t="str">
        <f>IF(OR(ISBLANK(I134),ISBLANK(AQ134))," ",IFERROR(VLOOKUP(CONCATENATE(I134,AQ134),Prestaciones!$E$1:$G$488,3,FALSE),IFERROR(VLOOKUP(CONCATENATE(LEFT(I134,6),AQ134),Prestaciones!$E$491:$H$836,3,FALSE),"La prestación no corresponde al grupo poblacional")))</f>
        <v xml:space="preserve"> </v>
      </c>
      <c r="K134" s="146"/>
      <c r="L134" s="146"/>
      <c r="M134" s="147"/>
      <c r="N134" s="148"/>
      <c r="O134" s="149"/>
      <c r="P134" s="150"/>
      <c r="Q134" s="151"/>
      <c r="R134" s="151"/>
      <c r="S134" s="151"/>
      <c r="T134" s="147"/>
      <c r="U134" s="147"/>
      <c r="V134" s="147"/>
      <c r="W134" s="149"/>
      <c r="X134" s="149"/>
      <c r="Y134" s="147"/>
      <c r="Z134" s="147"/>
      <c r="AA134" s="147"/>
      <c r="AB134" s="147"/>
      <c r="AC134" s="147"/>
      <c r="AD134" s="147"/>
      <c r="AE134" s="152"/>
      <c r="AF134" s="153" t="str">
        <f t="shared" si="6"/>
        <v xml:space="preserve"> </v>
      </c>
      <c r="AG134" s="154" t="str">
        <f t="shared" si="7"/>
        <v>Ingresar fuente de información</v>
      </c>
      <c r="AH134" s="134"/>
      <c r="AI134" s="155"/>
      <c r="AJ134" s="156"/>
      <c r="AK134" s="157"/>
      <c r="AM134" s="158"/>
      <c r="AN134" s="155" t="str">
        <f t="shared" si="5"/>
        <v xml:space="preserve"> </v>
      </c>
      <c r="AO134" s="156"/>
      <c r="AP134" s="157"/>
      <c r="AQ134" s="161"/>
      <c r="AR134" s="160" t="str">
        <f t="shared" si="8"/>
        <v xml:space="preserve"> </v>
      </c>
    </row>
    <row r="135" spans="1:44">
      <c r="A135" s="71"/>
      <c r="B135" s="142"/>
      <c r="C135" s="143"/>
      <c r="D135" s="143"/>
      <c r="E135" s="143"/>
      <c r="F135" s="144"/>
      <c r="G135" s="142"/>
      <c r="H135" s="144" t="str">
        <f>IF(OR(ISBLANK(I135),ISBLANK(AQ135))," ",IFERROR(VLOOKUP(CONCATENATE(I135,AQ135),Prestaciones!$E$1:$H$488,4,FALSE),IFERROR(VLOOKUP(CONCATENATE(LEFT(I135,6),AQ135),Prestaciones!$E$491:$H$836,4,FALSE),"La prestación no corresponde al grupo poblacional")))</f>
        <v xml:space="preserve"> </v>
      </c>
      <c r="I135" s="145"/>
      <c r="J135" s="145" t="str">
        <f>IF(OR(ISBLANK(I135),ISBLANK(AQ135))," ",IFERROR(VLOOKUP(CONCATENATE(I135,AQ135),Prestaciones!$E$1:$G$488,3,FALSE),IFERROR(VLOOKUP(CONCATENATE(LEFT(I135,6),AQ135),Prestaciones!$E$491:$H$836,3,FALSE),"La prestación no corresponde al grupo poblacional")))</f>
        <v xml:space="preserve"> </v>
      </c>
      <c r="K135" s="146"/>
      <c r="L135" s="146"/>
      <c r="M135" s="147"/>
      <c r="N135" s="148"/>
      <c r="O135" s="149"/>
      <c r="P135" s="150"/>
      <c r="Q135" s="151"/>
      <c r="R135" s="151"/>
      <c r="S135" s="151"/>
      <c r="T135" s="147"/>
      <c r="U135" s="147"/>
      <c r="V135" s="147"/>
      <c r="W135" s="149"/>
      <c r="X135" s="149"/>
      <c r="Y135" s="147"/>
      <c r="Z135" s="147"/>
      <c r="AA135" s="147"/>
      <c r="AB135" s="147"/>
      <c r="AC135" s="147"/>
      <c r="AD135" s="147"/>
      <c r="AE135" s="152"/>
      <c r="AF135" s="153" t="str">
        <f t="shared" si="6"/>
        <v xml:space="preserve"> </v>
      </c>
      <c r="AG135" s="154" t="str">
        <f t="shared" si="7"/>
        <v>Ingresar fuente de información</v>
      </c>
      <c r="AH135" s="134"/>
      <c r="AI135" s="155"/>
      <c r="AJ135" s="156"/>
      <c r="AK135" s="157"/>
      <c r="AM135" s="158"/>
      <c r="AN135" s="155" t="str">
        <f t="shared" si="5"/>
        <v xml:space="preserve"> </v>
      </c>
      <c r="AO135" s="156"/>
      <c r="AP135" s="157"/>
      <c r="AQ135" s="161"/>
      <c r="AR135" s="160" t="str">
        <f t="shared" si="8"/>
        <v xml:space="preserve"> </v>
      </c>
    </row>
    <row r="136" spans="1:44">
      <c r="A136" s="71"/>
      <c r="B136" s="142"/>
      <c r="C136" s="143"/>
      <c r="D136" s="143"/>
      <c r="E136" s="143"/>
      <c r="F136" s="144"/>
      <c r="G136" s="142"/>
      <c r="H136" s="144" t="str">
        <f>IF(OR(ISBLANK(I136),ISBLANK(AQ136))," ",IFERROR(VLOOKUP(CONCATENATE(I136,AQ136),Prestaciones!$E$1:$H$488,4,FALSE),IFERROR(VLOOKUP(CONCATENATE(LEFT(I136,6),AQ136),Prestaciones!$E$491:$H$836,4,FALSE),"La prestación no corresponde al grupo poblacional")))</f>
        <v xml:space="preserve"> </v>
      </c>
      <c r="I136" s="145"/>
      <c r="J136" s="145" t="str">
        <f>IF(OR(ISBLANK(I136),ISBLANK(AQ136))," ",IFERROR(VLOOKUP(CONCATENATE(I136,AQ136),Prestaciones!$E$1:$G$488,3,FALSE),IFERROR(VLOOKUP(CONCATENATE(LEFT(I136,6),AQ136),Prestaciones!$E$491:$H$836,3,FALSE),"La prestación no corresponde al grupo poblacional")))</f>
        <v xml:space="preserve"> </v>
      </c>
      <c r="K136" s="146"/>
      <c r="L136" s="146"/>
      <c r="M136" s="147"/>
      <c r="N136" s="148"/>
      <c r="O136" s="149"/>
      <c r="P136" s="150"/>
      <c r="Q136" s="151"/>
      <c r="R136" s="151"/>
      <c r="S136" s="151"/>
      <c r="T136" s="147"/>
      <c r="U136" s="147"/>
      <c r="V136" s="147"/>
      <c r="W136" s="149"/>
      <c r="X136" s="149"/>
      <c r="Y136" s="147"/>
      <c r="Z136" s="147"/>
      <c r="AA136" s="147"/>
      <c r="AB136" s="147"/>
      <c r="AC136" s="147"/>
      <c r="AD136" s="147"/>
      <c r="AE136" s="152"/>
      <c r="AF136" s="153" t="str">
        <f t="shared" si="6"/>
        <v xml:space="preserve"> </v>
      </c>
      <c r="AG136" s="154" t="str">
        <f t="shared" si="7"/>
        <v>Ingresar fuente de información</v>
      </c>
      <c r="AH136" s="134"/>
      <c r="AI136" s="155"/>
      <c r="AJ136" s="156"/>
      <c r="AK136" s="157"/>
      <c r="AM136" s="158"/>
      <c r="AN136" s="155" t="str">
        <f t="shared" si="5"/>
        <v xml:space="preserve"> </v>
      </c>
      <c r="AO136" s="156"/>
      <c r="AP136" s="157"/>
      <c r="AQ136" s="161"/>
      <c r="AR136" s="160" t="str">
        <f t="shared" si="8"/>
        <v xml:space="preserve"> </v>
      </c>
    </row>
    <row r="137" spans="1:44">
      <c r="A137" s="71"/>
      <c r="B137" s="142"/>
      <c r="C137" s="143"/>
      <c r="D137" s="143"/>
      <c r="E137" s="143"/>
      <c r="F137" s="144"/>
      <c r="G137" s="142"/>
      <c r="H137" s="144" t="str">
        <f>IF(OR(ISBLANK(I137),ISBLANK(AQ137))," ",IFERROR(VLOOKUP(CONCATENATE(I137,AQ137),Prestaciones!$E$1:$H$488,4,FALSE),IFERROR(VLOOKUP(CONCATENATE(LEFT(I137,6),AQ137),Prestaciones!$E$491:$H$836,4,FALSE),"La prestación no corresponde al grupo poblacional")))</f>
        <v xml:space="preserve"> </v>
      </c>
      <c r="I137" s="145"/>
      <c r="J137" s="145" t="str">
        <f>IF(OR(ISBLANK(I137),ISBLANK(AQ137))," ",IFERROR(VLOOKUP(CONCATENATE(I137,AQ137),Prestaciones!$E$1:$G$488,3,FALSE),IFERROR(VLOOKUP(CONCATENATE(LEFT(I137,6),AQ137),Prestaciones!$E$491:$H$836,3,FALSE),"La prestación no corresponde al grupo poblacional")))</f>
        <v xml:space="preserve"> </v>
      </c>
      <c r="K137" s="146"/>
      <c r="L137" s="146"/>
      <c r="M137" s="147"/>
      <c r="N137" s="148"/>
      <c r="O137" s="149"/>
      <c r="P137" s="150"/>
      <c r="Q137" s="151"/>
      <c r="R137" s="151"/>
      <c r="S137" s="151"/>
      <c r="T137" s="147"/>
      <c r="U137" s="147"/>
      <c r="V137" s="147"/>
      <c r="W137" s="149"/>
      <c r="X137" s="149"/>
      <c r="Y137" s="147"/>
      <c r="Z137" s="147"/>
      <c r="AA137" s="147"/>
      <c r="AB137" s="147"/>
      <c r="AC137" s="147"/>
      <c r="AD137" s="147"/>
      <c r="AE137" s="152"/>
      <c r="AF137" s="153" t="str">
        <f t="shared" si="6"/>
        <v xml:space="preserve"> </v>
      </c>
      <c r="AG137" s="154" t="str">
        <f t="shared" si="7"/>
        <v>Ingresar fuente de información</v>
      </c>
      <c r="AH137" s="134"/>
      <c r="AI137" s="155"/>
      <c r="AJ137" s="156"/>
      <c r="AK137" s="157"/>
      <c r="AM137" s="158"/>
      <c r="AN137" s="155" t="str">
        <f t="shared" si="5"/>
        <v xml:space="preserve"> </v>
      </c>
      <c r="AO137" s="156"/>
      <c r="AP137" s="157"/>
      <c r="AQ137" s="161"/>
      <c r="AR137" s="160" t="str">
        <f t="shared" si="8"/>
        <v xml:space="preserve"> </v>
      </c>
    </row>
    <row r="138" spans="1:44">
      <c r="A138" s="71"/>
      <c r="B138" s="142"/>
      <c r="C138" s="143"/>
      <c r="D138" s="143"/>
      <c r="E138" s="143"/>
      <c r="F138" s="144"/>
      <c r="G138" s="142"/>
      <c r="H138" s="144" t="str">
        <f>IF(OR(ISBLANK(I138),ISBLANK(AQ138))," ",IFERROR(VLOOKUP(CONCATENATE(I138,AQ138),Prestaciones!$E$1:$H$488,4,FALSE),IFERROR(VLOOKUP(CONCATENATE(LEFT(I138,6),AQ138),Prestaciones!$E$491:$H$836,4,FALSE),"La prestación no corresponde al grupo poblacional")))</f>
        <v xml:space="preserve"> </v>
      </c>
      <c r="I138" s="145"/>
      <c r="J138" s="145" t="str">
        <f>IF(OR(ISBLANK(I138),ISBLANK(AQ138))," ",IFERROR(VLOOKUP(CONCATENATE(I138,AQ138),Prestaciones!$E$1:$G$488,3,FALSE),IFERROR(VLOOKUP(CONCATENATE(LEFT(I138,6),AQ138),Prestaciones!$E$491:$H$836,3,FALSE),"La prestación no corresponde al grupo poblacional")))</f>
        <v xml:space="preserve"> </v>
      </c>
      <c r="K138" s="146"/>
      <c r="L138" s="146"/>
      <c r="M138" s="147"/>
      <c r="N138" s="148"/>
      <c r="O138" s="149"/>
      <c r="P138" s="150"/>
      <c r="Q138" s="151"/>
      <c r="R138" s="151"/>
      <c r="S138" s="151"/>
      <c r="T138" s="147"/>
      <c r="U138" s="147"/>
      <c r="V138" s="147"/>
      <c r="W138" s="149"/>
      <c r="X138" s="149"/>
      <c r="Y138" s="147"/>
      <c r="Z138" s="147"/>
      <c r="AA138" s="147"/>
      <c r="AB138" s="147"/>
      <c r="AC138" s="147"/>
      <c r="AD138" s="147"/>
      <c r="AE138" s="152"/>
      <c r="AF138" s="153" t="str">
        <f t="shared" si="6"/>
        <v xml:space="preserve"> </v>
      </c>
      <c r="AG138" s="154" t="str">
        <f t="shared" si="7"/>
        <v>Ingresar fuente de información</v>
      </c>
      <c r="AH138" s="134"/>
      <c r="AI138" s="155"/>
      <c r="AJ138" s="156"/>
      <c r="AK138" s="157"/>
      <c r="AM138" s="158"/>
      <c r="AN138" s="155" t="str">
        <f t="shared" si="5"/>
        <v xml:space="preserve"> </v>
      </c>
      <c r="AO138" s="156"/>
      <c r="AP138" s="157"/>
      <c r="AQ138" s="161"/>
      <c r="AR138" s="160" t="str">
        <f t="shared" si="8"/>
        <v xml:space="preserve"> </v>
      </c>
    </row>
    <row r="139" spans="1:44">
      <c r="A139" s="71"/>
      <c r="B139" s="142"/>
      <c r="C139" s="143"/>
      <c r="D139" s="143"/>
      <c r="E139" s="143"/>
      <c r="F139" s="144"/>
      <c r="G139" s="142"/>
      <c r="H139" s="144" t="str">
        <f>IF(OR(ISBLANK(I139),ISBLANK(AQ139))," ",IFERROR(VLOOKUP(CONCATENATE(I139,AQ139),Prestaciones!$E$1:$H$488,4,FALSE),IFERROR(VLOOKUP(CONCATENATE(LEFT(I139,6),AQ139),Prestaciones!$E$491:$H$836,4,FALSE),"La prestación no corresponde al grupo poblacional")))</f>
        <v xml:space="preserve"> </v>
      </c>
      <c r="I139" s="145"/>
      <c r="J139" s="145" t="str">
        <f>IF(OR(ISBLANK(I139),ISBLANK(AQ139))," ",IFERROR(VLOOKUP(CONCATENATE(I139,AQ139),Prestaciones!$E$1:$G$488,3,FALSE),IFERROR(VLOOKUP(CONCATENATE(LEFT(I139,6),AQ139),Prestaciones!$E$491:$H$836,3,FALSE),"La prestación no corresponde al grupo poblacional")))</f>
        <v xml:space="preserve"> </v>
      </c>
      <c r="K139" s="146"/>
      <c r="L139" s="146"/>
      <c r="M139" s="147"/>
      <c r="N139" s="148"/>
      <c r="O139" s="149"/>
      <c r="P139" s="150"/>
      <c r="Q139" s="151"/>
      <c r="R139" s="151"/>
      <c r="S139" s="151"/>
      <c r="T139" s="147"/>
      <c r="U139" s="147"/>
      <c r="V139" s="147"/>
      <c r="W139" s="149"/>
      <c r="X139" s="149"/>
      <c r="Y139" s="147"/>
      <c r="Z139" s="147"/>
      <c r="AA139" s="147"/>
      <c r="AB139" s="147"/>
      <c r="AC139" s="147"/>
      <c r="AD139" s="147"/>
      <c r="AE139" s="152"/>
      <c r="AF139" s="153" t="str">
        <f t="shared" si="6"/>
        <v xml:space="preserve"> </v>
      </c>
      <c r="AG139" s="154" t="str">
        <f t="shared" si="7"/>
        <v>Ingresar fuente de información</v>
      </c>
      <c r="AH139" s="134"/>
      <c r="AI139" s="155"/>
      <c r="AJ139" s="156"/>
      <c r="AK139" s="157"/>
      <c r="AM139" s="158"/>
      <c r="AN139" s="155" t="str">
        <f t="shared" si="5"/>
        <v xml:space="preserve"> </v>
      </c>
      <c r="AO139" s="156"/>
      <c r="AP139" s="157"/>
      <c r="AQ139" s="161"/>
      <c r="AR139" s="160" t="str">
        <f t="shared" si="8"/>
        <v xml:space="preserve"> </v>
      </c>
    </row>
    <row r="140" spans="1:44">
      <c r="A140" s="71"/>
      <c r="B140" s="142"/>
      <c r="C140" s="143"/>
      <c r="D140" s="143"/>
      <c r="E140" s="143"/>
      <c r="F140" s="144"/>
      <c r="G140" s="142"/>
      <c r="H140" s="144" t="str">
        <f>IF(OR(ISBLANK(I140),ISBLANK(AQ140))," ",IFERROR(VLOOKUP(CONCATENATE(I140,AQ140),Prestaciones!$E$1:$H$488,4,FALSE),IFERROR(VLOOKUP(CONCATENATE(LEFT(I140,6),AQ140),Prestaciones!$E$491:$H$836,4,FALSE),"La prestación no corresponde al grupo poblacional")))</f>
        <v xml:space="preserve"> </v>
      </c>
      <c r="I140" s="145"/>
      <c r="J140" s="145" t="str">
        <f>IF(OR(ISBLANK(I140),ISBLANK(AQ140))," ",IFERROR(VLOOKUP(CONCATENATE(I140,AQ140),Prestaciones!$E$1:$G$488,3,FALSE),IFERROR(VLOOKUP(CONCATENATE(LEFT(I140,6),AQ140),Prestaciones!$E$491:$H$836,3,FALSE),"La prestación no corresponde al grupo poblacional")))</f>
        <v xml:space="preserve"> </v>
      </c>
      <c r="K140" s="146"/>
      <c r="L140" s="146"/>
      <c r="M140" s="147"/>
      <c r="N140" s="148"/>
      <c r="O140" s="149"/>
      <c r="P140" s="150"/>
      <c r="Q140" s="151"/>
      <c r="R140" s="151"/>
      <c r="S140" s="151"/>
      <c r="T140" s="147"/>
      <c r="U140" s="147"/>
      <c r="V140" s="147"/>
      <c r="W140" s="149"/>
      <c r="X140" s="149"/>
      <c r="Y140" s="147"/>
      <c r="Z140" s="147"/>
      <c r="AA140" s="147"/>
      <c r="AB140" s="147"/>
      <c r="AC140" s="147"/>
      <c r="AD140" s="147"/>
      <c r="AE140" s="152"/>
      <c r="AF140" s="153" t="str">
        <f t="shared" si="6"/>
        <v xml:space="preserve"> </v>
      </c>
      <c r="AG140" s="154" t="str">
        <f t="shared" si="7"/>
        <v>Ingresar fuente de información</v>
      </c>
      <c r="AH140" s="134"/>
      <c r="AI140" s="155"/>
      <c r="AJ140" s="156"/>
      <c r="AK140" s="157"/>
      <c r="AM140" s="158"/>
      <c r="AN140" s="155" t="str">
        <f t="shared" ref="AN140:AN203" si="9">IF(ISBLANK(AM140)," ",IF(AM140=0,"Valido",IF(AM140=1,"No consta fuente de informacion valida",IF(AM140=2,"Prestación inexistente",IF(AM140=3,"Datos requeridos incompletos",IF(AM140=4,"Codificación erronea",IF(AM140=5,"Fuente invalida","Categoria invalida")))))))</f>
        <v xml:space="preserve"> </v>
      </c>
      <c r="AO140" s="156"/>
      <c r="AP140" s="157"/>
      <c r="AQ140" s="161"/>
      <c r="AR140" s="160" t="str">
        <f t="shared" si="8"/>
        <v xml:space="preserve"> </v>
      </c>
    </row>
    <row r="141" spans="1:44">
      <c r="A141" s="71"/>
      <c r="B141" s="142"/>
      <c r="C141" s="143"/>
      <c r="D141" s="143"/>
      <c r="E141" s="143"/>
      <c r="F141" s="144"/>
      <c r="G141" s="142"/>
      <c r="H141" s="144" t="str">
        <f>IF(OR(ISBLANK(I141),ISBLANK(AQ141))," ",IFERROR(VLOOKUP(CONCATENATE(I141,AQ141),Prestaciones!$E$1:$H$488,4,FALSE),IFERROR(VLOOKUP(CONCATENATE(LEFT(I141,6),AQ141),Prestaciones!$E$491:$H$836,4,FALSE),"La prestación no corresponde al grupo poblacional")))</f>
        <v xml:space="preserve"> </v>
      </c>
      <c r="I141" s="145"/>
      <c r="J141" s="145" t="str">
        <f>IF(OR(ISBLANK(I141),ISBLANK(AQ141))," ",IFERROR(VLOOKUP(CONCATENATE(I141,AQ141),Prestaciones!$E$1:$G$488,3,FALSE),IFERROR(VLOOKUP(CONCATENATE(LEFT(I141,6),AQ141),Prestaciones!$E$491:$H$836,3,FALSE),"La prestación no corresponde al grupo poblacional")))</f>
        <v xml:space="preserve"> </v>
      </c>
      <c r="K141" s="146"/>
      <c r="L141" s="146"/>
      <c r="M141" s="147"/>
      <c r="N141" s="148"/>
      <c r="O141" s="149"/>
      <c r="P141" s="150"/>
      <c r="Q141" s="151"/>
      <c r="R141" s="151"/>
      <c r="S141" s="151"/>
      <c r="T141" s="147"/>
      <c r="U141" s="147"/>
      <c r="V141" s="147"/>
      <c r="W141" s="149"/>
      <c r="X141" s="149"/>
      <c r="Y141" s="147"/>
      <c r="Z141" s="147"/>
      <c r="AA141" s="147"/>
      <c r="AB141" s="147"/>
      <c r="AC141" s="147"/>
      <c r="AD141" s="147"/>
      <c r="AE141" s="152"/>
      <c r="AF141" s="153" t="str">
        <f t="shared" si="6"/>
        <v xml:space="preserve"> </v>
      </c>
      <c r="AG141" s="154" t="str">
        <f t="shared" si="7"/>
        <v>Ingresar fuente de información</v>
      </c>
      <c r="AH141" s="134"/>
      <c r="AI141" s="155"/>
      <c r="AJ141" s="156"/>
      <c r="AK141" s="157"/>
      <c r="AM141" s="158"/>
      <c r="AN141" s="155" t="str">
        <f t="shared" si="9"/>
        <v xml:space="preserve"> </v>
      </c>
      <c r="AO141" s="156"/>
      <c r="AP141" s="157"/>
      <c r="AQ141" s="161"/>
      <c r="AR141" s="160" t="str">
        <f t="shared" si="8"/>
        <v xml:space="preserve"> </v>
      </c>
    </row>
    <row r="142" spans="1:44">
      <c r="A142" s="71"/>
      <c r="B142" s="142"/>
      <c r="C142" s="143"/>
      <c r="D142" s="143"/>
      <c r="E142" s="143"/>
      <c r="F142" s="144"/>
      <c r="G142" s="142"/>
      <c r="H142" s="144" t="str">
        <f>IF(OR(ISBLANK(I142),ISBLANK(AQ142))," ",IFERROR(VLOOKUP(CONCATENATE(I142,AQ142),Prestaciones!$E$1:$H$488,4,FALSE),IFERROR(VLOOKUP(CONCATENATE(LEFT(I142,6),AQ142),Prestaciones!$E$491:$H$836,4,FALSE),"La prestación no corresponde al grupo poblacional")))</f>
        <v xml:space="preserve"> </v>
      </c>
      <c r="I142" s="145"/>
      <c r="J142" s="145" t="str">
        <f>IF(OR(ISBLANK(I142),ISBLANK(AQ142))," ",IFERROR(VLOOKUP(CONCATENATE(I142,AQ142),Prestaciones!$E$1:$G$488,3,FALSE),IFERROR(VLOOKUP(CONCATENATE(LEFT(I142,6),AQ142),Prestaciones!$E$491:$H$836,3,FALSE),"La prestación no corresponde al grupo poblacional")))</f>
        <v xml:space="preserve"> </v>
      </c>
      <c r="K142" s="146"/>
      <c r="L142" s="146"/>
      <c r="M142" s="147"/>
      <c r="N142" s="148"/>
      <c r="O142" s="149"/>
      <c r="P142" s="150"/>
      <c r="Q142" s="151"/>
      <c r="R142" s="151"/>
      <c r="S142" s="151"/>
      <c r="T142" s="147"/>
      <c r="U142" s="147"/>
      <c r="V142" s="147"/>
      <c r="W142" s="149"/>
      <c r="X142" s="149"/>
      <c r="Y142" s="147"/>
      <c r="Z142" s="147"/>
      <c r="AA142" s="147"/>
      <c r="AB142" s="147"/>
      <c r="AC142" s="147"/>
      <c r="AD142" s="147"/>
      <c r="AE142" s="152"/>
      <c r="AF142" s="153" t="str">
        <f t="shared" si="6"/>
        <v xml:space="preserve"> </v>
      </c>
      <c r="AG142" s="154" t="str">
        <f t="shared" si="7"/>
        <v>Ingresar fuente de información</v>
      </c>
      <c r="AH142" s="134"/>
      <c r="AI142" s="155"/>
      <c r="AJ142" s="156"/>
      <c r="AK142" s="157"/>
      <c r="AM142" s="158"/>
      <c r="AN142" s="155" t="str">
        <f t="shared" si="9"/>
        <v xml:space="preserve"> </v>
      </c>
      <c r="AO142" s="156"/>
      <c r="AP142" s="157"/>
      <c r="AQ142" s="161"/>
      <c r="AR142" s="160" t="str">
        <f t="shared" si="8"/>
        <v xml:space="preserve"> </v>
      </c>
    </row>
    <row r="143" spans="1:44">
      <c r="A143" s="71"/>
      <c r="B143" s="142"/>
      <c r="C143" s="143"/>
      <c r="D143" s="143"/>
      <c r="E143" s="143"/>
      <c r="F143" s="144"/>
      <c r="G143" s="142"/>
      <c r="H143" s="144" t="str">
        <f>IF(OR(ISBLANK(I143),ISBLANK(AQ143))," ",IFERROR(VLOOKUP(CONCATENATE(I143,AQ143),Prestaciones!$E$1:$H$488,4,FALSE),IFERROR(VLOOKUP(CONCATENATE(LEFT(I143,6),AQ143),Prestaciones!$E$491:$H$836,4,FALSE),"La prestación no corresponde al grupo poblacional")))</f>
        <v xml:space="preserve"> </v>
      </c>
      <c r="I143" s="145"/>
      <c r="J143" s="145" t="str">
        <f>IF(OR(ISBLANK(I143),ISBLANK(AQ143))," ",IFERROR(VLOOKUP(CONCATENATE(I143,AQ143),Prestaciones!$E$1:$G$488,3,FALSE),IFERROR(VLOOKUP(CONCATENATE(LEFT(I143,6),AQ143),Prestaciones!$E$491:$H$836,3,FALSE),"La prestación no corresponde al grupo poblacional")))</f>
        <v xml:space="preserve"> </v>
      </c>
      <c r="K143" s="146"/>
      <c r="L143" s="146"/>
      <c r="M143" s="147"/>
      <c r="N143" s="148"/>
      <c r="O143" s="149"/>
      <c r="P143" s="150"/>
      <c r="Q143" s="151"/>
      <c r="R143" s="151"/>
      <c r="S143" s="151"/>
      <c r="T143" s="147"/>
      <c r="U143" s="147"/>
      <c r="V143" s="147"/>
      <c r="W143" s="149"/>
      <c r="X143" s="149"/>
      <c r="Y143" s="147"/>
      <c r="Z143" s="147"/>
      <c r="AA143" s="147"/>
      <c r="AB143" s="147"/>
      <c r="AC143" s="147"/>
      <c r="AD143" s="147"/>
      <c r="AE143" s="152"/>
      <c r="AF143" s="153" t="str">
        <f t="shared" si="6"/>
        <v xml:space="preserve"> </v>
      </c>
      <c r="AG143" s="154" t="str">
        <f t="shared" si="7"/>
        <v>Ingresar fuente de información</v>
      </c>
      <c r="AH143" s="134"/>
      <c r="AI143" s="155"/>
      <c r="AJ143" s="156"/>
      <c r="AK143" s="157"/>
      <c r="AM143" s="158"/>
      <c r="AN143" s="155" t="str">
        <f t="shared" si="9"/>
        <v xml:space="preserve"> </v>
      </c>
      <c r="AO143" s="156"/>
      <c r="AP143" s="157"/>
      <c r="AQ143" s="161"/>
      <c r="AR143" s="160" t="str">
        <f t="shared" si="8"/>
        <v xml:space="preserve"> </v>
      </c>
    </row>
    <row r="144" spans="1:44">
      <c r="A144" s="71"/>
      <c r="B144" s="142"/>
      <c r="C144" s="143"/>
      <c r="D144" s="143"/>
      <c r="E144" s="143"/>
      <c r="F144" s="144"/>
      <c r="G144" s="142"/>
      <c r="H144" s="144" t="str">
        <f>IF(OR(ISBLANK(I144),ISBLANK(AQ144))," ",IFERROR(VLOOKUP(CONCATENATE(I144,AQ144),Prestaciones!$E$1:$H$488,4,FALSE),IFERROR(VLOOKUP(CONCATENATE(LEFT(I144,6),AQ144),Prestaciones!$E$491:$H$836,4,FALSE),"La prestación no corresponde al grupo poblacional")))</f>
        <v xml:space="preserve"> </v>
      </c>
      <c r="I144" s="145"/>
      <c r="J144" s="145" t="str">
        <f>IF(OR(ISBLANK(I144),ISBLANK(AQ144))," ",IFERROR(VLOOKUP(CONCATENATE(I144,AQ144),Prestaciones!$E$1:$G$488,3,FALSE),IFERROR(VLOOKUP(CONCATENATE(LEFT(I144,6),AQ144),Prestaciones!$E$491:$H$836,3,FALSE),"La prestación no corresponde al grupo poblacional")))</f>
        <v xml:space="preserve"> </v>
      </c>
      <c r="K144" s="146"/>
      <c r="L144" s="146"/>
      <c r="M144" s="147"/>
      <c r="N144" s="148"/>
      <c r="O144" s="149"/>
      <c r="P144" s="150"/>
      <c r="Q144" s="151"/>
      <c r="R144" s="151"/>
      <c r="S144" s="151"/>
      <c r="T144" s="147"/>
      <c r="U144" s="147"/>
      <c r="V144" s="147"/>
      <c r="W144" s="149"/>
      <c r="X144" s="149"/>
      <c r="Y144" s="147"/>
      <c r="Z144" s="147"/>
      <c r="AA144" s="147"/>
      <c r="AB144" s="147"/>
      <c r="AC144" s="147"/>
      <c r="AD144" s="147"/>
      <c r="AE144" s="152"/>
      <c r="AF144" s="153" t="str">
        <f t="shared" si="6"/>
        <v xml:space="preserve"> </v>
      </c>
      <c r="AG144" s="154" t="str">
        <f t="shared" si="7"/>
        <v>Ingresar fuente de información</v>
      </c>
      <c r="AH144" s="134"/>
      <c r="AI144" s="155"/>
      <c r="AJ144" s="156"/>
      <c r="AK144" s="157"/>
      <c r="AM144" s="158"/>
      <c r="AN144" s="155" t="str">
        <f t="shared" si="9"/>
        <v xml:space="preserve"> </v>
      </c>
      <c r="AO144" s="156"/>
      <c r="AP144" s="157"/>
      <c r="AQ144" s="161"/>
      <c r="AR144" s="160" t="str">
        <f t="shared" si="8"/>
        <v xml:space="preserve"> </v>
      </c>
    </row>
    <row r="145" spans="1:44">
      <c r="A145" s="71"/>
      <c r="B145" s="142"/>
      <c r="C145" s="143"/>
      <c r="D145" s="143"/>
      <c r="E145" s="143"/>
      <c r="F145" s="144"/>
      <c r="G145" s="142"/>
      <c r="H145" s="144" t="str">
        <f>IF(OR(ISBLANK(I145),ISBLANK(AQ145))," ",IFERROR(VLOOKUP(CONCATENATE(I145,AQ145),Prestaciones!$E$1:$H$488,4,FALSE),IFERROR(VLOOKUP(CONCATENATE(LEFT(I145,6),AQ145),Prestaciones!$E$491:$H$836,4,FALSE),"La prestación no corresponde al grupo poblacional")))</f>
        <v xml:space="preserve"> </v>
      </c>
      <c r="I145" s="145"/>
      <c r="J145" s="145" t="str">
        <f>IF(OR(ISBLANK(I145),ISBLANK(AQ145))," ",IFERROR(VLOOKUP(CONCATENATE(I145,AQ145),Prestaciones!$E$1:$G$488,3,FALSE),IFERROR(VLOOKUP(CONCATENATE(LEFT(I145,6),AQ145),Prestaciones!$E$491:$H$836,3,FALSE),"La prestación no corresponde al grupo poblacional")))</f>
        <v xml:space="preserve"> </v>
      </c>
      <c r="K145" s="146"/>
      <c r="L145" s="146"/>
      <c r="M145" s="147"/>
      <c r="N145" s="148"/>
      <c r="O145" s="149"/>
      <c r="P145" s="150"/>
      <c r="Q145" s="151"/>
      <c r="R145" s="151"/>
      <c r="S145" s="151"/>
      <c r="T145" s="147"/>
      <c r="U145" s="147"/>
      <c r="V145" s="147"/>
      <c r="W145" s="149"/>
      <c r="X145" s="149"/>
      <c r="Y145" s="147"/>
      <c r="Z145" s="147"/>
      <c r="AA145" s="147"/>
      <c r="AB145" s="147"/>
      <c r="AC145" s="147"/>
      <c r="AD145" s="147"/>
      <c r="AE145" s="152"/>
      <c r="AF145" s="153" t="str">
        <f t="shared" si="6"/>
        <v xml:space="preserve"> </v>
      </c>
      <c r="AG145" s="154" t="str">
        <f t="shared" si="7"/>
        <v>Ingresar fuente de información</v>
      </c>
      <c r="AH145" s="134"/>
      <c r="AI145" s="155"/>
      <c r="AJ145" s="156"/>
      <c r="AK145" s="157"/>
      <c r="AM145" s="158"/>
      <c r="AN145" s="155" t="str">
        <f t="shared" si="9"/>
        <v xml:space="preserve"> </v>
      </c>
      <c r="AO145" s="156"/>
      <c r="AP145" s="157"/>
      <c r="AQ145" s="161"/>
      <c r="AR145" s="160" t="str">
        <f t="shared" si="8"/>
        <v xml:space="preserve"> </v>
      </c>
    </row>
    <row r="146" spans="1:44">
      <c r="A146" s="71"/>
      <c r="B146" s="142"/>
      <c r="C146" s="143"/>
      <c r="D146" s="143"/>
      <c r="E146" s="143"/>
      <c r="F146" s="144"/>
      <c r="G146" s="142"/>
      <c r="H146" s="144" t="str">
        <f>IF(OR(ISBLANK(I146),ISBLANK(AQ146))," ",IFERROR(VLOOKUP(CONCATENATE(I146,AQ146),Prestaciones!$E$1:$H$488,4,FALSE),IFERROR(VLOOKUP(CONCATENATE(LEFT(I146,6),AQ146),Prestaciones!$E$491:$H$836,4,FALSE),"La prestación no corresponde al grupo poblacional")))</f>
        <v xml:space="preserve"> </v>
      </c>
      <c r="I146" s="145"/>
      <c r="J146" s="145" t="str">
        <f>IF(OR(ISBLANK(I146),ISBLANK(AQ146))," ",IFERROR(VLOOKUP(CONCATENATE(I146,AQ146),Prestaciones!$E$1:$G$488,3,FALSE),IFERROR(VLOOKUP(CONCATENATE(LEFT(I146,6),AQ146),Prestaciones!$E$491:$H$836,3,FALSE),"La prestación no corresponde al grupo poblacional")))</f>
        <v xml:space="preserve"> </v>
      </c>
      <c r="K146" s="146"/>
      <c r="L146" s="146"/>
      <c r="M146" s="147"/>
      <c r="N146" s="148"/>
      <c r="O146" s="149"/>
      <c r="P146" s="150"/>
      <c r="Q146" s="151"/>
      <c r="R146" s="151"/>
      <c r="S146" s="151"/>
      <c r="T146" s="147"/>
      <c r="U146" s="147"/>
      <c r="V146" s="147"/>
      <c r="W146" s="149"/>
      <c r="X146" s="149"/>
      <c r="Y146" s="147"/>
      <c r="Z146" s="147"/>
      <c r="AA146" s="147"/>
      <c r="AB146" s="147"/>
      <c r="AC146" s="147"/>
      <c r="AD146" s="147"/>
      <c r="AE146" s="152"/>
      <c r="AF146" s="153" t="str">
        <f t="shared" si="6"/>
        <v xml:space="preserve"> </v>
      </c>
      <c r="AG146" s="154" t="str">
        <f t="shared" si="7"/>
        <v>Ingresar fuente de información</v>
      </c>
      <c r="AH146" s="134"/>
      <c r="AI146" s="155"/>
      <c r="AJ146" s="156"/>
      <c r="AK146" s="157"/>
      <c r="AM146" s="158"/>
      <c r="AN146" s="155" t="str">
        <f t="shared" si="9"/>
        <v xml:space="preserve"> </v>
      </c>
      <c r="AO146" s="156"/>
      <c r="AP146" s="157"/>
      <c r="AQ146" s="161"/>
      <c r="AR146" s="160" t="str">
        <f t="shared" si="8"/>
        <v xml:space="preserve"> </v>
      </c>
    </row>
    <row r="147" spans="1:44">
      <c r="A147" s="71"/>
      <c r="B147" s="142"/>
      <c r="C147" s="143"/>
      <c r="D147" s="143"/>
      <c r="E147" s="143"/>
      <c r="F147" s="144"/>
      <c r="G147" s="142"/>
      <c r="H147" s="144" t="str">
        <f>IF(OR(ISBLANK(I147),ISBLANK(AQ147))," ",IFERROR(VLOOKUP(CONCATENATE(I147,AQ147),Prestaciones!$E$1:$H$488,4,FALSE),IFERROR(VLOOKUP(CONCATENATE(LEFT(I147,6),AQ147),Prestaciones!$E$491:$H$836,4,FALSE),"La prestación no corresponde al grupo poblacional")))</f>
        <v xml:space="preserve"> </v>
      </c>
      <c r="I147" s="145"/>
      <c r="J147" s="145" t="str">
        <f>IF(OR(ISBLANK(I147),ISBLANK(AQ147))," ",IFERROR(VLOOKUP(CONCATENATE(I147,AQ147),Prestaciones!$E$1:$G$488,3,FALSE),IFERROR(VLOOKUP(CONCATENATE(LEFT(I147,6),AQ147),Prestaciones!$E$491:$H$836,3,FALSE),"La prestación no corresponde al grupo poblacional")))</f>
        <v xml:space="preserve"> </v>
      </c>
      <c r="K147" s="146"/>
      <c r="L147" s="146"/>
      <c r="M147" s="147"/>
      <c r="N147" s="148"/>
      <c r="O147" s="149"/>
      <c r="P147" s="150"/>
      <c r="Q147" s="151"/>
      <c r="R147" s="151"/>
      <c r="S147" s="151"/>
      <c r="T147" s="147"/>
      <c r="U147" s="147"/>
      <c r="V147" s="147"/>
      <c r="W147" s="149"/>
      <c r="X147" s="149"/>
      <c r="Y147" s="147"/>
      <c r="Z147" s="147"/>
      <c r="AA147" s="147"/>
      <c r="AB147" s="147"/>
      <c r="AC147" s="147"/>
      <c r="AD147" s="147"/>
      <c r="AE147" s="152"/>
      <c r="AF147" s="153" t="str">
        <f t="shared" si="6"/>
        <v xml:space="preserve"> </v>
      </c>
      <c r="AG147" s="154" t="str">
        <f t="shared" si="7"/>
        <v>Ingresar fuente de información</v>
      </c>
      <c r="AH147" s="134"/>
      <c r="AI147" s="155"/>
      <c r="AJ147" s="156"/>
      <c r="AK147" s="157"/>
      <c r="AM147" s="158"/>
      <c r="AN147" s="155" t="str">
        <f t="shared" si="9"/>
        <v xml:space="preserve"> </v>
      </c>
      <c r="AO147" s="156"/>
      <c r="AP147" s="157"/>
      <c r="AQ147" s="161"/>
      <c r="AR147" s="160" t="str">
        <f t="shared" si="8"/>
        <v xml:space="preserve"> </v>
      </c>
    </row>
    <row r="148" spans="1:44">
      <c r="A148" s="71"/>
      <c r="B148" s="142"/>
      <c r="C148" s="143"/>
      <c r="D148" s="143"/>
      <c r="E148" s="143"/>
      <c r="F148" s="144"/>
      <c r="G148" s="142"/>
      <c r="H148" s="144" t="str">
        <f>IF(OR(ISBLANK(I148),ISBLANK(AQ148))," ",IFERROR(VLOOKUP(CONCATENATE(I148,AQ148),Prestaciones!$E$1:$H$488,4,FALSE),IFERROR(VLOOKUP(CONCATENATE(LEFT(I148,6),AQ148),Prestaciones!$E$491:$H$836,4,FALSE),"La prestación no corresponde al grupo poblacional")))</f>
        <v xml:space="preserve"> </v>
      </c>
      <c r="I148" s="145"/>
      <c r="J148" s="145" t="str">
        <f>IF(OR(ISBLANK(I148),ISBLANK(AQ148))," ",IFERROR(VLOOKUP(CONCATENATE(I148,AQ148),Prestaciones!$E$1:$G$488,3,FALSE),IFERROR(VLOOKUP(CONCATENATE(LEFT(I148,6),AQ148),Prestaciones!$E$491:$H$836,3,FALSE),"La prestación no corresponde al grupo poblacional")))</f>
        <v xml:space="preserve"> </v>
      </c>
      <c r="K148" s="146"/>
      <c r="L148" s="146"/>
      <c r="M148" s="147"/>
      <c r="N148" s="148"/>
      <c r="O148" s="149"/>
      <c r="P148" s="150"/>
      <c r="Q148" s="151"/>
      <c r="R148" s="151"/>
      <c r="S148" s="151"/>
      <c r="T148" s="147"/>
      <c r="U148" s="147"/>
      <c r="V148" s="147"/>
      <c r="W148" s="149"/>
      <c r="X148" s="149"/>
      <c r="Y148" s="147"/>
      <c r="Z148" s="147"/>
      <c r="AA148" s="147"/>
      <c r="AB148" s="147"/>
      <c r="AC148" s="147"/>
      <c r="AD148" s="147"/>
      <c r="AE148" s="152"/>
      <c r="AF148" s="153" t="str">
        <f t="shared" si="6"/>
        <v xml:space="preserve"> </v>
      </c>
      <c r="AG148" s="154" t="str">
        <f t="shared" si="7"/>
        <v>Ingresar fuente de información</v>
      </c>
      <c r="AH148" s="134"/>
      <c r="AI148" s="155"/>
      <c r="AJ148" s="156"/>
      <c r="AK148" s="157"/>
      <c r="AM148" s="158"/>
      <c r="AN148" s="155" t="str">
        <f t="shared" si="9"/>
        <v xml:space="preserve"> </v>
      </c>
      <c r="AO148" s="156"/>
      <c r="AP148" s="157"/>
      <c r="AQ148" s="161"/>
      <c r="AR148" s="160" t="str">
        <f t="shared" si="8"/>
        <v xml:space="preserve"> </v>
      </c>
    </row>
    <row r="149" spans="1:44">
      <c r="A149" s="71"/>
      <c r="B149" s="142"/>
      <c r="C149" s="143"/>
      <c r="D149" s="143"/>
      <c r="E149" s="143"/>
      <c r="F149" s="144"/>
      <c r="G149" s="142"/>
      <c r="H149" s="144" t="str">
        <f>IF(OR(ISBLANK(I149),ISBLANK(AQ149))," ",IFERROR(VLOOKUP(CONCATENATE(I149,AQ149),Prestaciones!$E$1:$H$488,4,FALSE),IFERROR(VLOOKUP(CONCATENATE(LEFT(I149,6),AQ149),Prestaciones!$E$491:$H$836,4,FALSE),"La prestación no corresponde al grupo poblacional")))</f>
        <v xml:space="preserve"> </v>
      </c>
      <c r="I149" s="145"/>
      <c r="J149" s="145" t="str">
        <f>IF(OR(ISBLANK(I149),ISBLANK(AQ149))," ",IFERROR(VLOOKUP(CONCATENATE(I149,AQ149),Prestaciones!$E$1:$G$488,3,FALSE),IFERROR(VLOOKUP(CONCATENATE(LEFT(I149,6),AQ149),Prestaciones!$E$491:$H$836,3,FALSE),"La prestación no corresponde al grupo poblacional")))</f>
        <v xml:space="preserve"> </v>
      </c>
      <c r="K149" s="146"/>
      <c r="L149" s="146"/>
      <c r="M149" s="147"/>
      <c r="N149" s="148"/>
      <c r="O149" s="149"/>
      <c r="P149" s="150"/>
      <c r="Q149" s="151"/>
      <c r="R149" s="151"/>
      <c r="S149" s="151"/>
      <c r="T149" s="147"/>
      <c r="U149" s="147"/>
      <c r="V149" s="147"/>
      <c r="W149" s="149"/>
      <c r="X149" s="149"/>
      <c r="Y149" s="147"/>
      <c r="Z149" s="147"/>
      <c r="AA149" s="147"/>
      <c r="AB149" s="147"/>
      <c r="AC149" s="147"/>
      <c r="AD149" s="147"/>
      <c r="AE149" s="152"/>
      <c r="AF149" s="153" t="str">
        <f t="shared" si="6"/>
        <v xml:space="preserve"> </v>
      </c>
      <c r="AG149" s="154" t="str">
        <f t="shared" si="7"/>
        <v>Ingresar fuente de información</v>
      </c>
      <c r="AH149" s="134"/>
      <c r="AI149" s="155"/>
      <c r="AJ149" s="156"/>
      <c r="AK149" s="157"/>
      <c r="AM149" s="158"/>
      <c r="AN149" s="155" t="str">
        <f t="shared" si="9"/>
        <v xml:space="preserve"> </v>
      </c>
      <c r="AO149" s="156"/>
      <c r="AP149" s="157"/>
      <c r="AQ149" s="161"/>
      <c r="AR149" s="160" t="str">
        <f t="shared" si="8"/>
        <v xml:space="preserve"> </v>
      </c>
    </row>
    <row r="150" spans="1:44">
      <c r="A150" s="71"/>
      <c r="B150" s="142"/>
      <c r="C150" s="143"/>
      <c r="D150" s="143"/>
      <c r="E150" s="143"/>
      <c r="F150" s="144"/>
      <c r="G150" s="142"/>
      <c r="H150" s="144" t="str">
        <f>IF(OR(ISBLANK(I150),ISBLANK(AQ150))," ",IFERROR(VLOOKUP(CONCATENATE(I150,AQ150),Prestaciones!$E$1:$H$488,4,FALSE),IFERROR(VLOOKUP(CONCATENATE(LEFT(I150,6),AQ150),Prestaciones!$E$491:$H$836,4,FALSE),"La prestación no corresponde al grupo poblacional")))</f>
        <v xml:space="preserve"> </v>
      </c>
      <c r="I150" s="145"/>
      <c r="J150" s="145" t="str">
        <f>IF(OR(ISBLANK(I150),ISBLANK(AQ150))," ",IFERROR(VLOOKUP(CONCATENATE(I150,AQ150),Prestaciones!$E$1:$G$488,3,FALSE),IFERROR(VLOOKUP(CONCATENATE(LEFT(I150,6),AQ150),Prestaciones!$E$491:$H$836,3,FALSE),"La prestación no corresponde al grupo poblacional")))</f>
        <v xml:space="preserve"> </v>
      </c>
      <c r="K150" s="146"/>
      <c r="L150" s="146"/>
      <c r="M150" s="147"/>
      <c r="N150" s="148"/>
      <c r="O150" s="149"/>
      <c r="P150" s="150"/>
      <c r="Q150" s="151"/>
      <c r="R150" s="151"/>
      <c r="S150" s="151"/>
      <c r="T150" s="147"/>
      <c r="U150" s="147"/>
      <c r="V150" s="147"/>
      <c r="W150" s="149"/>
      <c r="X150" s="149"/>
      <c r="Y150" s="147"/>
      <c r="Z150" s="147"/>
      <c r="AA150" s="147"/>
      <c r="AB150" s="147"/>
      <c r="AC150" s="147"/>
      <c r="AD150" s="147"/>
      <c r="AE150" s="152"/>
      <c r="AF150" s="153" t="str">
        <f t="shared" si="6"/>
        <v xml:space="preserve"> </v>
      </c>
      <c r="AG150" s="154" t="str">
        <f t="shared" si="7"/>
        <v>Ingresar fuente de información</v>
      </c>
      <c r="AH150" s="134"/>
      <c r="AI150" s="155"/>
      <c r="AJ150" s="156"/>
      <c r="AK150" s="157"/>
      <c r="AM150" s="158"/>
      <c r="AN150" s="155" t="str">
        <f t="shared" si="9"/>
        <v xml:space="preserve"> </v>
      </c>
      <c r="AO150" s="156"/>
      <c r="AP150" s="157"/>
      <c r="AQ150" s="161"/>
      <c r="AR150" s="160" t="str">
        <f t="shared" si="8"/>
        <v xml:space="preserve"> </v>
      </c>
    </row>
    <row r="151" spans="1:44">
      <c r="A151" s="71"/>
      <c r="B151" s="142"/>
      <c r="C151" s="143"/>
      <c r="D151" s="143"/>
      <c r="E151" s="143"/>
      <c r="F151" s="144"/>
      <c r="G151" s="142"/>
      <c r="H151" s="144" t="str">
        <f>IF(OR(ISBLANK(I151),ISBLANK(AQ151))," ",IFERROR(VLOOKUP(CONCATENATE(I151,AQ151),Prestaciones!$E$1:$H$488,4,FALSE),IFERROR(VLOOKUP(CONCATENATE(LEFT(I151,6),AQ151),Prestaciones!$E$491:$H$836,4,FALSE),"La prestación no corresponde al grupo poblacional")))</f>
        <v xml:space="preserve"> </v>
      </c>
      <c r="I151" s="145"/>
      <c r="J151" s="145" t="str">
        <f>IF(OR(ISBLANK(I151),ISBLANK(AQ151))," ",IFERROR(VLOOKUP(CONCATENATE(I151,AQ151),Prestaciones!$E$1:$G$488,3,FALSE),IFERROR(VLOOKUP(CONCATENATE(LEFT(I151,6),AQ151),Prestaciones!$E$491:$H$836,3,FALSE),"La prestación no corresponde al grupo poblacional")))</f>
        <v xml:space="preserve"> </v>
      </c>
      <c r="K151" s="146"/>
      <c r="L151" s="146"/>
      <c r="M151" s="147"/>
      <c r="N151" s="148"/>
      <c r="O151" s="149"/>
      <c r="P151" s="150"/>
      <c r="Q151" s="151"/>
      <c r="R151" s="151"/>
      <c r="S151" s="151"/>
      <c r="T151" s="147"/>
      <c r="U151" s="147"/>
      <c r="V151" s="147"/>
      <c r="W151" s="149"/>
      <c r="X151" s="149"/>
      <c r="Y151" s="147"/>
      <c r="Z151" s="147"/>
      <c r="AA151" s="147"/>
      <c r="AB151" s="147"/>
      <c r="AC151" s="147"/>
      <c r="AD151" s="147"/>
      <c r="AE151" s="152"/>
      <c r="AF151" s="153" t="str">
        <f t="shared" si="6"/>
        <v xml:space="preserve"> </v>
      </c>
      <c r="AG151" s="154" t="str">
        <f t="shared" si="7"/>
        <v>Ingresar fuente de información</v>
      </c>
      <c r="AH151" s="134"/>
      <c r="AI151" s="155"/>
      <c r="AJ151" s="156"/>
      <c r="AK151" s="157"/>
      <c r="AM151" s="158"/>
      <c r="AN151" s="155" t="str">
        <f t="shared" si="9"/>
        <v xml:space="preserve"> </v>
      </c>
      <c r="AO151" s="156"/>
      <c r="AP151" s="157"/>
      <c r="AQ151" s="161"/>
      <c r="AR151" s="160" t="str">
        <f t="shared" si="8"/>
        <v xml:space="preserve"> </v>
      </c>
    </row>
    <row r="152" spans="1:44">
      <c r="A152" s="71"/>
      <c r="B152" s="142"/>
      <c r="C152" s="143"/>
      <c r="D152" s="143"/>
      <c r="E152" s="143"/>
      <c r="F152" s="144"/>
      <c r="G152" s="142"/>
      <c r="H152" s="144" t="str">
        <f>IF(OR(ISBLANK(I152),ISBLANK(AQ152))," ",IFERROR(VLOOKUP(CONCATENATE(I152,AQ152),Prestaciones!$E$1:$H$488,4,FALSE),IFERROR(VLOOKUP(CONCATENATE(LEFT(I152,6),AQ152),Prestaciones!$E$491:$H$836,4,FALSE),"La prestación no corresponde al grupo poblacional")))</f>
        <v xml:space="preserve"> </v>
      </c>
      <c r="I152" s="145"/>
      <c r="J152" s="145" t="str">
        <f>IF(OR(ISBLANK(I152),ISBLANK(AQ152))," ",IFERROR(VLOOKUP(CONCATENATE(I152,AQ152),Prestaciones!$E$1:$G$488,3,FALSE),IFERROR(VLOOKUP(CONCATENATE(LEFT(I152,6),AQ152),Prestaciones!$E$491:$H$836,3,FALSE),"La prestación no corresponde al grupo poblacional")))</f>
        <v xml:space="preserve"> </v>
      </c>
      <c r="K152" s="146"/>
      <c r="L152" s="146"/>
      <c r="M152" s="147"/>
      <c r="N152" s="148"/>
      <c r="O152" s="149"/>
      <c r="P152" s="150"/>
      <c r="Q152" s="151"/>
      <c r="R152" s="151"/>
      <c r="S152" s="151"/>
      <c r="T152" s="147"/>
      <c r="U152" s="147"/>
      <c r="V152" s="147"/>
      <c r="W152" s="149"/>
      <c r="X152" s="149"/>
      <c r="Y152" s="147"/>
      <c r="Z152" s="147"/>
      <c r="AA152" s="147"/>
      <c r="AB152" s="147"/>
      <c r="AC152" s="147"/>
      <c r="AD152" s="147"/>
      <c r="AE152" s="152"/>
      <c r="AF152" s="153" t="str">
        <f t="shared" si="6"/>
        <v xml:space="preserve"> </v>
      </c>
      <c r="AG152" s="154" t="str">
        <f t="shared" si="7"/>
        <v>Ingresar fuente de información</v>
      </c>
      <c r="AH152" s="134"/>
      <c r="AI152" s="155"/>
      <c r="AJ152" s="156"/>
      <c r="AK152" s="157"/>
      <c r="AM152" s="158"/>
      <c r="AN152" s="155" t="str">
        <f t="shared" si="9"/>
        <v xml:space="preserve"> </v>
      </c>
      <c r="AO152" s="156"/>
      <c r="AP152" s="157"/>
      <c r="AQ152" s="161"/>
      <c r="AR152" s="160" t="str">
        <f t="shared" si="8"/>
        <v xml:space="preserve"> </v>
      </c>
    </row>
    <row r="153" spans="1:44">
      <c r="A153" s="71"/>
      <c r="B153" s="142"/>
      <c r="C153" s="143"/>
      <c r="D153" s="143"/>
      <c r="E153" s="143"/>
      <c r="F153" s="144"/>
      <c r="G153" s="142"/>
      <c r="H153" s="144" t="str">
        <f>IF(OR(ISBLANK(I153),ISBLANK(AQ153))," ",IFERROR(VLOOKUP(CONCATENATE(I153,AQ153),Prestaciones!$E$1:$H$488,4,FALSE),IFERROR(VLOOKUP(CONCATENATE(LEFT(I153,6),AQ153),Prestaciones!$E$491:$H$836,4,FALSE),"La prestación no corresponde al grupo poblacional")))</f>
        <v xml:space="preserve"> </v>
      </c>
      <c r="I153" s="145"/>
      <c r="J153" s="145" t="str">
        <f>IF(OR(ISBLANK(I153),ISBLANK(AQ153))," ",IFERROR(VLOOKUP(CONCATENATE(I153,AQ153),Prestaciones!$E$1:$G$488,3,FALSE),IFERROR(VLOOKUP(CONCATENATE(LEFT(I153,6),AQ153),Prestaciones!$E$491:$H$836,3,FALSE),"La prestación no corresponde al grupo poblacional")))</f>
        <v xml:space="preserve"> </v>
      </c>
      <c r="K153" s="146"/>
      <c r="L153" s="146"/>
      <c r="M153" s="147"/>
      <c r="N153" s="148"/>
      <c r="O153" s="149"/>
      <c r="P153" s="150"/>
      <c r="Q153" s="151"/>
      <c r="R153" s="151"/>
      <c r="S153" s="151"/>
      <c r="T153" s="147"/>
      <c r="U153" s="147"/>
      <c r="V153" s="147"/>
      <c r="W153" s="149"/>
      <c r="X153" s="149"/>
      <c r="Y153" s="147"/>
      <c r="Z153" s="147"/>
      <c r="AA153" s="147"/>
      <c r="AB153" s="147"/>
      <c r="AC153" s="147"/>
      <c r="AD153" s="147"/>
      <c r="AE153" s="152"/>
      <c r="AF153" s="153" t="str">
        <f t="shared" si="6"/>
        <v xml:space="preserve"> </v>
      </c>
      <c r="AG153" s="154" t="str">
        <f t="shared" si="7"/>
        <v>Ingresar fuente de información</v>
      </c>
      <c r="AH153" s="134"/>
      <c r="AI153" s="155"/>
      <c r="AJ153" s="156"/>
      <c r="AK153" s="157"/>
      <c r="AM153" s="158"/>
      <c r="AN153" s="155" t="str">
        <f t="shared" si="9"/>
        <v xml:space="preserve"> </v>
      </c>
      <c r="AO153" s="156"/>
      <c r="AP153" s="157"/>
      <c r="AQ153" s="161"/>
      <c r="AR153" s="160" t="str">
        <f t="shared" si="8"/>
        <v xml:space="preserve"> </v>
      </c>
    </row>
    <row r="154" spans="1:44">
      <c r="A154" s="71"/>
      <c r="B154" s="142"/>
      <c r="C154" s="143"/>
      <c r="D154" s="143"/>
      <c r="E154" s="143"/>
      <c r="F154" s="144"/>
      <c r="G154" s="142"/>
      <c r="H154" s="144" t="str">
        <f>IF(OR(ISBLANK(I154),ISBLANK(AQ154))," ",IFERROR(VLOOKUP(CONCATENATE(I154,AQ154),Prestaciones!$E$1:$H$488,4,FALSE),IFERROR(VLOOKUP(CONCATENATE(LEFT(I154,6),AQ154),Prestaciones!$E$491:$H$836,4,FALSE),"La prestación no corresponde al grupo poblacional")))</f>
        <v xml:space="preserve"> </v>
      </c>
      <c r="I154" s="145"/>
      <c r="J154" s="145" t="str">
        <f>IF(OR(ISBLANK(I154),ISBLANK(AQ154))," ",IFERROR(VLOOKUP(CONCATENATE(I154,AQ154),Prestaciones!$E$1:$G$488,3,FALSE),IFERROR(VLOOKUP(CONCATENATE(LEFT(I154,6),AQ154),Prestaciones!$E$491:$H$836,3,FALSE),"La prestación no corresponde al grupo poblacional")))</f>
        <v xml:space="preserve"> </v>
      </c>
      <c r="K154" s="146"/>
      <c r="L154" s="146"/>
      <c r="M154" s="147"/>
      <c r="N154" s="148"/>
      <c r="O154" s="149"/>
      <c r="P154" s="150"/>
      <c r="Q154" s="151"/>
      <c r="R154" s="151"/>
      <c r="S154" s="151"/>
      <c r="T154" s="147"/>
      <c r="U154" s="147"/>
      <c r="V154" s="147"/>
      <c r="W154" s="149"/>
      <c r="X154" s="149"/>
      <c r="Y154" s="147"/>
      <c r="Z154" s="147"/>
      <c r="AA154" s="147"/>
      <c r="AB154" s="147"/>
      <c r="AC154" s="147"/>
      <c r="AD154" s="147"/>
      <c r="AE154" s="152"/>
      <c r="AF154" s="153" t="str">
        <f t="shared" si="6"/>
        <v xml:space="preserve"> </v>
      </c>
      <c r="AG154" s="154" t="str">
        <f t="shared" si="7"/>
        <v>Ingresar fuente de información</v>
      </c>
      <c r="AH154" s="134"/>
      <c r="AI154" s="155"/>
      <c r="AJ154" s="156"/>
      <c r="AK154" s="157"/>
      <c r="AM154" s="158"/>
      <c r="AN154" s="155" t="str">
        <f t="shared" si="9"/>
        <v xml:space="preserve"> </v>
      </c>
      <c r="AO154" s="156"/>
      <c r="AP154" s="157"/>
      <c r="AQ154" s="161"/>
      <c r="AR154" s="160" t="str">
        <f t="shared" si="8"/>
        <v xml:space="preserve"> </v>
      </c>
    </row>
    <row r="155" spans="1:44">
      <c r="A155" s="71"/>
      <c r="B155" s="142"/>
      <c r="C155" s="143"/>
      <c r="D155" s="143"/>
      <c r="E155" s="143"/>
      <c r="F155" s="144"/>
      <c r="G155" s="142"/>
      <c r="H155" s="144" t="str">
        <f>IF(OR(ISBLANK(I155),ISBLANK(AQ155))," ",IFERROR(VLOOKUP(CONCATENATE(I155,AQ155),Prestaciones!$E$1:$H$488,4,FALSE),IFERROR(VLOOKUP(CONCATENATE(LEFT(I155,6),AQ155),Prestaciones!$E$491:$H$836,4,FALSE),"La prestación no corresponde al grupo poblacional")))</f>
        <v xml:space="preserve"> </v>
      </c>
      <c r="I155" s="145"/>
      <c r="J155" s="145" t="str">
        <f>IF(OR(ISBLANK(I155),ISBLANK(AQ155))," ",IFERROR(VLOOKUP(CONCATENATE(I155,AQ155),Prestaciones!$E$1:$G$488,3,FALSE),IFERROR(VLOOKUP(CONCATENATE(LEFT(I155,6),AQ155),Prestaciones!$E$491:$H$836,3,FALSE),"La prestación no corresponde al grupo poblacional")))</f>
        <v xml:space="preserve"> </v>
      </c>
      <c r="K155" s="146"/>
      <c r="L155" s="146"/>
      <c r="M155" s="147"/>
      <c r="N155" s="148"/>
      <c r="O155" s="149"/>
      <c r="P155" s="150"/>
      <c r="Q155" s="151"/>
      <c r="R155" s="151"/>
      <c r="S155" s="151"/>
      <c r="T155" s="147"/>
      <c r="U155" s="147"/>
      <c r="V155" s="147"/>
      <c r="W155" s="149"/>
      <c r="X155" s="149"/>
      <c r="Y155" s="147"/>
      <c r="Z155" s="147"/>
      <c r="AA155" s="147"/>
      <c r="AB155" s="147"/>
      <c r="AC155" s="147"/>
      <c r="AD155" s="147"/>
      <c r="AE155" s="152"/>
      <c r="AF155" s="153" t="str">
        <f t="shared" si="6"/>
        <v xml:space="preserve"> </v>
      </c>
      <c r="AG155" s="154" t="str">
        <f t="shared" si="7"/>
        <v>Ingresar fuente de información</v>
      </c>
      <c r="AH155" s="134"/>
      <c r="AI155" s="155"/>
      <c r="AJ155" s="156"/>
      <c r="AK155" s="157"/>
      <c r="AM155" s="158"/>
      <c r="AN155" s="155" t="str">
        <f t="shared" si="9"/>
        <v xml:space="preserve"> </v>
      </c>
      <c r="AO155" s="156"/>
      <c r="AP155" s="157"/>
      <c r="AQ155" s="161"/>
      <c r="AR155" s="160" t="str">
        <f t="shared" si="8"/>
        <v xml:space="preserve"> </v>
      </c>
    </row>
    <row r="156" spans="1:44">
      <c r="A156" s="71"/>
      <c r="B156" s="142"/>
      <c r="C156" s="143"/>
      <c r="D156" s="143"/>
      <c r="E156" s="143"/>
      <c r="F156" s="144"/>
      <c r="G156" s="142"/>
      <c r="H156" s="144" t="str">
        <f>IF(OR(ISBLANK(I156),ISBLANK(AQ156))," ",IFERROR(VLOOKUP(CONCATENATE(I156,AQ156),Prestaciones!$E$1:$H$488,4,FALSE),IFERROR(VLOOKUP(CONCATENATE(LEFT(I156,6),AQ156),Prestaciones!$E$491:$H$836,4,FALSE),"La prestación no corresponde al grupo poblacional")))</f>
        <v xml:space="preserve"> </v>
      </c>
      <c r="I156" s="145"/>
      <c r="J156" s="145" t="str">
        <f>IF(OR(ISBLANK(I156),ISBLANK(AQ156))," ",IFERROR(VLOOKUP(CONCATENATE(I156,AQ156),Prestaciones!$E$1:$G$488,3,FALSE),IFERROR(VLOOKUP(CONCATENATE(LEFT(I156,6),AQ156),Prestaciones!$E$491:$H$836,3,FALSE),"La prestación no corresponde al grupo poblacional")))</f>
        <v xml:space="preserve"> </v>
      </c>
      <c r="K156" s="146"/>
      <c r="L156" s="146"/>
      <c r="M156" s="147"/>
      <c r="N156" s="148"/>
      <c r="O156" s="149"/>
      <c r="P156" s="150"/>
      <c r="Q156" s="151"/>
      <c r="R156" s="151"/>
      <c r="S156" s="151"/>
      <c r="T156" s="147"/>
      <c r="U156" s="147"/>
      <c r="V156" s="147"/>
      <c r="W156" s="149"/>
      <c r="X156" s="149"/>
      <c r="Y156" s="147"/>
      <c r="Z156" s="147"/>
      <c r="AA156" s="147"/>
      <c r="AB156" s="147"/>
      <c r="AC156" s="147"/>
      <c r="AD156" s="147"/>
      <c r="AE156" s="152"/>
      <c r="AF156" s="153" t="str">
        <f t="shared" si="6"/>
        <v xml:space="preserve"> </v>
      </c>
      <c r="AG156" s="154" t="str">
        <f t="shared" si="7"/>
        <v>Ingresar fuente de información</v>
      </c>
      <c r="AH156" s="134"/>
      <c r="AI156" s="155"/>
      <c r="AJ156" s="156"/>
      <c r="AK156" s="157"/>
      <c r="AM156" s="158"/>
      <c r="AN156" s="155" t="str">
        <f t="shared" si="9"/>
        <v xml:space="preserve"> </v>
      </c>
      <c r="AO156" s="156"/>
      <c r="AP156" s="157"/>
      <c r="AQ156" s="161"/>
      <c r="AR156" s="160" t="str">
        <f t="shared" si="8"/>
        <v xml:space="preserve"> </v>
      </c>
    </row>
    <row r="157" spans="1:44">
      <c r="A157" s="71"/>
      <c r="B157" s="142"/>
      <c r="C157" s="143"/>
      <c r="D157" s="143"/>
      <c r="E157" s="143"/>
      <c r="F157" s="144"/>
      <c r="G157" s="142"/>
      <c r="H157" s="144" t="str">
        <f>IF(OR(ISBLANK(I157),ISBLANK(AQ157))," ",IFERROR(VLOOKUP(CONCATENATE(I157,AQ157),Prestaciones!$E$1:$H$488,4,FALSE),IFERROR(VLOOKUP(CONCATENATE(LEFT(I157,6),AQ157),Prestaciones!$E$491:$H$836,4,FALSE),"La prestación no corresponde al grupo poblacional")))</f>
        <v xml:space="preserve"> </v>
      </c>
      <c r="I157" s="145"/>
      <c r="J157" s="145" t="str">
        <f>IF(OR(ISBLANK(I157),ISBLANK(AQ157))," ",IFERROR(VLOOKUP(CONCATENATE(I157,AQ157),Prestaciones!$E$1:$G$488,3,FALSE),IFERROR(VLOOKUP(CONCATENATE(LEFT(I157,6),AQ157),Prestaciones!$E$491:$H$836,3,FALSE),"La prestación no corresponde al grupo poblacional")))</f>
        <v xml:space="preserve"> </v>
      </c>
      <c r="K157" s="146"/>
      <c r="L157" s="146"/>
      <c r="M157" s="147"/>
      <c r="N157" s="148"/>
      <c r="O157" s="149"/>
      <c r="P157" s="150"/>
      <c r="Q157" s="151"/>
      <c r="R157" s="151"/>
      <c r="S157" s="151"/>
      <c r="T157" s="147"/>
      <c r="U157" s="147"/>
      <c r="V157" s="147"/>
      <c r="W157" s="149"/>
      <c r="X157" s="149"/>
      <c r="Y157" s="147"/>
      <c r="Z157" s="147"/>
      <c r="AA157" s="147"/>
      <c r="AB157" s="147"/>
      <c r="AC157" s="147"/>
      <c r="AD157" s="147"/>
      <c r="AE157" s="152"/>
      <c r="AF157" s="153" t="str">
        <f t="shared" si="6"/>
        <v xml:space="preserve"> </v>
      </c>
      <c r="AG157" s="154" t="str">
        <f t="shared" si="7"/>
        <v>Ingresar fuente de información</v>
      </c>
      <c r="AH157" s="134"/>
      <c r="AI157" s="155"/>
      <c r="AJ157" s="156"/>
      <c r="AK157" s="157"/>
      <c r="AM157" s="158"/>
      <c r="AN157" s="155" t="str">
        <f t="shared" si="9"/>
        <v xml:space="preserve"> </v>
      </c>
      <c r="AO157" s="156"/>
      <c r="AP157" s="157"/>
      <c r="AQ157" s="161"/>
      <c r="AR157" s="160" t="str">
        <f t="shared" si="8"/>
        <v xml:space="preserve"> </v>
      </c>
    </row>
    <row r="158" spans="1:44">
      <c r="A158" s="71"/>
      <c r="B158" s="142"/>
      <c r="C158" s="143"/>
      <c r="D158" s="143"/>
      <c r="E158" s="143"/>
      <c r="F158" s="144"/>
      <c r="G158" s="142"/>
      <c r="H158" s="144" t="str">
        <f>IF(OR(ISBLANK(I158),ISBLANK(AQ158))," ",IFERROR(VLOOKUP(CONCATENATE(I158,AQ158),Prestaciones!$E$1:$H$488,4,FALSE),IFERROR(VLOOKUP(CONCATENATE(LEFT(I158,6),AQ158),Prestaciones!$E$491:$H$836,4,FALSE),"La prestación no corresponde al grupo poblacional")))</f>
        <v xml:space="preserve"> </v>
      </c>
      <c r="I158" s="145"/>
      <c r="J158" s="145" t="str">
        <f>IF(OR(ISBLANK(I158),ISBLANK(AQ158))," ",IFERROR(VLOOKUP(CONCATENATE(I158,AQ158),Prestaciones!$E$1:$G$488,3,FALSE),IFERROR(VLOOKUP(CONCATENATE(LEFT(I158,6),AQ158),Prestaciones!$E$491:$H$836,3,FALSE),"La prestación no corresponde al grupo poblacional")))</f>
        <v xml:space="preserve"> </v>
      </c>
      <c r="K158" s="146"/>
      <c r="L158" s="146"/>
      <c r="M158" s="147"/>
      <c r="N158" s="148"/>
      <c r="O158" s="149"/>
      <c r="P158" s="150"/>
      <c r="Q158" s="151"/>
      <c r="R158" s="151"/>
      <c r="S158" s="151"/>
      <c r="T158" s="147"/>
      <c r="U158" s="147"/>
      <c r="V158" s="147"/>
      <c r="W158" s="149"/>
      <c r="X158" s="149"/>
      <c r="Y158" s="147"/>
      <c r="Z158" s="147"/>
      <c r="AA158" s="147"/>
      <c r="AB158" s="147"/>
      <c r="AC158" s="147"/>
      <c r="AD158" s="147"/>
      <c r="AE158" s="152"/>
      <c r="AF158" s="153" t="str">
        <f t="shared" si="6"/>
        <v xml:space="preserve"> </v>
      </c>
      <c r="AG158" s="154" t="str">
        <f t="shared" si="7"/>
        <v>Ingresar fuente de información</v>
      </c>
      <c r="AH158" s="134"/>
      <c r="AI158" s="155"/>
      <c r="AJ158" s="156"/>
      <c r="AK158" s="157"/>
      <c r="AM158" s="158"/>
      <c r="AN158" s="155" t="str">
        <f t="shared" si="9"/>
        <v xml:space="preserve"> </v>
      </c>
      <c r="AO158" s="156"/>
      <c r="AP158" s="157"/>
      <c r="AQ158" s="161"/>
      <c r="AR158" s="160" t="str">
        <f t="shared" si="8"/>
        <v xml:space="preserve"> </v>
      </c>
    </row>
    <row r="159" spans="1:44">
      <c r="A159" s="71"/>
      <c r="B159" s="142"/>
      <c r="C159" s="143"/>
      <c r="D159" s="143"/>
      <c r="E159" s="143"/>
      <c r="F159" s="144"/>
      <c r="G159" s="142"/>
      <c r="H159" s="144" t="str">
        <f>IF(OR(ISBLANK(I159),ISBLANK(AQ159))," ",IFERROR(VLOOKUP(CONCATENATE(I159,AQ159),Prestaciones!$E$1:$H$488,4,FALSE),IFERROR(VLOOKUP(CONCATENATE(LEFT(I159,6),AQ159),Prestaciones!$E$491:$H$836,4,FALSE),"La prestación no corresponde al grupo poblacional")))</f>
        <v xml:space="preserve"> </v>
      </c>
      <c r="I159" s="145"/>
      <c r="J159" s="145" t="str">
        <f>IF(OR(ISBLANK(I159),ISBLANK(AQ159))," ",IFERROR(VLOOKUP(CONCATENATE(I159,AQ159),Prestaciones!$E$1:$G$488,3,FALSE),IFERROR(VLOOKUP(CONCATENATE(LEFT(I159,6),AQ159),Prestaciones!$E$491:$H$836,3,FALSE),"La prestación no corresponde al grupo poblacional")))</f>
        <v xml:space="preserve"> </v>
      </c>
      <c r="K159" s="146"/>
      <c r="L159" s="146"/>
      <c r="M159" s="147"/>
      <c r="N159" s="148"/>
      <c r="O159" s="149"/>
      <c r="P159" s="150"/>
      <c r="Q159" s="151"/>
      <c r="R159" s="151"/>
      <c r="S159" s="151"/>
      <c r="T159" s="147"/>
      <c r="U159" s="147"/>
      <c r="V159" s="147"/>
      <c r="W159" s="149"/>
      <c r="X159" s="149"/>
      <c r="Y159" s="147"/>
      <c r="Z159" s="147"/>
      <c r="AA159" s="147"/>
      <c r="AB159" s="147"/>
      <c r="AC159" s="147"/>
      <c r="AD159" s="147"/>
      <c r="AE159" s="152"/>
      <c r="AF159" s="153" t="str">
        <f t="shared" ref="AF159:AF222" si="10">IF(ISBLANK(P159)," ",(K159-P159)/365)</f>
        <v xml:space="preserve"> </v>
      </c>
      <c r="AG159" s="154" t="str">
        <f t="shared" ref="AG159:AG222" si="11">IF(M159="No consta fuente de información","Se debe labrar acta",IF(M159="Prestación inexistente","Se debe labrar acta e indicar el tipo de fuente de información en observaciones",IF(M159="","Ingresar fuente de información",IF(AND(OR(M159="HC",M159="Ficha odontológica",M159="Libro de enfermería",M159="SIP",M159="Registro vacunatorio",M159="HCPB",M159="Ficha médica",M159="Libro del servicio de imágenes",M159="Registro del servicio de anatomía patológica",M159="Sistema informático",M159="Caso duplicado"),(OR(ISBLANK(O159),ISBLANK(Q159),ISBLANK(R159),ISBLANK(S159),ISBLANK(T159),ISBLANK(U159),ISBLANK(V159),ISBLANK(W159),ISBLANK(X159),ISBLANK(Y159),ISBLANK(Z159),ISBLANK(AA159),ISBLANK(AB159),ISBLANK(AC159),ISBLANK(AD159)))),"Completar todos los campos","OK"))))</f>
        <v>Ingresar fuente de información</v>
      </c>
      <c r="AH159" s="134"/>
      <c r="AI159" s="155"/>
      <c r="AJ159" s="156"/>
      <c r="AK159" s="157"/>
      <c r="AM159" s="158"/>
      <c r="AN159" s="155" t="str">
        <f t="shared" si="9"/>
        <v xml:space="preserve"> </v>
      </c>
      <c r="AO159" s="156"/>
      <c r="AP159" s="157"/>
      <c r="AQ159" s="161"/>
      <c r="AR159" s="160" t="str">
        <f t="shared" si="8"/>
        <v xml:space="preserve"> </v>
      </c>
    </row>
    <row r="160" spans="1:44">
      <c r="A160" s="71"/>
      <c r="B160" s="142"/>
      <c r="C160" s="143"/>
      <c r="D160" s="143"/>
      <c r="E160" s="143"/>
      <c r="F160" s="144"/>
      <c r="G160" s="142"/>
      <c r="H160" s="144" t="str">
        <f>IF(OR(ISBLANK(I160),ISBLANK(AQ160))," ",IFERROR(VLOOKUP(CONCATENATE(I160,AQ160),Prestaciones!$E$1:$H$488,4,FALSE),IFERROR(VLOOKUP(CONCATENATE(LEFT(I160,6),AQ160),Prestaciones!$E$491:$H$836,4,FALSE),"La prestación no corresponde al grupo poblacional")))</f>
        <v xml:space="preserve"> </v>
      </c>
      <c r="I160" s="145"/>
      <c r="J160" s="145" t="str">
        <f>IF(OR(ISBLANK(I160),ISBLANK(AQ160))," ",IFERROR(VLOOKUP(CONCATENATE(I160,AQ160),Prestaciones!$E$1:$G$488,3,FALSE),IFERROR(VLOOKUP(CONCATENATE(LEFT(I160,6),AQ160),Prestaciones!$E$491:$H$836,3,FALSE),"La prestación no corresponde al grupo poblacional")))</f>
        <v xml:space="preserve"> </v>
      </c>
      <c r="K160" s="146"/>
      <c r="L160" s="146"/>
      <c r="M160" s="147"/>
      <c r="N160" s="148"/>
      <c r="O160" s="149"/>
      <c r="P160" s="150"/>
      <c r="Q160" s="151"/>
      <c r="R160" s="151"/>
      <c r="S160" s="151"/>
      <c r="T160" s="147"/>
      <c r="U160" s="147"/>
      <c r="V160" s="147"/>
      <c r="W160" s="149"/>
      <c r="X160" s="149"/>
      <c r="Y160" s="147"/>
      <c r="Z160" s="147"/>
      <c r="AA160" s="147"/>
      <c r="AB160" s="147"/>
      <c r="AC160" s="147"/>
      <c r="AD160" s="147"/>
      <c r="AE160" s="152"/>
      <c r="AF160" s="153" t="str">
        <f t="shared" si="10"/>
        <v xml:space="preserve"> </v>
      </c>
      <c r="AG160" s="154" t="str">
        <f t="shared" si="11"/>
        <v>Ingresar fuente de información</v>
      </c>
      <c r="AH160" s="134"/>
      <c r="AI160" s="155"/>
      <c r="AJ160" s="156"/>
      <c r="AK160" s="157"/>
      <c r="AM160" s="158"/>
      <c r="AN160" s="155" t="str">
        <f t="shared" si="9"/>
        <v xml:space="preserve"> </v>
      </c>
      <c r="AO160" s="156"/>
      <c r="AP160" s="157"/>
      <c r="AQ160" s="161"/>
      <c r="AR160" s="160" t="str">
        <f t="shared" ref="AR160:AR223" si="12">IF(ISBLANK(P160)," ",IF(AND(AF160&lt;10),"Niños",IF(AND(AF160&gt;=10,AF160&lt;20),"Adolescentes",IF(AND(AF160&gt;=20,AF160&lt;65),"Adultos","No valido"))))</f>
        <v xml:space="preserve"> </v>
      </c>
    </row>
    <row r="161" spans="1:44">
      <c r="A161" s="71"/>
      <c r="B161" s="142"/>
      <c r="C161" s="143"/>
      <c r="D161" s="143"/>
      <c r="E161" s="143"/>
      <c r="F161" s="144"/>
      <c r="G161" s="142"/>
      <c r="H161" s="144" t="str">
        <f>IF(OR(ISBLANK(I161),ISBLANK(AQ161))," ",IFERROR(VLOOKUP(CONCATENATE(I161,AQ161),Prestaciones!$E$1:$H$488,4,FALSE),IFERROR(VLOOKUP(CONCATENATE(LEFT(I161,6),AQ161),Prestaciones!$E$491:$H$836,4,FALSE),"La prestación no corresponde al grupo poblacional")))</f>
        <v xml:space="preserve"> </v>
      </c>
      <c r="I161" s="145"/>
      <c r="J161" s="145" t="str">
        <f>IF(OR(ISBLANK(I161),ISBLANK(AQ161))," ",IFERROR(VLOOKUP(CONCATENATE(I161,AQ161),Prestaciones!$E$1:$G$488,3,FALSE),IFERROR(VLOOKUP(CONCATENATE(LEFT(I161,6),AQ161),Prestaciones!$E$491:$H$836,3,FALSE),"La prestación no corresponde al grupo poblacional")))</f>
        <v xml:space="preserve"> </v>
      </c>
      <c r="K161" s="146"/>
      <c r="L161" s="146"/>
      <c r="M161" s="147"/>
      <c r="N161" s="148"/>
      <c r="O161" s="149"/>
      <c r="P161" s="150"/>
      <c r="Q161" s="151"/>
      <c r="R161" s="151"/>
      <c r="S161" s="151"/>
      <c r="T161" s="147"/>
      <c r="U161" s="147"/>
      <c r="V161" s="147"/>
      <c r="W161" s="149"/>
      <c r="X161" s="149"/>
      <c r="Y161" s="147"/>
      <c r="Z161" s="147"/>
      <c r="AA161" s="147"/>
      <c r="AB161" s="147"/>
      <c r="AC161" s="147"/>
      <c r="AD161" s="147"/>
      <c r="AE161" s="152"/>
      <c r="AF161" s="153" t="str">
        <f t="shared" si="10"/>
        <v xml:space="preserve"> </v>
      </c>
      <c r="AG161" s="154" t="str">
        <f t="shared" si="11"/>
        <v>Ingresar fuente de información</v>
      </c>
      <c r="AH161" s="134"/>
      <c r="AI161" s="155"/>
      <c r="AJ161" s="156"/>
      <c r="AK161" s="157"/>
      <c r="AM161" s="158"/>
      <c r="AN161" s="155" t="str">
        <f t="shared" si="9"/>
        <v xml:space="preserve"> </v>
      </c>
      <c r="AO161" s="156"/>
      <c r="AP161" s="157"/>
      <c r="AQ161" s="161"/>
      <c r="AR161" s="160" t="str">
        <f t="shared" si="12"/>
        <v xml:space="preserve"> </v>
      </c>
    </row>
    <row r="162" spans="1:44">
      <c r="A162" s="71"/>
      <c r="B162" s="142"/>
      <c r="C162" s="143"/>
      <c r="D162" s="143"/>
      <c r="E162" s="143"/>
      <c r="F162" s="144"/>
      <c r="G162" s="142"/>
      <c r="H162" s="144" t="str">
        <f>IF(OR(ISBLANK(I162),ISBLANK(AQ162))," ",IFERROR(VLOOKUP(CONCATENATE(I162,AQ162),Prestaciones!$E$1:$H$488,4,FALSE),IFERROR(VLOOKUP(CONCATENATE(LEFT(I162,6),AQ162),Prestaciones!$E$491:$H$836,4,FALSE),"La prestación no corresponde al grupo poblacional")))</f>
        <v xml:space="preserve"> </v>
      </c>
      <c r="I162" s="145"/>
      <c r="J162" s="145" t="str">
        <f>IF(OR(ISBLANK(I162),ISBLANK(AQ162))," ",IFERROR(VLOOKUP(CONCATENATE(I162,AQ162),Prestaciones!$E$1:$G$488,3,FALSE),IFERROR(VLOOKUP(CONCATENATE(LEFT(I162,6),AQ162),Prestaciones!$E$491:$H$836,3,FALSE),"La prestación no corresponde al grupo poblacional")))</f>
        <v xml:space="preserve"> </v>
      </c>
      <c r="K162" s="146"/>
      <c r="L162" s="146"/>
      <c r="M162" s="147"/>
      <c r="N162" s="148"/>
      <c r="O162" s="149"/>
      <c r="P162" s="150"/>
      <c r="Q162" s="151"/>
      <c r="R162" s="151"/>
      <c r="S162" s="151"/>
      <c r="T162" s="147"/>
      <c r="U162" s="147"/>
      <c r="V162" s="147"/>
      <c r="W162" s="149"/>
      <c r="X162" s="149"/>
      <c r="Y162" s="147"/>
      <c r="Z162" s="147"/>
      <c r="AA162" s="147"/>
      <c r="AB162" s="147"/>
      <c r="AC162" s="147"/>
      <c r="AD162" s="147"/>
      <c r="AE162" s="152"/>
      <c r="AF162" s="153" t="str">
        <f t="shared" si="10"/>
        <v xml:space="preserve"> </v>
      </c>
      <c r="AG162" s="154" t="str">
        <f t="shared" si="11"/>
        <v>Ingresar fuente de información</v>
      </c>
      <c r="AH162" s="134"/>
      <c r="AI162" s="155"/>
      <c r="AJ162" s="156"/>
      <c r="AK162" s="157"/>
      <c r="AM162" s="158"/>
      <c r="AN162" s="155" t="str">
        <f t="shared" si="9"/>
        <v xml:space="preserve"> </v>
      </c>
      <c r="AO162" s="156"/>
      <c r="AP162" s="157"/>
      <c r="AQ162" s="161"/>
      <c r="AR162" s="160" t="str">
        <f t="shared" si="12"/>
        <v xml:space="preserve"> </v>
      </c>
    </row>
    <row r="163" spans="1:44">
      <c r="A163" s="71"/>
      <c r="B163" s="142"/>
      <c r="C163" s="143"/>
      <c r="D163" s="143"/>
      <c r="E163" s="143"/>
      <c r="F163" s="144"/>
      <c r="G163" s="142"/>
      <c r="H163" s="144" t="str">
        <f>IF(OR(ISBLANK(I163),ISBLANK(AQ163))," ",IFERROR(VLOOKUP(CONCATENATE(I163,AQ163),Prestaciones!$E$1:$H$488,4,FALSE),IFERROR(VLOOKUP(CONCATENATE(LEFT(I163,6),AQ163),Prestaciones!$E$491:$H$836,4,FALSE),"La prestación no corresponde al grupo poblacional")))</f>
        <v xml:space="preserve"> </v>
      </c>
      <c r="I163" s="145"/>
      <c r="J163" s="145" t="str">
        <f>IF(OR(ISBLANK(I163),ISBLANK(AQ163))," ",IFERROR(VLOOKUP(CONCATENATE(I163,AQ163),Prestaciones!$E$1:$G$488,3,FALSE),IFERROR(VLOOKUP(CONCATENATE(LEFT(I163,6),AQ163),Prestaciones!$E$491:$H$836,3,FALSE),"La prestación no corresponde al grupo poblacional")))</f>
        <v xml:space="preserve"> </v>
      </c>
      <c r="K163" s="146"/>
      <c r="L163" s="146"/>
      <c r="M163" s="147"/>
      <c r="N163" s="148"/>
      <c r="O163" s="149"/>
      <c r="P163" s="150"/>
      <c r="Q163" s="151"/>
      <c r="R163" s="151"/>
      <c r="S163" s="151"/>
      <c r="T163" s="147"/>
      <c r="U163" s="147"/>
      <c r="V163" s="147"/>
      <c r="W163" s="149"/>
      <c r="X163" s="149"/>
      <c r="Y163" s="147"/>
      <c r="Z163" s="147"/>
      <c r="AA163" s="147"/>
      <c r="AB163" s="147"/>
      <c r="AC163" s="147"/>
      <c r="AD163" s="147"/>
      <c r="AE163" s="152"/>
      <c r="AF163" s="153" t="str">
        <f t="shared" si="10"/>
        <v xml:space="preserve"> </v>
      </c>
      <c r="AG163" s="154" t="str">
        <f t="shared" si="11"/>
        <v>Ingresar fuente de información</v>
      </c>
      <c r="AH163" s="134"/>
      <c r="AI163" s="155"/>
      <c r="AJ163" s="156"/>
      <c r="AK163" s="157"/>
      <c r="AM163" s="158"/>
      <c r="AN163" s="155" t="str">
        <f t="shared" si="9"/>
        <v xml:space="preserve"> </v>
      </c>
      <c r="AO163" s="156"/>
      <c r="AP163" s="157"/>
      <c r="AQ163" s="161"/>
      <c r="AR163" s="160" t="str">
        <f t="shared" si="12"/>
        <v xml:space="preserve"> </v>
      </c>
    </row>
    <row r="164" spans="1:44">
      <c r="A164" s="71"/>
      <c r="B164" s="142"/>
      <c r="C164" s="143"/>
      <c r="D164" s="143"/>
      <c r="E164" s="143"/>
      <c r="F164" s="144"/>
      <c r="G164" s="142"/>
      <c r="H164" s="144" t="str">
        <f>IF(OR(ISBLANK(I164),ISBLANK(AQ164))," ",IFERROR(VLOOKUP(CONCATENATE(I164,AQ164),Prestaciones!$E$1:$H$488,4,FALSE),IFERROR(VLOOKUP(CONCATENATE(LEFT(I164,6),AQ164),Prestaciones!$E$491:$H$836,4,FALSE),"La prestación no corresponde al grupo poblacional")))</f>
        <v xml:space="preserve"> </v>
      </c>
      <c r="I164" s="145"/>
      <c r="J164" s="145" t="str">
        <f>IF(OR(ISBLANK(I164),ISBLANK(AQ164))," ",IFERROR(VLOOKUP(CONCATENATE(I164,AQ164),Prestaciones!$E$1:$G$488,3,FALSE),IFERROR(VLOOKUP(CONCATENATE(LEFT(I164,6),AQ164),Prestaciones!$E$491:$H$836,3,FALSE),"La prestación no corresponde al grupo poblacional")))</f>
        <v xml:space="preserve"> </v>
      </c>
      <c r="K164" s="146"/>
      <c r="L164" s="146"/>
      <c r="M164" s="147"/>
      <c r="N164" s="148"/>
      <c r="O164" s="149"/>
      <c r="P164" s="150"/>
      <c r="Q164" s="151"/>
      <c r="R164" s="151"/>
      <c r="S164" s="151"/>
      <c r="T164" s="147"/>
      <c r="U164" s="147"/>
      <c r="V164" s="147"/>
      <c r="W164" s="149"/>
      <c r="X164" s="149"/>
      <c r="Y164" s="147"/>
      <c r="Z164" s="147"/>
      <c r="AA164" s="147"/>
      <c r="AB164" s="147"/>
      <c r="AC164" s="147"/>
      <c r="AD164" s="147"/>
      <c r="AE164" s="152"/>
      <c r="AF164" s="153" t="str">
        <f t="shared" si="10"/>
        <v xml:space="preserve"> </v>
      </c>
      <c r="AG164" s="154" t="str">
        <f t="shared" si="11"/>
        <v>Ingresar fuente de información</v>
      </c>
      <c r="AH164" s="134"/>
      <c r="AI164" s="155"/>
      <c r="AJ164" s="156"/>
      <c r="AK164" s="157"/>
      <c r="AM164" s="158"/>
      <c r="AN164" s="155" t="str">
        <f t="shared" si="9"/>
        <v xml:space="preserve"> </v>
      </c>
      <c r="AO164" s="156"/>
      <c r="AP164" s="157"/>
      <c r="AQ164" s="161"/>
      <c r="AR164" s="160" t="str">
        <f t="shared" si="12"/>
        <v xml:space="preserve"> </v>
      </c>
    </row>
    <row r="165" spans="1:44">
      <c r="A165" s="71"/>
      <c r="B165" s="142"/>
      <c r="C165" s="143"/>
      <c r="D165" s="143"/>
      <c r="E165" s="143"/>
      <c r="F165" s="144"/>
      <c r="G165" s="142"/>
      <c r="H165" s="144" t="str">
        <f>IF(OR(ISBLANK(I165),ISBLANK(AQ165))," ",IFERROR(VLOOKUP(CONCATENATE(I165,AQ165),Prestaciones!$E$1:$H$488,4,FALSE),IFERROR(VLOOKUP(CONCATENATE(LEFT(I165,6),AQ165),Prestaciones!$E$491:$H$836,4,FALSE),"La prestación no corresponde al grupo poblacional")))</f>
        <v xml:space="preserve"> </v>
      </c>
      <c r="I165" s="145"/>
      <c r="J165" s="145" t="str">
        <f>IF(OR(ISBLANK(I165),ISBLANK(AQ165))," ",IFERROR(VLOOKUP(CONCATENATE(I165,AQ165),Prestaciones!$E$1:$G$488,3,FALSE),IFERROR(VLOOKUP(CONCATENATE(LEFT(I165,6),AQ165),Prestaciones!$E$491:$H$836,3,FALSE),"La prestación no corresponde al grupo poblacional")))</f>
        <v xml:space="preserve"> </v>
      </c>
      <c r="K165" s="146"/>
      <c r="L165" s="146"/>
      <c r="M165" s="147"/>
      <c r="N165" s="148"/>
      <c r="O165" s="149"/>
      <c r="P165" s="150"/>
      <c r="Q165" s="151"/>
      <c r="R165" s="151"/>
      <c r="S165" s="151"/>
      <c r="T165" s="147"/>
      <c r="U165" s="147"/>
      <c r="V165" s="147"/>
      <c r="W165" s="149"/>
      <c r="X165" s="149"/>
      <c r="Y165" s="147"/>
      <c r="Z165" s="147"/>
      <c r="AA165" s="147"/>
      <c r="AB165" s="147"/>
      <c r="AC165" s="147"/>
      <c r="AD165" s="147"/>
      <c r="AE165" s="152"/>
      <c r="AF165" s="153" t="str">
        <f t="shared" si="10"/>
        <v xml:space="preserve"> </v>
      </c>
      <c r="AG165" s="154" t="str">
        <f t="shared" si="11"/>
        <v>Ingresar fuente de información</v>
      </c>
      <c r="AH165" s="134"/>
      <c r="AI165" s="155"/>
      <c r="AJ165" s="156"/>
      <c r="AK165" s="157"/>
      <c r="AM165" s="158"/>
      <c r="AN165" s="155" t="str">
        <f t="shared" si="9"/>
        <v xml:space="preserve"> </v>
      </c>
      <c r="AO165" s="156"/>
      <c r="AP165" s="157"/>
      <c r="AQ165" s="161"/>
      <c r="AR165" s="160" t="str">
        <f t="shared" si="12"/>
        <v xml:space="preserve"> </v>
      </c>
    </row>
    <row r="166" spans="1:44">
      <c r="A166" s="71"/>
      <c r="B166" s="142"/>
      <c r="C166" s="143"/>
      <c r="D166" s="143"/>
      <c r="E166" s="143"/>
      <c r="F166" s="144"/>
      <c r="G166" s="142"/>
      <c r="H166" s="144" t="str">
        <f>IF(OR(ISBLANK(I166),ISBLANK(AQ166))," ",IFERROR(VLOOKUP(CONCATENATE(I166,AQ166),Prestaciones!$E$1:$H$488,4,FALSE),IFERROR(VLOOKUP(CONCATENATE(LEFT(I166,6),AQ166),Prestaciones!$E$491:$H$836,4,FALSE),"La prestación no corresponde al grupo poblacional")))</f>
        <v xml:space="preserve"> </v>
      </c>
      <c r="I166" s="145"/>
      <c r="J166" s="145" t="str">
        <f>IF(OR(ISBLANK(I166),ISBLANK(AQ166))," ",IFERROR(VLOOKUP(CONCATENATE(I166,AQ166),Prestaciones!$E$1:$G$488,3,FALSE),IFERROR(VLOOKUP(CONCATENATE(LEFT(I166,6),AQ166),Prestaciones!$E$491:$H$836,3,FALSE),"La prestación no corresponde al grupo poblacional")))</f>
        <v xml:space="preserve"> </v>
      </c>
      <c r="K166" s="146"/>
      <c r="L166" s="146"/>
      <c r="M166" s="147"/>
      <c r="N166" s="148"/>
      <c r="O166" s="149"/>
      <c r="P166" s="150"/>
      <c r="Q166" s="151"/>
      <c r="R166" s="151"/>
      <c r="S166" s="151"/>
      <c r="T166" s="147"/>
      <c r="U166" s="147"/>
      <c r="V166" s="147"/>
      <c r="W166" s="149"/>
      <c r="X166" s="149"/>
      <c r="Y166" s="147"/>
      <c r="Z166" s="147"/>
      <c r="AA166" s="147"/>
      <c r="AB166" s="147"/>
      <c r="AC166" s="147"/>
      <c r="AD166" s="147"/>
      <c r="AE166" s="152"/>
      <c r="AF166" s="153" t="str">
        <f t="shared" si="10"/>
        <v xml:space="preserve"> </v>
      </c>
      <c r="AG166" s="154" t="str">
        <f t="shared" si="11"/>
        <v>Ingresar fuente de información</v>
      </c>
      <c r="AH166" s="134"/>
      <c r="AI166" s="155"/>
      <c r="AJ166" s="156"/>
      <c r="AK166" s="157"/>
      <c r="AM166" s="158"/>
      <c r="AN166" s="155" t="str">
        <f t="shared" si="9"/>
        <v xml:space="preserve"> </v>
      </c>
      <c r="AO166" s="156"/>
      <c r="AP166" s="157"/>
      <c r="AQ166" s="161"/>
      <c r="AR166" s="160" t="str">
        <f t="shared" si="12"/>
        <v xml:space="preserve"> </v>
      </c>
    </row>
    <row r="167" spans="1:44">
      <c r="A167" s="71"/>
      <c r="B167" s="142"/>
      <c r="C167" s="143"/>
      <c r="D167" s="143"/>
      <c r="E167" s="143"/>
      <c r="F167" s="144"/>
      <c r="G167" s="142"/>
      <c r="H167" s="144" t="str">
        <f>IF(OR(ISBLANK(I167),ISBLANK(AQ167))," ",IFERROR(VLOOKUP(CONCATENATE(I167,AQ167),Prestaciones!$E$1:$H$488,4,FALSE),IFERROR(VLOOKUP(CONCATENATE(LEFT(I167,6),AQ167),Prestaciones!$E$491:$H$836,4,FALSE),"La prestación no corresponde al grupo poblacional")))</f>
        <v xml:space="preserve"> </v>
      </c>
      <c r="I167" s="145"/>
      <c r="J167" s="145" t="str">
        <f>IF(OR(ISBLANK(I167),ISBLANK(AQ167))," ",IFERROR(VLOOKUP(CONCATENATE(I167,AQ167),Prestaciones!$E$1:$G$488,3,FALSE),IFERROR(VLOOKUP(CONCATENATE(LEFT(I167,6),AQ167),Prestaciones!$E$491:$H$836,3,FALSE),"La prestación no corresponde al grupo poblacional")))</f>
        <v xml:space="preserve"> </v>
      </c>
      <c r="K167" s="146"/>
      <c r="L167" s="146"/>
      <c r="M167" s="147"/>
      <c r="N167" s="148"/>
      <c r="O167" s="149"/>
      <c r="P167" s="150"/>
      <c r="Q167" s="151"/>
      <c r="R167" s="151"/>
      <c r="S167" s="151"/>
      <c r="T167" s="147"/>
      <c r="U167" s="147"/>
      <c r="V167" s="147"/>
      <c r="W167" s="149"/>
      <c r="X167" s="149"/>
      <c r="Y167" s="147"/>
      <c r="Z167" s="147"/>
      <c r="AA167" s="147"/>
      <c r="AB167" s="147"/>
      <c r="AC167" s="147"/>
      <c r="AD167" s="147"/>
      <c r="AE167" s="152"/>
      <c r="AF167" s="153" t="str">
        <f t="shared" si="10"/>
        <v xml:space="preserve"> </v>
      </c>
      <c r="AG167" s="154" t="str">
        <f t="shared" si="11"/>
        <v>Ingresar fuente de información</v>
      </c>
      <c r="AH167" s="134"/>
      <c r="AI167" s="155"/>
      <c r="AJ167" s="156"/>
      <c r="AK167" s="157"/>
      <c r="AM167" s="158"/>
      <c r="AN167" s="155" t="str">
        <f t="shared" si="9"/>
        <v xml:space="preserve"> </v>
      </c>
      <c r="AO167" s="156"/>
      <c r="AP167" s="157"/>
      <c r="AQ167" s="161"/>
      <c r="AR167" s="160" t="str">
        <f t="shared" si="12"/>
        <v xml:space="preserve"> </v>
      </c>
    </row>
    <row r="168" spans="1:44">
      <c r="A168" s="71"/>
      <c r="B168" s="142"/>
      <c r="C168" s="143"/>
      <c r="D168" s="143"/>
      <c r="E168" s="143"/>
      <c r="F168" s="144"/>
      <c r="G168" s="142"/>
      <c r="H168" s="144" t="str">
        <f>IF(OR(ISBLANK(I168),ISBLANK(AQ168))," ",IFERROR(VLOOKUP(CONCATENATE(I168,AQ168),Prestaciones!$E$1:$H$488,4,FALSE),IFERROR(VLOOKUP(CONCATENATE(LEFT(I168,6),AQ168),Prestaciones!$E$491:$H$836,4,FALSE),"La prestación no corresponde al grupo poblacional")))</f>
        <v xml:space="preserve"> </v>
      </c>
      <c r="I168" s="145"/>
      <c r="J168" s="145" t="str">
        <f>IF(OR(ISBLANK(I168),ISBLANK(AQ168))," ",IFERROR(VLOOKUP(CONCATENATE(I168,AQ168),Prestaciones!$E$1:$G$488,3,FALSE),IFERROR(VLOOKUP(CONCATENATE(LEFT(I168,6),AQ168),Prestaciones!$E$491:$H$836,3,FALSE),"La prestación no corresponde al grupo poblacional")))</f>
        <v xml:space="preserve"> </v>
      </c>
      <c r="K168" s="146"/>
      <c r="L168" s="146"/>
      <c r="M168" s="147"/>
      <c r="N168" s="148"/>
      <c r="O168" s="149"/>
      <c r="P168" s="150"/>
      <c r="Q168" s="151"/>
      <c r="R168" s="151"/>
      <c r="S168" s="151"/>
      <c r="T168" s="147"/>
      <c r="U168" s="147"/>
      <c r="V168" s="147"/>
      <c r="W168" s="149"/>
      <c r="X168" s="149"/>
      <c r="Y168" s="147"/>
      <c r="Z168" s="147"/>
      <c r="AA168" s="147"/>
      <c r="AB168" s="147"/>
      <c r="AC168" s="147"/>
      <c r="AD168" s="147"/>
      <c r="AE168" s="152"/>
      <c r="AF168" s="153" t="str">
        <f t="shared" si="10"/>
        <v xml:space="preserve"> </v>
      </c>
      <c r="AG168" s="154" t="str">
        <f t="shared" si="11"/>
        <v>Ingresar fuente de información</v>
      </c>
      <c r="AH168" s="134"/>
      <c r="AI168" s="155"/>
      <c r="AJ168" s="156"/>
      <c r="AK168" s="157"/>
      <c r="AM168" s="158"/>
      <c r="AN168" s="155" t="str">
        <f t="shared" si="9"/>
        <v xml:space="preserve"> </v>
      </c>
      <c r="AO168" s="156"/>
      <c r="AP168" s="157"/>
      <c r="AQ168" s="161"/>
      <c r="AR168" s="160" t="str">
        <f t="shared" si="12"/>
        <v xml:space="preserve"> </v>
      </c>
    </row>
    <row r="169" spans="1:44">
      <c r="A169" s="71"/>
      <c r="B169" s="142"/>
      <c r="C169" s="143"/>
      <c r="D169" s="143"/>
      <c r="E169" s="143"/>
      <c r="F169" s="144"/>
      <c r="G169" s="142"/>
      <c r="H169" s="144" t="str">
        <f>IF(OR(ISBLANK(I169),ISBLANK(AQ169))," ",IFERROR(VLOOKUP(CONCATENATE(I169,AQ169),Prestaciones!$E$1:$H$488,4,FALSE),IFERROR(VLOOKUP(CONCATENATE(LEFT(I169,6),AQ169),Prestaciones!$E$491:$H$836,4,FALSE),"La prestación no corresponde al grupo poblacional")))</f>
        <v xml:space="preserve"> </v>
      </c>
      <c r="I169" s="145"/>
      <c r="J169" s="145" t="str">
        <f>IF(OR(ISBLANK(I169),ISBLANK(AQ169))," ",IFERROR(VLOOKUP(CONCATENATE(I169,AQ169),Prestaciones!$E$1:$G$488,3,FALSE),IFERROR(VLOOKUP(CONCATENATE(LEFT(I169,6),AQ169),Prestaciones!$E$491:$H$836,3,FALSE),"La prestación no corresponde al grupo poblacional")))</f>
        <v xml:space="preserve"> </v>
      </c>
      <c r="K169" s="146"/>
      <c r="L169" s="146"/>
      <c r="M169" s="147"/>
      <c r="N169" s="148"/>
      <c r="O169" s="149"/>
      <c r="P169" s="150"/>
      <c r="Q169" s="151"/>
      <c r="R169" s="151"/>
      <c r="S169" s="151"/>
      <c r="T169" s="147"/>
      <c r="U169" s="147"/>
      <c r="V169" s="147"/>
      <c r="W169" s="149"/>
      <c r="X169" s="149"/>
      <c r="Y169" s="147"/>
      <c r="Z169" s="147"/>
      <c r="AA169" s="147"/>
      <c r="AB169" s="147"/>
      <c r="AC169" s="147"/>
      <c r="AD169" s="147"/>
      <c r="AE169" s="152"/>
      <c r="AF169" s="153" t="str">
        <f t="shared" si="10"/>
        <v xml:space="preserve"> </v>
      </c>
      <c r="AG169" s="154" t="str">
        <f t="shared" si="11"/>
        <v>Ingresar fuente de información</v>
      </c>
      <c r="AH169" s="134"/>
      <c r="AI169" s="155"/>
      <c r="AJ169" s="156"/>
      <c r="AK169" s="157"/>
      <c r="AM169" s="158"/>
      <c r="AN169" s="155" t="str">
        <f t="shared" si="9"/>
        <v xml:space="preserve"> </v>
      </c>
      <c r="AO169" s="156"/>
      <c r="AP169" s="157"/>
      <c r="AQ169" s="161"/>
      <c r="AR169" s="160" t="str">
        <f t="shared" si="12"/>
        <v xml:space="preserve"> </v>
      </c>
    </row>
    <row r="170" spans="1:44">
      <c r="A170" s="71"/>
      <c r="B170" s="142"/>
      <c r="C170" s="143"/>
      <c r="D170" s="143"/>
      <c r="E170" s="143"/>
      <c r="F170" s="144"/>
      <c r="G170" s="142"/>
      <c r="H170" s="144" t="str">
        <f>IF(OR(ISBLANK(I170),ISBLANK(AQ170))," ",IFERROR(VLOOKUP(CONCATENATE(I170,AQ170),Prestaciones!$E$1:$H$488,4,FALSE),IFERROR(VLOOKUP(CONCATENATE(LEFT(I170,6),AQ170),Prestaciones!$E$491:$H$836,4,FALSE),"La prestación no corresponde al grupo poblacional")))</f>
        <v xml:space="preserve"> </v>
      </c>
      <c r="I170" s="145"/>
      <c r="J170" s="145" t="str">
        <f>IF(OR(ISBLANK(I170),ISBLANK(AQ170))," ",IFERROR(VLOOKUP(CONCATENATE(I170,AQ170),Prestaciones!$E$1:$G$488,3,FALSE),IFERROR(VLOOKUP(CONCATENATE(LEFT(I170,6),AQ170),Prestaciones!$E$491:$H$836,3,FALSE),"La prestación no corresponde al grupo poblacional")))</f>
        <v xml:space="preserve"> </v>
      </c>
      <c r="K170" s="146"/>
      <c r="L170" s="146"/>
      <c r="M170" s="147"/>
      <c r="N170" s="148"/>
      <c r="O170" s="149"/>
      <c r="P170" s="150"/>
      <c r="Q170" s="151"/>
      <c r="R170" s="151"/>
      <c r="S170" s="151"/>
      <c r="T170" s="147"/>
      <c r="U170" s="147"/>
      <c r="V170" s="147"/>
      <c r="W170" s="149"/>
      <c r="X170" s="149"/>
      <c r="Y170" s="147"/>
      <c r="Z170" s="147"/>
      <c r="AA170" s="147"/>
      <c r="AB170" s="147"/>
      <c r="AC170" s="147"/>
      <c r="AD170" s="147"/>
      <c r="AE170" s="152"/>
      <c r="AF170" s="153" t="str">
        <f t="shared" si="10"/>
        <v xml:space="preserve"> </v>
      </c>
      <c r="AG170" s="154" t="str">
        <f t="shared" si="11"/>
        <v>Ingresar fuente de información</v>
      </c>
      <c r="AH170" s="134"/>
      <c r="AI170" s="155"/>
      <c r="AJ170" s="156"/>
      <c r="AK170" s="157"/>
      <c r="AM170" s="158"/>
      <c r="AN170" s="155" t="str">
        <f t="shared" si="9"/>
        <v xml:space="preserve"> </v>
      </c>
      <c r="AO170" s="156"/>
      <c r="AP170" s="157"/>
      <c r="AQ170" s="161"/>
      <c r="AR170" s="160" t="str">
        <f t="shared" si="12"/>
        <v xml:space="preserve"> </v>
      </c>
    </row>
    <row r="171" spans="1:44">
      <c r="A171" s="71"/>
      <c r="B171" s="142"/>
      <c r="C171" s="143"/>
      <c r="D171" s="143"/>
      <c r="E171" s="143"/>
      <c r="F171" s="144"/>
      <c r="G171" s="142"/>
      <c r="H171" s="144" t="str">
        <f>IF(OR(ISBLANK(I171),ISBLANK(AQ171))," ",IFERROR(VLOOKUP(CONCATENATE(I171,AQ171),Prestaciones!$E$1:$H$488,4,FALSE),IFERROR(VLOOKUP(CONCATENATE(LEFT(I171,6),AQ171),Prestaciones!$E$491:$H$836,4,FALSE),"La prestación no corresponde al grupo poblacional")))</f>
        <v xml:space="preserve"> </v>
      </c>
      <c r="I171" s="145"/>
      <c r="J171" s="145" t="str">
        <f>IF(OR(ISBLANK(I171),ISBLANK(AQ171))," ",IFERROR(VLOOKUP(CONCATENATE(I171,AQ171),Prestaciones!$E$1:$G$488,3,FALSE),IFERROR(VLOOKUP(CONCATENATE(LEFT(I171,6),AQ171),Prestaciones!$E$491:$H$836,3,FALSE),"La prestación no corresponde al grupo poblacional")))</f>
        <v xml:space="preserve"> </v>
      </c>
      <c r="K171" s="146"/>
      <c r="L171" s="146"/>
      <c r="M171" s="147"/>
      <c r="N171" s="148"/>
      <c r="O171" s="149"/>
      <c r="P171" s="150"/>
      <c r="Q171" s="151"/>
      <c r="R171" s="151"/>
      <c r="S171" s="151"/>
      <c r="T171" s="147"/>
      <c r="U171" s="147"/>
      <c r="V171" s="147"/>
      <c r="W171" s="149"/>
      <c r="X171" s="149"/>
      <c r="Y171" s="147"/>
      <c r="Z171" s="147"/>
      <c r="AA171" s="147"/>
      <c r="AB171" s="147"/>
      <c r="AC171" s="147"/>
      <c r="AD171" s="147"/>
      <c r="AE171" s="152"/>
      <c r="AF171" s="153" t="str">
        <f t="shared" si="10"/>
        <v xml:space="preserve"> </v>
      </c>
      <c r="AG171" s="154" t="str">
        <f t="shared" si="11"/>
        <v>Ingresar fuente de información</v>
      </c>
      <c r="AH171" s="134"/>
      <c r="AI171" s="155"/>
      <c r="AJ171" s="156"/>
      <c r="AK171" s="157"/>
      <c r="AM171" s="158"/>
      <c r="AN171" s="155" t="str">
        <f t="shared" si="9"/>
        <v xml:space="preserve"> </v>
      </c>
      <c r="AO171" s="156"/>
      <c r="AP171" s="157"/>
      <c r="AQ171" s="161"/>
      <c r="AR171" s="160" t="str">
        <f t="shared" si="12"/>
        <v xml:space="preserve"> </v>
      </c>
    </row>
    <row r="172" spans="1:44">
      <c r="A172" s="71"/>
      <c r="B172" s="142"/>
      <c r="C172" s="143"/>
      <c r="D172" s="143"/>
      <c r="E172" s="143"/>
      <c r="F172" s="144"/>
      <c r="G172" s="142"/>
      <c r="H172" s="144" t="str">
        <f>IF(OR(ISBLANK(I172),ISBLANK(AQ172))," ",IFERROR(VLOOKUP(CONCATENATE(I172,AQ172),Prestaciones!$E$1:$H$488,4,FALSE),IFERROR(VLOOKUP(CONCATENATE(LEFT(I172,6),AQ172),Prestaciones!$E$491:$H$836,4,FALSE),"La prestación no corresponde al grupo poblacional")))</f>
        <v xml:space="preserve"> </v>
      </c>
      <c r="I172" s="145"/>
      <c r="J172" s="145" t="str">
        <f>IF(OR(ISBLANK(I172),ISBLANK(AQ172))," ",IFERROR(VLOOKUP(CONCATENATE(I172,AQ172),Prestaciones!$E$1:$G$488,3,FALSE),IFERROR(VLOOKUP(CONCATENATE(LEFT(I172,6),AQ172),Prestaciones!$E$491:$H$836,3,FALSE),"La prestación no corresponde al grupo poblacional")))</f>
        <v xml:space="preserve"> </v>
      </c>
      <c r="K172" s="146"/>
      <c r="L172" s="146"/>
      <c r="M172" s="147"/>
      <c r="N172" s="148"/>
      <c r="O172" s="149"/>
      <c r="P172" s="150"/>
      <c r="Q172" s="151"/>
      <c r="R172" s="151"/>
      <c r="S172" s="151"/>
      <c r="T172" s="147"/>
      <c r="U172" s="147"/>
      <c r="V172" s="147"/>
      <c r="W172" s="149"/>
      <c r="X172" s="149"/>
      <c r="Y172" s="147"/>
      <c r="Z172" s="147"/>
      <c r="AA172" s="147"/>
      <c r="AB172" s="147"/>
      <c r="AC172" s="147"/>
      <c r="AD172" s="147"/>
      <c r="AE172" s="152"/>
      <c r="AF172" s="153" t="str">
        <f t="shared" si="10"/>
        <v xml:space="preserve"> </v>
      </c>
      <c r="AG172" s="154" t="str">
        <f t="shared" si="11"/>
        <v>Ingresar fuente de información</v>
      </c>
      <c r="AH172" s="134"/>
      <c r="AI172" s="155"/>
      <c r="AJ172" s="156"/>
      <c r="AK172" s="157"/>
      <c r="AM172" s="158"/>
      <c r="AN172" s="155" t="str">
        <f t="shared" si="9"/>
        <v xml:space="preserve"> </v>
      </c>
      <c r="AO172" s="156"/>
      <c r="AP172" s="157"/>
      <c r="AQ172" s="161"/>
      <c r="AR172" s="160" t="str">
        <f t="shared" si="12"/>
        <v xml:space="preserve"> </v>
      </c>
    </row>
    <row r="173" spans="1:44">
      <c r="A173" s="71"/>
      <c r="B173" s="142"/>
      <c r="C173" s="143"/>
      <c r="D173" s="143"/>
      <c r="E173" s="143"/>
      <c r="F173" s="144"/>
      <c r="G173" s="142"/>
      <c r="H173" s="144" t="str">
        <f>IF(OR(ISBLANK(I173),ISBLANK(AQ173))," ",IFERROR(VLOOKUP(CONCATENATE(I173,AQ173),Prestaciones!$E$1:$H$488,4,FALSE),IFERROR(VLOOKUP(CONCATENATE(LEFT(I173,6),AQ173),Prestaciones!$E$491:$H$836,4,FALSE),"La prestación no corresponde al grupo poblacional")))</f>
        <v xml:space="preserve"> </v>
      </c>
      <c r="I173" s="145"/>
      <c r="J173" s="145" t="str">
        <f>IF(OR(ISBLANK(I173),ISBLANK(AQ173))," ",IFERROR(VLOOKUP(CONCATENATE(I173,AQ173),Prestaciones!$E$1:$G$488,3,FALSE),IFERROR(VLOOKUP(CONCATENATE(LEFT(I173,6),AQ173),Prestaciones!$E$491:$H$836,3,FALSE),"La prestación no corresponde al grupo poblacional")))</f>
        <v xml:space="preserve"> </v>
      </c>
      <c r="K173" s="146"/>
      <c r="L173" s="146"/>
      <c r="M173" s="147"/>
      <c r="N173" s="148"/>
      <c r="O173" s="149"/>
      <c r="P173" s="150"/>
      <c r="Q173" s="151"/>
      <c r="R173" s="151"/>
      <c r="S173" s="151"/>
      <c r="T173" s="147"/>
      <c r="U173" s="147"/>
      <c r="V173" s="147"/>
      <c r="W173" s="149"/>
      <c r="X173" s="149"/>
      <c r="Y173" s="147"/>
      <c r="Z173" s="147"/>
      <c r="AA173" s="147"/>
      <c r="AB173" s="147"/>
      <c r="AC173" s="147"/>
      <c r="AD173" s="147"/>
      <c r="AE173" s="152"/>
      <c r="AF173" s="153" t="str">
        <f t="shared" si="10"/>
        <v xml:space="preserve"> </v>
      </c>
      <c r="AG173" s="154" t="str">
        <f t="shared" si="11"/>
        <v>Ingresar fuente de información</v>
      </c>
      <c r="AH173" s="134"/>
      <c r="AI173" s="155"/>
      <c r="AJ173" s="156"/>
      <c r="AK173" s="157"/>
      <c r="AM173" s="158"/>
      <c r="AN173" s="155" t="str">
        <f t="shared" si="9"/>
        <v xml:space="preserve"> </v>
      </c>
      <c r="AO173" s="156"/>
      <c r="AP173" s="157"/>
      <c r="AQ173" s="161"/>
      <c r="AR173" s="160" t="str">
        <f t="shared" si="12"/>
        <v xml:space="preserve"> </v>
      </c>
    </row>
    <row r="174" spans="1:44">
      <c r="A174" s="71"/>
      <c r="B174" s="142"/>
      <c r="C174" s="143"/>
      <c r="D174" s="143"/>
      <c r="E174" s="143"/>
      <c r="F174" s="144"/>
      <c r="G174" s="142"/>
      <c r="H174" s="144" t="str">
        <f>IF(OR(ISBLANK(I174),ISBLANK(AQ174))," ",IFERROR(VLOOKUP(CONCATENATE(I174,AQ174),Prestaciones!$E$1:$H$488,4,FALSE),IFERROR(VLOOKUP(CONCATENATE(LEFT(I174,6),AQ174),Prestaciones!$E$491:$H$836,4,FALSE),"La prestación no corresponde al grupo poblacional")))</f>
        <v xml:space="preserve"> </v>
      </c>
      <c r="I174" s="145"/>
      <c r="J174" s="145" t="str">
        <f>IF(OR(ISBLANK(I174),ISBLANK(AQ174))," ",IFERROR(VLOOKUP(CONCATENATE(I174,AQ174),Prestaciones!$E$1:$G$488,3,FALSE),IFERROR(VLOOKUP(CONCATENATE(LEFT(I174,6),AQ174),Prestaciones!$E$491:$H$836,3,FALSE),"La prestación no corresponde al grupo poblacional")))</f>
        <v xml:space="preserve"> </v>
      </c>
      <c r="K174" s="146"/>
      <c r="L174" s="146"/>
      <c r="M174" s="147"/>
      <c r="N174" s="148"/>
      <c r="O174" s="149"/>
      <c r="P174" s="150"/>
      <c r="Q174" s="151"/>
      <c r="R174" s="151"/>
      <c r="S174" s="151"/>
      <c r="T174" s="147"/>
      <c r="U174" s="147"/>
      <c r="V174" s="147"/>
      <c r="W174" s="149"/>
      <c r="X174" s="149"/>
      <c r="Y174" s="147"/>
      <c r="Z174" s="147"/>
      <c r="AA174" s="147"/>
      <c r="AB174" s="147"/>
      <c r="AC174" s="147"/>
      <c r="AD174" s="147"/>
      <c r="AE174" s="152"/>
      <c r="AF174" s="153" t="str">
        <f t="shared" si="10"/>
        <v xml:space="preserve"> </v>
      </c>
      <c r="AG174" s="154" t="str">
        <f t="shared" si="11"/>
        <v>Ingresar fuente de información</v>
      </c>
      <c r="AH174" s="134"/>
      <c r="AI174" s="155"/>
      <c r="AJ174" s="156"/>
      <c r="AK174" s="157"/>
      <c r="AM174" s="158"/>
      <c r="AN174" s="155" t="str">
        <f t="shared" si="9"/>
        <v xml:space="preserve"> </v>
      </c>
      <c r="AO174" s="156"/>
      <c r="AP174" s="157"/>
      <c r="AQ174" s="161"/>
      <c r="AR174" s="160" t="str">
        <f t="shared" si="12"/>
        <v xml:space="preserve"> </v>
      </c>
    </row>
    <row r="175" spans="1:44">
      <c r="A175" s="71"/>
      <c r="B175" s="142"/>
      <c r="C175" s="143"/>
      <c r="D175" s="143"/>
      <c r="E175" s="143"/>
      <c r="F175" s="144"/>
      <c r="G175" s="142"/>
      <c r="H175" s="144" t="str">
        <f>IF(OR(ISBLANK(I175),ISBLANK(AQ175))," ",IFERROR(VLOOKUP(CONCATENATE(I175,AQ175),Prestaciones!$E$1:$H$488,4,FALSE),IFERROR(VLOOKUP(CONCATENATE(LEFT(I175,6),AQ175),Prestaciones!$E$491:$H$836,4,FALSE),"La prestación no corresponde al grupo poblacional")))</f>
        <v xml:space="preserve"> </v>
      </c>
      <c r="I175" s="145"/>
      <c r="J175" s="145" t="str">
        <f>IF(OR(ISBLANK(I175),ISBLANK(AQ175))," ",IFERROR(VLOOKUP(CONCATENATE(I175,AQ175),Prestaciones!$E$1:$G$488,3,FALSE),IFERROR(VLOOKUP(CONCATENATE(LEFT(I175,6),AQ175),Prestaciones!$E$491:$H$836,3,FALSE),"La prestación no corresponde al grupo poblacional")))</f>
        <v xml:space="preserve"> </v>
      </c>
      <c r="K175" s="146"/>
      <c r="L175" s="146"/>
      <c r="M175" s="147"/>
      <c r="N175" s="148"/>
      <c r="O175" s="149"/>
      <c r="P175" s="150"/>
      <c r="Q175" s="151"/>
      <c r="R175" s="151"/>
      <c r="S175" s="151"/>
      <c r="T175" s="147"/>
      <c r="U175" s="147"/>
      <c r="V175" s="147"/>
      <c r="W175" s="149"/>
      <c r="X175" s="149"/>
      <c r="Y175" s="147"/>
      <c r="Z175" s="147"/>
      <c r="AA175" s="147"/>
      <c r="AB175" s="147"/>
      <c r="AC175" s="147"/>
      <c r="AD175" s="147"/>
      <c r="AE175" s="152"/>
      <c r="AF175" s="153" t="str">
        <f t="shared" si="10"/>
        <v xml:space="preserve"> </v>
      </c>
      <c r="AG175" s="154" t="str">
        <f t="shared" si="11"/>
        <v>Ingresar fuente de información</v>
      </c>
      <c r="AH175" s="134"/>
      <c r="AI175" s="155"/>
      <c r="AJ175" s="156"/>
      <c r="AK175" s="157"/>
      <c r="AM175" s="158"/>
      <c r="AN175" s="155" t="str">
        <f t="shared" si="9"/>
        <v xml:space="preserve"> </v>
      </c>
      <c r="AO175" s="156"/>
      <c r="AP175" s="157"/>
      <c r="AQ175" s="161"/>
      <c r="AR175" s="160" t="str">
        <f t="shared" si="12"/>
        <v xml:space="preserve"> </v>
      </c>
    </row>
    <row r="176" spans="1:44">
      <c r="A176" s="71"/>
      <c r="B176" s="142"/>
      <c r="C176" s="143"/>
      <c r="D176" s="143"/>
      <c r="E176" s="143"/>
      <c r="F176" s="144"/>
      <c r="G176" s="142"/>
      <c r="H176" s="144" t="str">
        <f>IF(OR(ISBLANK(I176),ISBLANK(AQ176))," ",IFERROR(VLOOKUP(CONCATENATE(I176,AQ176),Prestaciones!$E$1:$H$488,4,FALSE),IFERROR(VLOOKUP(CONCATENATE(LEFT(I176,6),AQ176),Prestaciones!$E$491:$H$836,4,FALSE),"La prestación no corresponde al grupo poblacional")))</f>
        <v xml:space="preserve"> </v>
      </c>
      <c r="I176" s="145"/>
      <c r="J176" s="145" t="str">
        <f>IF(OR(ISBLANK(I176),ISBLANK(AQ176))," ",IFERROR(VLOOKUP(CONCATENATE(I176,AQ176),Prestaciones!$E$1:$G$488,3,FALSE),IFERROR(VLOOKUP(CONCATENATE(LEFT(I176,6),AQ176),Prestaciones!$E$491:$H$836,3,FALSE),"La prestación no corresponde al grupo poblacional")))</f>
        <v xml:space="preserve"> </v>
      </c>
      <c r="K176" s="146"/>
      <c r="L176" s="146"/>
      <c r="M176" s="147"/>
      <c r="N176" s="148"/>
      <c r="O176" s="149"/>
      <c r="P176" s="150"/>
      <c r="Q176" s="151"/>
      <c r="R176" s="151"/>
      <c r="S176" s="151"/>
      <c r="T176" s="147"/>
      <c r="U176" s="147"/>
      <c r="V176" s="147"/>
      <c r="W176" s="149"/>
      <c r="X176" s="149"/>
      <c r="Y176" s="147"/>
      <c r="Z176" s="147"/>
      <c r="AA176" s="147"/>
      <c r="AB176" s="147"/>
      <c r="AC176" s="147"/>
      <c r="AD176" s="147"/>
      <c r="AE176" s="152"/>
      <c r="AF176" s="153" t="str">
        <f t="shared" si="10"/>
        <v xml:space="preserve"> </v>
      </c>
      <c r="AG176" s="154" t="str">
        <f t="shared" si="11"/>
        <v>Ingresar fuente de información</v>
      </c>
      <c r="AH176" s="134"/>
      <c r="AI176" s="155"/>
      <c r="AJ176" s="156"/>
      <c r="AK176" s="157"/>
      <c r="AM176" s="158"/>
      <c r="AN176" s="155" t="str">
        <f t="shared" si="9"/>
        <v xml:space="preserve"> </v>
      </c>
      <c r="AO176" s="156"/>
      <c r="AP176" s="157"/>
      <c r="AQ176" s="161"/>
      <c r="AR176" s="160" t="str">
        <f t="shared" si="12"/>
        <v xml:space="preserve"> </v>
      </c>
    </row>
    <row r="177" spans="1:44">
      <c r="A177" s="71"/>
      <c r="B177" s="142"/>
      <c r="C177" s="143"/>
      <c r="D177" s="143"/>
      <c r="E177" s="143"/>
      <c r="F177" s="144"/>
      <c r="G177" s="142"/>
      <c r="H177" s="144" t="str">
        <f>IF(OR(ISBLANK(I177),ISBLANK(AQ177))," ",IFERROR(VLOOKUP(CONCATENATE(I177,AQ177),Prestaciones!$E$1:$H$488,4,FALSE),IFERROR(VLOOKUP(CONCATENATE(LEFT(I177,6),AQ177),Prestaciones!$E$491:$H$836,4,FALSE),"La prestación no corresponde al grupo poblacional")))</f>
        <v xml:space="preserve"> </v>
      </c>
      <c r="I177" s="145"/>
      <c r="J177" s="145" t="str">
        <f>IF(OR(ISBLANK(I177),ISBLANK(AQ177))," ",IFERROR(VLOOKUP(CONCATENATE(I177,AQ177),Prestaciones!$E$1:$G$488,3,FALSE),IFERROR(VLOOKUP(CONCATENATE(LEFT(I177,6),AQ177),Prestaciones!$E$491:$H$836,3,FALSE),"La prestación no corresponde al grupo poblacional")))</f>
        <v xml:space="preserve"> </v>
      </c>
      <c r="K177" s="146"/>
      <c r="L177" s="146"/>
      <c r="M177" s="147"/>
      <c r="N177" s="148"/>
      <c r="O177" s="149"/>
      <c r="P177" s="150"/>
      <c r="Q177" s="151"/>
      <c r="R177" s="151"/>
      <c r="S177" s="151"/>
      <c r="T177" s="147"/>
      <c r="U177" s="147"/>
      <c r="V177" s="147"/>
      <c r="W177" s="149"/>
      <c r="X177" s="149"/>
      <c r="Y177" s="147"/>
      <c r="Z177" s="147"/>
      <c r="AA177" s="147"/>
      <c r="AB177" s="147"/>
      <c r="AC177" s="147"/>
      <c r="AD177" s="147"/>
      <c r="AE177" s="152"/>
      <c r="AF177" s="153" t="str">
        <f t="shared" si="10"/>
        <v xml:space="preserve"> </v>
      </c>
      <c r="AG177" s="154" t="str">
        <f t="shared" si="11"/>
        <v>Ingresar fuente de información</v>
      </c>
      <c r="AH177" s="134"/>
      <c r="AI177" s="155"/>
      <c r="AJ177" s="156"/>
      <c r="AK177" s="157"/>
      <c r="AM177" s="158"/>
      <c r="AN177" s="155" t="str">
        <f t="shared" si="9"/>
        <v xml:space="preserve"> </v>
      </c>
      <c r="AO177" s="156"/>
      <c r="AP177" s="157"/>
      <c r="AQ177" s="161"/>
      <c r="AR177" s="160" t="str">
        <f t="shared" si="12"/>
        <v xml:space="preserve"> </v>
      </c>
    </row>
    <row r="178" spans="1:44">
      <c r="A178" s="71"/>
      <c r="B178" s="142"/>
      <c r="C178" s="143"/>
      <c r="D178" s="143"/>
      <c r="E178" s="143"/>
      <c r="F178" s="144"/>
      <c r="G178" s="142"/>
      <c r="H178" s="144" t="str">
        <f>IF(OR(ISBLANK(I178),ISBLANK(AQ178))," ",IFERROR(VLOOKUP(CONCATENATE(I178,AQ178),Prestaciones!$E$1:$H$488,4,FALSE),IFERROR(VLOOKUP(CONCATENATE(LEFT(I178,6),AQ178),Prestaciones!$E$491:$H$836,4,FALSE),"La prestación no corresponde al grupo poblacional")))</f>
        <v xml:space="preserve"> </v>
      </c>
      <c r="I178" s="145"/>
      <c r="J178" s="145" t="str">
        <f>IF(OR(ISBLANK(I178),ISBLANK(AQ178))," ",IFERROR(VLOOKUP(CONCATENATE(I178,AQ178),Prestaciones!$E$1:$G$488,3,FALSE),IFERROR(VLOOKUP(CONCATENATE(LEFT(I178,6),AQ178),Prestaciones!$E$491:$H$836,3,FALSE),"La prestación no corresponde al grupo poblacional")))</f>
        <v xml:space="preserve"> </v>
      </c>
      <c r="K178" s="146"/>
      <c r="L178" s="146"/>
      <c r="M178" s="147"/>
      <c r="N178" s="148"/>
      <c r="O178" s="149"/>
      <c r="P178" s="150"/>
      <c r="Q178" s="151"/>
      <c r="R178" s="151"/>
      <c r="S178" s="151"/>
      <c r="T178" s="147"/>
      <c r="U178" s="147"/>
      <c r="V178" s="147"/>
      <c r="W178" s="149"/>
      <c r="X178" s="149"/>
      <c r="Y178" s="147"/>
      <c r="Z178" s="147"/>
      <c r="AA178" s="147"/>
      <c r="AB178" s="147"/>
      <c r="AC178" s="147"/>
      <c r="AD178" s="147"/>
      <c r="AE178" s="152"/>
      <c r="AF178" s="153" t="str">
        <f t="shared" si="10"/>
        <v xml:space="preserve"> </v>
      </c>
      <c r="AG178" s="154" t="str">
        <f t="shared" si="11"/>
        <v>Ingresar fuente de información</v>
      </c>
      <c r="AH178" s="134"/>
      <c r="AI178" s="155"/>
      <c r="AJ178" s="156"/>
      <c r="AK178" s="157"/>
      <c r="AM178" s="158"/>
      <c r="AN178" s="155" t="str">
        <f t="shared" si="9"/>
        <v xml:space="preserve"> </v>
      </c>
      <c r="AO178" s="156"/>
      <c r="AP178" s="157"/>
      <c r="AQ178" s="161"/>
      <c r="AR178" s="160" t="str">
        <f t="shared" si="12"/>
        <v xml:space="preserve"> </v>
      </c>
    </row>
    <row r="179" spans="1:44">
      <c r="A179" s="71"/>
      <c r="B179" s="142"/>
      <c r="C179" s="143"/>
      <c r="D179" s="143"/>
      <c r="E179" s="143"/>
      <c r="F179" s="144"/>
      <c r="G179" s="142"/>
      <c r="H179" s="144" t="str">
        <f>IF(OR(ISBLANK(I179),ISBLANK(AQ179))," ",IFERROR(VLOOKUP(CONCATENATE(I179,AQ179),Prestaciones!$E$1:$H$488,4,FALSE),IFERROR(VLOOKUP(CONCATENATE(LEFT(I179,6),AQ179),Prestaciones!$E$491:$H$836,4,FALSE),"La prestación no corresponde al grupo poblacional")))</f>
        <v xml:space="preserve"> </v>
      </c>
      <c r="I179" s="145"/>
      <c r="J179" s="145" t="str">
        <f>IF(OR(ISBLANK(I179),ISBLANK(AQ179))," ",IFERROR(VLOOKUP(CONCATENATE(I179,AQ179),Prestaciones!$E$1:$G$488,3,FALSE),IFERROR(VLOOKUP(CONCATENATE(LEFT(I179,6),AQ179),Prestaciones!$E$491:$H$836,3,FALSE),"La prestación no corresponde al grupo poblacional")))</f>
        <v xml:space="preserve"> </v>
      </c>
      <c r="K179" s="146"/>
      <c r="L179" s="146"/>
      <c r="M179" s="147"/>
      <c r="N179" s="148"/>
      <c r="O179" s="149"/>
      <c r="P179" s="150"/>
      <c r="Q179" s="151"/>
      <c r="R179" s="151"/>
      <c r="S179" s="151"/>
      <c r="T179" s="147"/>
      <c r="U179" s="147"/>
      <c r="V179" s="147"/>
      <c r="W179" s="149"/>
      <c r="X179" s="149"/>
      <c r="Y179" s="147"/>
      <c r="Z179" s="147"/>
      <c r="AA179" s="147"/>
      <c r="AB179" s="147"/>
      <c r="AC179" s="147"/>
      <c r="AD179" s="147"/>
      <c r="AE179" s="152"/>
      <c r="AF179" s="153" t="str">
        <f t="shared" si="10"/>
        <v xml:space="preserve"> </v>
      </c>
      <c r="AG179" s="154" t="str">
        <f t="shared" si="11"/>
        <v>Ingresar fuente de información</v>
      </c>
      <c r="AH179" s="134"/>
      <c r="AI179" s="155"/>
      <c r="AJ179" s="156"/>
      <c r="AK179" s="157"/>
      <c r="AM179" s="158"/>
      <c r="AN179" s="155" t="str">
        <f t="shared" si="9"/>
        <v xml:space="preserve"> </v>
      </c>
      <c r="AO179" s="156"/>
      <c r="AP179" s="157"/>
      <c r="AQ179" s="161"/>
      <c r="AR179" s="160" t="str">
        <f t="shared" si="12"/>
        <v xml:space="preserve"> </v>
      </c>
    </row>
    <row r="180" spans="1:44">
      <c r="A180" s="71"/>
      <c r="B180" s="142"/>
      <c r="C180" s="143"/>
      <c r="D180" s="143"/>
      <c r="E180" s="143"/>
      <c r="F180" s="144"/>
      <c r="G180" s="142"/>
      <c r="H180" s="144" t="str">
        <f>IF(OR(ISBLANK(I180),ISBLANK(AQ180))," ",IFERROR(VLOOKUP(CONCATENATE(I180,AQ180),Prestaciones!$E$1:$H$488,4,FALSE),IFERROR(VLOOKUP(CONCATENATE(LEFT(I180,6),AQ180),Prestaciones!$E$491:$H$836,4,FALSE),"La prestación no corresponde al grupo poblacional")))</f>
        <v xml:space="preserve"> </v>
      </c>
      <c r="I180" s="145"/>
      <c r="J180" s="145" t="str">
        <f>IF(OR(ISBLANK(I180),ISBLANK(AQ180))," ",IFERROR(VLOOKUP(CONCATENATE(I180,AQ180),Prestaciones!$E$1:$G$488,3,FALSE),IFERROR(VLOOKUP(CONCATENATE(LEFT(I180,6),AQ180),Prestaciones!$E$491:$H$836,3,FALSE),"La prestación no corresponde al grupo poblacional")))</f>
        <v xml:space="preserve"> </v>
      </c>
      <c r="K180" s="146"/>
      <c r="L180" s="146"/>
      <c r="M180" s="147"/>
      <c r="N180" s="148"/>
      <c r="O180" s="149"/>
      <c r="P180" s="150"/>
      <c r="Q180" s="151"/>
      <c r="R180" s="151"/>
      <c r="S180" s="151"/>
      <c r="T180" s="147"/>
      <c r="U180" s="147"/>
      <c r="V180" s="147"/>
      <c r="W180" s="149"/>
      <c r="X180" s="149"/>
      <c r="Y180" s="147"/>
      <c r="Z180" s="147"/>
      <c r="AA180" s="147"/>
      <c r="AB180" s="147"/>
      <c r="AC180" s="147"/>
      <c r="AD180" s="147"/>
      <c r="AE180" s="152"/>
      <c r="AF180" s="153" t="str">
        <f t="shared" si="10"/>
        <v xml:space="preserve"> </v>
      </c>
      <c r="AG180" s="154" t="str">
        <f t="shared" si="11"/>
        <v>Ingresar fuente de información</v>
      </c>
      <c r="AH180" s="134"/>
      <c r="AI180" s="155"/>
      <c r="AJ180" s="156"/>
      <c r="AK180" s="157"/>
      <c r="AM180" s="158"/>
      <c r="AN180" s="155" t="str">
        <f t="shared" si="9"/>
        <v xml:space="preserve"> </v>
      </c>
      <c r="AO180" s="156"/>
      <c r="AP180" s="157"/>
      <c r="AQ180" s="161"/>
      <c r="AR180" s="160" t="str">
        <f t="shared" si="12"/>
        <v xml:space="preserve"> </v>
      </c>
    </row>
    <row r="181" spans="1:44">
      <c r="A181" s="71"/>
      <c r="B181" s="142"/>
      <c r="C181" s="143"/>
      <c r="D181" s="143"/>
      <c r="E181" s="143"/>
      <c r="F181" s="144"/>
      <c r="G181" s="142"/>
      <c r="H181" s="144" t="str">
        <f>IF(OR(ISBLANK(I181),ISBLANK(AQ181))," ",IFERROR(VLOOKUP(CONCATENATE(I181,AQ181),Prestaciones!$E$1:$H$488,4,FALSE),IFERROR(VLOOKUP(CONCATENATE(LEFT(I181,6),AQ181),Prestaciones!$E$491:$H$836,4,FALSE),"La prestación no corresponde al grupo poblacional")))</f>
        <v xml:space="preserve"> </v>
      </c>
      <c r="I181" s="145"/>
      <c r="J181" s="145" t="str">
        <f>IF(OR(ISBLANK(I181),ISBLANK(AQ181))," ",IFERROR(VLOOKUP(CONCATENATE(I181,AQ181),Prestaciones!$E$1:$G$488,3,FALSE),IFERROR(VLOOKUP(CONCATENATE(LEFT(I181,6),AQ181),Prestaciones!$E$491:$H$836,3,FALSE),"La prestación no corresponde al grupo poblacional")))</f>
        <v xml:space="preserve"> </v>
      </c>
      <c r="K181" s="146"/>
      <c r="L181" s="146"/>
      <c r="M181" s="147"/>
      <c r="N181" s="148"/>
      <c r="O181" s="149"/>
      <c r="P181" s="150"/>
      <c r="Q181" s="151"/>
      <c r="R181" s="151"/>
      <c r="S181" s="151"/>
      <c r="T181" s="147"/>
      <c r="U181" s="147"/>
      <c r="V181" s="147"/>
      <c r="W181" s="149"/>
      <c r="X181" s="149"/>
      <c r="Y181" s="147"/>
      <c r="Z181" s="147"/>
      <c r="AA181" s="147"/>
      <c r="AB181" s="147"/>
      <c r="AC181" s="147"/>
      <c r="AD181" s="147"/>
      <c r="AE181" s="152"/>
      <c r="AF181" s="153" t="str">
        <f t="shared" si="10"/>
        <v xml:space="preserve"> </v>
      </c>
      <c r="AG181" s="154" t="str">
        <f t="shared" si="11"/>
        <v>Ingresar fuente de información</v>
      </c>
      <c r="AH181" s="134"/>
      <c r="AI181" s="155"/>
      <c r="AJ181" s="156"/>
      <c r="AK181" s="157"/>
      <c r="AM181" s="158"/>
      <c r="AN181" s="155" t="str">
        <f t="shared" si="9"/>
        <v xml:space="preserve"> </v>
      </c>
      <c r="AO181" s="156"/>
      <c r="AP181" s="157"/>
      <c r="AQ181" s="161"/>
      <c r="AR181" s="160" t="str">
        <f t="shared" si="12"/>
        <v xml:space="preserve"> </v>
      </c>
    </row>
    <row r="182" spans="1:44">
      <c r="A182" s="71"/>
      <c r="B182" s="142"/>
      <c r="C182" s="143"/>
      <c r="D182" s="143"/>
      <c r="E182" s="143"/>
      <c r="F182" s="144"/>
      <c r="G182" s="142"/>
      <c r="H182" s="144" t="str">
        <f>IF(OR(ISBLANK(I182),ISBLANK(AQ182))," ",IFERROR(VLOOKUP(CONCATENATE(I182,AQ182),Prestaciones!$E$1:$H$488,4,FALSE),IFERROR(VLOOKUP(CONCATENATE(LEFT(I182,6),AQ182),Prestaciones!$E$491:$H$836,4,FALSE),"La prestación no corresponde al grupo poblacional")))</f>
        <v xml:space="preserve"> </v>
      </c>
      <c r="I182" s="145"/>
      <c r="J182" s="145" t="str">
        <f>IF(OR(ISBLANK(I182),ISBLANK(AQ182))," ",IFERROR(VLOOKUP(CONCATENATE(I182,AQ182),Prestaciones!$E$1:$G$488,3,FALSE),IFERROR(VLOOKUP(CONCATENATE(LEFT(I182,6),AQ182),Prestaciones!$E$491:$H$836,3,FALSE),"La prestación no corresponde al grupo poblacional")))</f>
        <v xml:space="preserve"> </v>
      </c>
      <c r="K182" s="146"/>
      <c r="L182" s="146"/>
      <c r="M182" s="147"/>
      <c r="N182" s="148"/>
      <c r="O182" s="149"/>
      <c r="P182" s="150"/>
      <c r="Q182" s="151"/>
      <c r="R182" s="151"/>
      <c r="S182" s="151"/>
      <c r="T182" s="147"/>
      <c r="U182" s="147"/>
      <c r="V182" s="147"/>
      <c r="W182" s="149"/>
      <c r="X182" s="149"/>
      <c r="Y182" s="147"/>
      <c r="Z182" s="147"/>
      <c r="AA182" s="147"/>
      <c r="AB182" s="147"/>
      <c r="AC182" s="147"/>
      <c r="AD182" s="147"/>
      <c r="AE182" s="152"/>
      <c r="AF182" s="153" t="str">
        <f t="shared" si="10"/>
        <v xml:space="preserve"> </v>
      </c>
      <c r="AG182" s="154" t="str">
        <f t="shared" si="11"/>
        <v>Ingresar fuente de información</v>
      </c>
      <c r="AH182" s="134"/>
      <c r="AI182" s="155"/>
      <c r="AJ182" s="156"/>
      <c r="AK182" s="157"/>
      <c r="AL182" s="78"/>
      <c r="AM182" s="162"/>
      <c r="AN182" s="155" t="str">
        <f t="shared" si="9"/>
        <v xml:space="preserve"> </v>
      </c>
      <c r="AO182" s="156"/>
      <c r="AP182" s="157"/>
      <c r="AQ182" s="161"/>
      <c r="AR182" s="160" t="str">
        <f t="shared" si="12"/>
        <v xml:space="preserve"> </v>
      </c>
    </row>
    <row r="183" spans="1:44">
      <c r="A183" s="71"/>
      <c r="B183" s="142"/>
      <c r="C183" s="143"/>
      <c r="D183" s="143"/>
      <c r="E183" s="143"/>
      <c r="F183" s="144"/>
      <c r="G183" s="142"/>
      <c r="H183" s="144" t="str">
        <f>IF(OR(ISBLANK(I183),ISBLANK(AQ183))," ",IFERROR(VLOOKUP(CONCATENATE(I183,AQ183),Prestaciones!$E$1:$H$488,4,FALSE),IFERROR(VLOOKUP(CONCATENATE(LEFT(I183,6),AQ183),Prestaciones!$E$491:$H$836,4,FALSE),"La prestación no corresponde al grupo poblacional")))</f>
        <v xml:space="preserve"> </v>
      </c>
      <c r="I183" s="145"/>
      <c r="J183" s="145" t="str">
        <f>IF(OR(ISBLANK(I183),ISBLANK(AQ183))," ",IFERROR(VLOOKUP(CONCATENATE(I183,AQ183),Prestaciones!$E$1:$G$488,3,FALSE),IFERROR(VLOOKUP(CONCATENATE(LEFT(I183,6),AQ183),Prestaciones!$E$491:$H$836,3,FALSE),"La prestación no corresponde al grupo poblacional")))</f>
        <v xml:space="preserve"> </v>
      </c>
      <c r="K183" s="146"/>
      <c r="L183" s="146"/>
      <c r="M183" s="147"/>
      <c r="N183" s="148"/>
      <c r="O183" s="149"/>
      <c r="P183" s="150"/>
      <c r="Q183" s="151"/>
      <c r="R183" s="151"/>
      <c r="S183" s="151"/>
      <c r="T183" s="147"/>
      <c r="U183" s="147"/>
      <c r="V183" s="147"/>
      <c r="W183" s="149"/>
      <c r="X183" s="149"/>
      <c r="Y183" s="147"/>
      <c r="Z183" s="147"/>
      <c r="AA183" s="147"/>
      <c r="AB183" s="147"/>
      <c r="AC183" s="147"/>
      <c r="AD183" s="147"/>
      <c r="AE183" s="152"/>
      <c r="AF183" s="153" t="str">
        <f t="shared" si="10"/>
        <v xml:space="preserve"> </v>
      </c>
      <c r="AG183" s="154" t="str">
        <f t="shared" si="11"/>
        <v>Ingresar fuente de información</v>
      </c>
      <c r="AH183" s="134"/>
      <c r="AI183" s="155"/>
      <c r="AJ183" s="156"/>
      <c r="AK183" s="157"/>
      <c r="AM183" s="158"/>
      <c r="AN183" s="155" t="str">
        <f t="shared" si="9"/>
        <v xml:space="preserve"> </v>
      </c>
      <c r="AO183" s="156"/>
      <c r="AP183" s="157"/>
      <c r="AQ183" s="161"/>
      <c r="AR183" s="160" t="str">
        <f t="shared" si="12"/>
        <v xml:space="preserve"> </v>
      </c>
    </row>
    <row r="184" spans="1:44">
      <c r="A184" s="71"/>
      <c r="B184" s="142"/>
      <c r="C184" s="143"/>
      <c r="D184" s="143"/>
      <c r="E184" s="143"/>
      <c r="F184" s="144"/>
      <c r="G184" s="142"/>
      <c r="H184" s="144" t="str">
        <f>IF(OR(ISBLANK(I184),ISBLANK(AQ184))," ",IFERROR(VLOOKUP(CONCATENATE(I184,AQ184),Prestaciones!$E$1:$H$488,4,FALSE),IFERROR(VLOOKUP(CONCATENATE(LEFT(I184,6),AQ184),Prestaciones!$E$491:$H$836,4,FALSE),"La prestación no corresponde al grupo poblacional")))</f>
        <v xml:space="preserve"> </v>
      </c>
      <c r="I184" s="145"/>
      <c r="J184" s="145" t="str">
        <f>IF(OR(ISBLANK(I184),ISBLANK(AQ184))," ",IFERROR(VLOOKUP(CONCATENATE(I184,AQ184),Prestaciones!$E$1:$G$488,3,FALSE),IFERROR(VLOOKUP(CONCATENATE(LEFT(I184,6),AQ184),Prestaciones!$E$491:$H$836,3,FALSE),"La prestación no corresponde al grupo poblacional")))</f>
        <v xml:space="preserve"> </v>
      </c>
      <c r="K184" s="146"/>
      <c r="L184" s="146"/>
      <c r="M184" s="147"/>
      <c r="N184" s="148"/>
      <c r="O184" s="149"/>
      <c r="P184" s="150"/>
      <c r="Q184" s="151"/>
      <c r="R184" s="151"/>
      <c r="S184" s="151"/>
      <c r="T184" s="147"/>
      <c r="U184" s="147"/>
      <c r="V184" s="147"/>
      <c r="W184" s="149"/>
      <c r="X184" s="149"/>
      <c r="Y184" s="147"/>
      <c r="Z184" s="147"/>
      <c r="AA184" s="147"/>
      <c r="AB184" s="147"/>
      <c r="AC184" s="147"/>
      <c r="AD184" s="147"/>
      <c r="AE184" s="152"/>
      <c r="AF184" s="153" t="str">
        <f t="shared" si="10"/>
        <v xml:space="preserve"> </v>
      </c>
      <c r="AG184" s="154" t="str">
        <f t="shared" si="11"/>
        <v>Ingresar fuente de información</v>
      </c>
      <c r="AH184" s="134"/>
      <c r="AI184" s="155"/>
      <c r="AJ184" s="156"/>
      <c r="AK184" s="157"/>
      <c r="AM184" s="158"/>
      <c r="AN184" s="155" t="str">
        <f t="shared" si="9"/>
        <v xml:space="preserve"> </v>
      </c>
      <c r="AO184" s="156"/>
      <c r="AP184" s="157"/>
      <c r="AQ184" s="161"/>
      <c r="AR184" s="160" t="str">
        <f t="shared" si="12"/>
        <v xml:space="preserve"> </v>
      </c>
    </row>
    <row r="185" spans="1:44">
      <c r="A185" s="71"/>
      <c r="B185" s="142"/>
      <c r="C185" s="143"/>
      <c r="D185" s="143"/>
      <c r="E185" s="143"/>
      <c r="F185" s="144"/>
      <c r="G185" s="142"/>
      <c r="H185" s="144" t="str">
        <f>IF(OR(ISBLANK(I185),ISBLANK(AQ185))," ",IFERROR(VLOOKUP(CONCATENATE(I185,AQ185),Prestaciones!$E$1:$H$488,4,FALSE),IFERROR(VLOOKUP(CONCATENATE(LEFT(I185,6),AQ185),Prestaciones!$E$491:$H$836,4,FALSE),"La prestación no corresponde al grupo poblacional")))</f>
        <v xml:space="preserve"> </v>
      </c>
      <c r="I185" s="145"/>
      <c r="J185" s="145" t="str">
        <f>IF(OR(ISBLANK(I185),ISBLANK(AQ185))," ",IFERROR(VLOOKUP(CONCATENATE(I185,AQ185),Prestaciones!$E$1:$G$488,3,FALSE),IFERROR(VLOOKUP(CONCATENATE(LEFT(I185,6),AQ185),Prestaciones!$E$491:$H$836,3,FALSE),"La prestación no corresponde al grupo poblacional")))</f>
        <v xml:space="preserve"> </v>
      </c>
      <c r="K185" s="146"/>
      <c r="L185" s="146"/>
      <c r="M185" s="147"/>
      <c r="N185" s="148"/>
      <c r="O185" s="149"/>
      <c r="P185" s="150"/>
      <c r="Q185" s="151"/>
      <c r="R185" s="151"/>
      <c r="S185" s="151"/>
      <c r="T185" s="147"/>
      <c r="U185" s="147"/>
      <c r="V185" s="147"/>
      <c r="W185" s="149"/>
      <c r="X185" s="149"/>
      <c r="Y185" s="147"/>
      <c r="Z185" s="147"/>
      <c r="AA185" s="147"/>
      <c r="AB185" s="147"/>
      <c r="AC185" s="147"/>
      <c r="AD185" s="147"/>
      <c r="AE185" s="152"/>
      <c r="AF185" s="153" t="str">
        <f t="shared" si="10"/>
        <v xml:space="preserve"> </v>
      </c>
      <c r="AG185" s="154" t="str">
        <f t="shared" si="11"/>
        <v>Ingresar fuente de información</v>
      </c>
      <c r="AH185" s="134"/>
      <c r="AI185" s="155"/>
      <c r="AJ185" s="156"/>
      <c r="AK185" s="157"/>
      <c r="AM185" s="158"/>
      <c r="AN185" s="155" t="str">
        <f t="shared" si="9"/>
        <v xml:space="preserve"> </v>
      </c>
      <c r="AO185" s="156"/>
      <c r="AP185" s="157"/>
      <c r="AQ185" s="161"/>
      <c r="AR185" s="160" t="str">
        <f t="shared" si="12"/>
        <v xml:space="preserve"> </v>
      </c>
    </row>
    <row r="186" spans="1:44">
      <c r="A186" s="71"/>
      <c r="B186" s="142"/>
      <c r="C186" s="143"/>
      <c r="D186" s="143"/>
      <c r="E186" s="143"/>
      <c r="F186" s="144"/>
      <c r="G186" s="142"/>
      <c r="H186" s="144" t="str">
        <f>IF(OR(ISBLANK(I186),ISBLANK(AQ186))," ",IFERROR(VLOOKUP(CONCATENATE(I186,AQ186),Prestaciones!$E$1:$H$488,4,FALSE),IFERROR(VLOOKUP(CONCATENATE(LEFT(I186,6),AQ186),Prestaciones!$E$491:$H$836,4,FALSE),"La prestación no corresponde al grupo poblacional")))</f>
        <v xml:space="preserve"> </v>
      </c>
      <c r="I186" s="145"/>
      <c r="J186" s="145" t="str">
        <f>IF(OR(ISBLANK(I186),ISBLANK(AQ186))," ",IFERROR(VLOOKUP(CONCATENATE(I186,AQ186),Prestaciones!$E$1:$G$488,3,FALSE),IFERROR(VLOOKUP(CONCATENATE(LEFT(I186,6),AQ186),Prestaciones!$E$491:$H$836,3,FALSE),"La prestación no corresponde al grupo poblacional")))</f>
        <v xml:space="preserve"> </v>
      </c>
      <c r="K186" s="146"/>
      <c r="L186" s="146"/>
      <c r="M186" s="147"/>
      <c r="N186" s="148"/>
      <c r="O186" s="149"/>
      <c r="P186" s="150"/>
      <c r="Q186" s="151"/>
      <c r="R186" s="151"/>
      <c r="S186" s="151"/>
      <c r="T186" s="147"/>
      <c r="U186" s="147"/>
      <c r="V186" s="147"/>
      <c r="W186" s="149"/>
      <c r="X186" s="149"/>
      <c r="Y186" s="147"/>
      <c r="Z186" s="147"/>
      <c r="AA186" s="147"/>
      <c r="AB186" s="147"/>
      <c r="AC186" s="147"/>
      <c r="AD186" s="147"/>
      <c r="AE186" s="152"/>
      <c r="AF186" s="153" t="str">
        <f t="shared" si="10"/>
        <v xml:space="preserve"> </v>
      </c>
      <c r="AG186" s="154" t="str">
        <f t="shared" si="11"/>
        <v>Ingresar fuente de información</v>
      </c>
      <c r="AH186" s="134"/>
      <c r="AI186" s="155"/>
      <c r="AJ186" s="156"/>
      <c r="AK186" s="157"/>
      <c r="AM186" s="158"/>
      <c r="AN186" s="155" t="str">
        <f t="shared" si="9"/>
        <v xml:space="preserve"> </v>
      </c>
      <c r="AO186" s="156"/>
      <c r="AP186" s="157"/>
      <c r="AQ186" s="161"/>
      <c r="AR186" s="160" t="str">
        <f t="shared" si="12"/>
        <v xml:space="preserve"> </v>
      </c>
    </row>
    <row r="187" spans="1:44">
      <c r="A187" s="71"/>
      <c r="B187" s="142"/>
      <c r="C187" s="143"/>
      <c r="D187" s="143"/>
      <c r="E187" s="143"/>
      <c r="F187" s="144"/>
      <c r="G187" s="142"/>
      <c r="H187" s="144" t="str">
        <f>IF(OR(ISBLANK(I187),ISBLANK(AQ187))," ",IFERROR(VLOOKUP(CONCATENATE(I187,AQ187),Prestaciones!$E$1:$H$488,4,FALSE),IFERROR(VLOOKUP(CONCATENATE(LEFT(I187,6),AQ187),Prestaciones!$E$491:$H$836,4,FALSE),"La prestación no corresponde al grupo poblacional")))</f>
        <v xml:space="preserve"> </v>
      </c>
      <c r="I187" s="145"/>
      <c r="J187" s="145" t="str">
        <f>IF(OR(ISBLANK(I187),ISBLANK(AQ187))," ",IFERROR(VLOOKUP(CONCATENATE(I187,AQ187),Prestaciones!$E$1:$G$488,3,FALSE),IFERROR(VLOOKUP(CONCATENATE(LEFT(I187,6),AQ187),Prestaciones!$E$491:$H$836,3,FALSE),"La prestación no corresponde al grupo poblacional")))</f>
        <v xml:space="preserve"> </v>
      </c>
      <c r="K187" s="146"/>
      <c r="L187" s="146"/>
      <c r="M187" s="147"/>
      <c r="N187" s="148"/>
      <c r="O187" s="149"/>
      <c r="P187" s="150"/>
      <c r="Q187" s="151"/>
      <c r="R187" s="151"/>
      <c r="S187" s="151"/>
      <c r="T187" s="147"/>
      <c r="U187" s="147"/>
      <c r="V187" s="147"/>
      <c r="W187" s="149"/>
      <c r="X187" s="149"/>
      <c r="Y187" s="147"/>
      <c r="Z187" s="147"/>
      <c r="AA187" s="147"/>
      <c r="AB187" s="147"/>
      <c r="AC187" s="147"/>
      <c r="AD187" s="147"/>
      <c r="AE187" s="152"/>
      <c r="AF187" s="153" t="str">
        <f t="shared" si="10"/>
        <v xml:space="preserve"> </v>
      </c>
      <c r="AG187" s="154" t="str">
        <f t="shared" si="11"/>
        <v>Ingresar fuente de información</v>
      </c>
      <c r="AH187" s="134"/>
      <c r="AI187" s="155"/>
      <c r="AJ187" s="156"/>
      <c r="AK187" s="157"/>
      <c r="AM187" s="158"/>
      <c r="AN187" s="155" t="str">
        <f t="shared" si="9"/>
        <v xml:space="preserve"> </v>
      </c>
      <c r="AO187" s="156"/>
      <c r="AP187" s="157"/>
      <c r="AQ187" s="161"/>
      <c r="AR187" s="160" t="str">
        <f t="shared" si="12"/>
        <v xml:space="preserve"> </v>
      </c>
    </row>
    <row r="188" spans="1:44">
      <c r="A188" s="71"/>
      <c r="B188" s="142"/>
      <c r="C188" s="143"/>
      <c r="D188" s="143"/>
      <c r="E188" s="143"/>
      <c r="F188" s="144"/>
      <c r="G188" s="142"/>
      <c r="H188" s="144" t="str">
        <f>IF(OR(ISBLANK(I188),ISBLANK(AQ188))," ",IFERROR(VLOOKUP(CONCATENATE(I188,AQ188),Prestaciones!$E$1:$H$488,4,FALSE),IFERROR(VLOOKUP(CONCATENATE(LEFT(I188,6),AQ188),Prestaciones!$E$491:$H$836,4,FALSE),"La prestación no corresponde al grupo poblacional")))</f>
        <v xml:space="preserve"> </v>
      </c>
      <c r="I188" s="145"/>
      <c r="J188" s="145" t="str">
        <f>IF(OR(ISBLANK(I188),ISBLANK(AQ188))," ",IFERROR(VLOOKUP(CONCATENATE(I188,AQ188),Prestaciones!$E$1:$G$488,3,FALSE),IFERROR(VLOOKUP(CONCATENATE(LEFT(I188,6),AQ188),Prestaciones!$E$491:$H$836,3,FALSE),"La prestación no corresponde al grupo poblacional")))</f>
        <v xml:space="preserve"> </v>
      </c>
      <c r="K188" s="146"/>
      <c r="L188" s="146"/>
      <c r="M188" s="147"/>
      <c r="N188" s="148"/>
      <c r="O188" s="149"/>
      <c r="P188" s="150"/>
      <c r="Q188" s="151"/>
      <c r="R188" s="151"/>
      <c r="S188" s="151"/>
      <c r="T188" s="147"/>
      <c r="U188" s="147"/>
      <c r="V188" s="147"/>
      <c r="W188" s="149"/>
      <c r="X188" s="149"/>
      <c r="Y188" s="147"/>
      <c r="Z188" s="147"/>
      <c r="AA188" s="147"/>
      <c r="AB188" s="147"/>
      <c r="AC188" s="147"/>
      <c r="AD188" s="147"/>
      <c r="AE188" s="152"/>
      <c r="AF188" s="153" t="str">
        <f t="shared" si="10"/>
        <v xml:space="preserve"> </v>
      </c>
      <c r="AG188" s="154" t="str">
        <f t="shared" si="11"/>
        <v>Ingresar fuente de información</v>
      </c>
      <c r="AH188" s="134"/>
      <c r="AI188" s="155"/>
      <c r="AJ188" s="156"/>
      <c r="AK188" s="157"/>
      <c r="AM188" s="158"/>
      <c r="AN188" s="155" t="str">
        <f t="shared" si="9"/>
        <v xml:space="preserve"> </v>
      </c>
      <c r="AO188" s="156"/>
      <c r="AP188" s="157"/>
      <c r="AQ188" s="161"/>
      <c r="AR188" s="160" t="str">
        <f t="shared" si="12"/>
        <v xml:space="preserve"> </v>
      </c>
    </row>
    <row r="189" spans="1:44">
      <c r="A189" s="71"/>
      <c r="B189" s="142"/>
      <c r="C189" s="143"/>
      <c r="D189" s="143"/>
      <c r="E189" s="143"/>
      <c r="F189" s="144"/>
      <c r="G189" s="142"/>
      <c r="H189" s="144" t="str">
        <f>IF(OR(ISBLANK(I189),ISBLANK(AQ189))," ",IFERROR(VLOOKUP(CONCATENATE(I189,AQ189),Prestaciones!$E$1:$H$488,4,FALSE),IFERROR(VLOOKUP(CONCATENATE(LEFT(I189,6),AQ189),Prestaciones!$E$491:$H$836,4,FALSE),"La prestación no corresponde al grupo poblacional")))</f>
        <v xml:space="preserve"> </v>
      </c>
      <c r="I189" s="145"/>
      <c r="J189" s="145" t="str">
        <f>IF(OR(ISBLANK(I189),ISBLANK(AQ189))," ",IFERROR(VLOOKUP(CONCATENATE(I189,AQ189),Prestaciones!$E$1:$G$488,3,FALSE),IFERROR(VLOOKUP(CONCATENATE(LEFT(I189,6),AQ189),Prestaciones!$E$491:$H$836,3,FALSE),"La prestación no corresponde al grupo poblacional")))</f>
        <v xml:space="preserve"> </v>
      </c>
      <c r="K189" s="146"/>
      <c r="L189" s="146"/>
      <c r="M189" s="147"/>
      <c r="N189" s="148"/>
      <c r="O189" s="149"/>
      <c r="P189" s="150"/>
      <c r="Q189" s="151"/>
      <c r="R189" s="151"/>
      <c r="S189" s="151"/>
      <c r="T189" s="147"/>
      <c r="U189" s="147"/>
      <c r="V189" s="147"/>
      <c r="W189" s="149"/>
      <c r="X189" s="149"/>
      <c r="Y189" s="147"/>
      <c r="Z189" s="147"/>
      <c r="AA189" s="147"/>
      <c r="AB189" s="147"/>
      <c r="AC189" s="147"/>
      <c r="AD189" s="147"/>
      <c r="AE189" s="152"/>
      <c r="AF189" s="153" t="str">
        <f t="shared" si="10"/>
        <v xml:space="preserve"> </v>
      </c>
      <c r="AG189" s="154" t="str">
        <f t="shared" si="11"/>
        <v>Ingresar fuente de información</v>
      </c>
      <c r="AH189" s="134"/>
      <c r="AI189" s="155"/>
      <c r="AJ189" s="156"/>
      <c r="AK189" s="157"/>
      <c r="AM189" s="158"/>
      <c r="AN189" s="155" t="str">
        <f t="shared" si="9"/>
        <v xml:space="preserve"> </v>
      </c>
      <c r="AO189" s="156"/>
      <c r="AP189" s="157"/>
      <c r="AQ189" s="161"/>
      <c r="AR189" s="160" t="str">
        <f t="shared" si="12"/>
        <v xml:space="preserve"> </v>
      </c>
    </row>
    <row r="190" spans="1:44">
      <c r="A190" s="71"/>
      <c r="B190" s="142"/>
      <c r="C190" s="143"/>
      <c r="D190" s="143"/>
      <c r="E190" s="143"/>
      <c r="F190" s="144"/>
      <c r="G190" s="142"/>
      <c r="H190" s="144" t="str">
        <f>IF(OR(ISBLANK(I190),ISBLANK(AQ190))," ",IFERROR(VLOOKUP(CONCATENATE(I190,AQ190),Prestaciones!$E$1:$H$488,4,FALSE),IFERROR(VLOOKUP(CONCATENATE(LEFT(I190,6),AQ190),Prestaciones!$E$491:$H$836,4,FALSE),"La prestación no corresponde al grupo poblacional")))</f>
        <v xml:space="preserve"> </v>
      </c>
      <c r="I190" s="145"/>
      <c r="J190" s="145" t="str">
        <f>IF(OR(ISBLANK(I190),ISBLANK(AQ190))," ",IFERROR(VLOOKUP(CONCATENATE(I190,AQ190),Prestaciones!$E$1:$G$488,3,FALSE),IFERROR(VLOOKUP(CONCATENATE(LEFT(I190,6),AQ190),Prestaciones!$E$491:$H$836,3,FALSE),"La prestación no corresponde al grupo poblacional")))</f>
        <v xml:space="preserve"> </v>
      </c>
      <c r="K190" s="146"/>
      <c r="L190" s="146"/>
      <c r="M190" s="147"/>
      <c r="N190" s="148"/>
      <c r="O190" s="149"/>
      <c r="P190" s="150"/>
      <c r="Q190" s="151"/>
      <c r="R190" s="151"/>
      <c r="S190" s="151"/>
      <c r="T190" s="147"/>
      <c r="U190" s="147"/>
      <c r="V190" s="147"/>
      <c r="W190" s="149"/>
      <c r="X190" s="149"/>
      <c r="Y190" s="147"/>
      <c r="Z190" s="147"/>
      <c r="AA190" s="147"/>
      <c r="AB190" s="147"/>
      <c r="AC190" s="147"/>
      <c r="AD190" s="147"/>
      <c r="AE190" s="152"/>
      <c r="AF190" s="153" t="str">
        <f t="shared" si="10"/>
        <v xml:space="preserve"> </v>
      </c>
      <c r="AG190" s="154" t="str">
        <f t="shared" si="11"/>
        <v>Ingresar fuente de información</v>
      </c>
      <c r="AH190" s="134"/>
      <c r="AI190" s="155"/>
      <c r="AJ190" s="156"/>
      <c r="AK190" s="157"/>
      <c r="AM190" s="158"/>
      <c r="AN190" s="155" t="str">
        <f t="shared" si="9"/>
        <v xml:space="preserve"> </v>
      </c>
      <c r="AO190" s="156"/>
      <c r="AP190" s="157"/>
      <c r="AQ190" s="161"/>
      <c r="AR190" s="160" t="str">
        <f t="shared" si="12"/>
        <v xml:space="preserve"> </v>
      </c>
    </row>
    <row r="191" spans="1:44">
      <c r="A191" s="71"/>
      <c r="B191" s="142"/>
      <c r="C191" s="143"/>
      <c r="D191" s="143"/>
      <c r="E191" s="143"/>
      <c r="F191" s="144"/>
      <c r="G191" s="142"/>
      <c r="H191" s="144" t="str">
        <f>IF(OR(ISBLANK(I191),ISBLANK(AQ191))," ",IFERROR(VLOOKUP(CONCATENATE(I191,AQ191),Prestaciones!$E$1:$H$488,4,FALSE),IFERROR(VLOOKUP(CONCATENATE(LEFT(I191,6),AQ191),Prestaciones!$E$491:$H$836,4,FALSE),"La prestación no corresponde al grupo poblacional")))</f>
        <v xml:space="preserve"> </v>
      </c>
      <c r="I191" s="145"/>
      <c r="J191" s="145" t="str">
        <f>IF(OR(ISBLANK(I191),ISBLANK(AQ191))," ",IFERROR(VLOOKUP(CONCATENATE(I191,AQ191),Prestaciones!$E$1:$G$488,3,FALSE),IFERROR(VLOOKUP(CONCATENATE(LEFT(I191,6),AQ191),Prestaciones!$E$491:$H$836,3,FALSE),"La prestación no corresponde al grupo poblacional")))</f>
        <v xml:space="preserve"> </v>
      </c>
      <c r="K191" s="146"/>
      <c r="L191" s="146"/>
      <c r="M191" s="147"/>
      <c r="N191" s="148"/>
      <c r="O191" s="149"/>
      <c r="P191" s="150"/>
      <c r="Q191" s="151"/>
      <c r="R191" s="151"/>
      <c r="S191" s="151"/>
      <c r="T191" s="147"/>
      <c r="U191" s="147"/>
      <c r="V191" s="147"/>
      <c r="W191" s="149"/>
      <c r="X191" s="149"/>
      <c r="Y191" s="147"/>
      <c r="Z191" s="147"/>
      <c r="AA191" s="147"/>
      <c r="AB191" s="147"/>
      <c r="AC191" s="147"/>
      <c r="AD191" s="147"/>
      <c r="AE191" s="152"/>
      <c r="AF191" s="153" t="str">
        <f t="shared" si="10"/>
        <v xml:space="preserve"> </v>
      </c>
      <c r="AG191" s="154" t="str">
        <f t="shared" si="11"/>
        <v>Ingresar fuente de información</v>
      </c>
      <c r="AH191" s="134"/>
      <c r="AI191" s="155"/>
      <c r="AJ191" s="156"/>
      <c r="AK191" s="157"/>
      <c r="AM191" s="158"/>
      <c r="AN191" s="155" t="str">
        <f t="shared" si="9"/>
        <v xml:space="preserve"> </v>
      </c>
      <c r="AO191" s="156"/>
      <c r="AP191" s="157"/>
      <c r="AQ191" s="161"/>
      <c r="AR191" s="160" t="str">
        <f t="shared" si="12"/>
        <v xml:space="preserve"> </v>
      </c>
    </row>
    <row r="192" spans="1:44">
      <c r="A192" s="71"/>
      <c r="B192" s="142"/>
      <c r="C192" s="143"/>
      <c r="D192" s="143"/>
      <c r="E192" s="143"/>
      <c r="F192" s="144"/>
      <c r="G192" s="142"/>
      <c r="H192" s="144" t="str">
        <f>IF(OR(ISBLANK(I192),ISBLANK(AQ192))," ",IFERROR(VLOOKUP(CONCATENATE(I192,AQ192),Prestaciones!$E$1:$H$488,4,FALSE),IFERROR(VLOOKUP(CONCATENATE(LEFT(I192,6),AQ192),Prestaciones!$E$491:$H$836,4,FALSE),"La prestación no corresponde al grupo poblacional")))</f>
        <v xml:space="preserve"> </v>
      </c>
      <c r="I192" s="145"/>
      <c r="J192" s="145" t="str">
        <f>IF(OR(ISBLANK(I192),ISBLANK(AQ192))," ",IFERROR(VLOOKUP(CONCATENATE(I192,AQ192),Prestaciones!$E$1:$G$488,3,FALSE),IFERROR(VLOOKUP(CONCATENATE(LEFT(I192,6),AQ192),Prestaciones!$E$491:$H$836,3,FALSE),"La prestación no corresponde al grupo poblacional")))</f>
        <v xml:space="preserve"> </v>
      </c>
      <c r="K192" s="146"/>
      <c r="L192" s="146"/>
      <c r="M192" s="147"/>
      <c r="N192" s="148"/>
      <c r="O192" s="149"/>
      <c r="P192" s="150"/>
      <c r="Q192" s="151"/>
      <c r="R192" s="151"/>
      <c r="S192" s="151"/>
      <c r="T192" s="147"/>
      <c r="U192" s="147"/>
      <c r="V192" s="147"/>
      <c r="W192" s="149"/>
      <c r="X192" s="149"/>
      <c r="Y192" s="147"/>
      <c r="Z192" s="147"/>
      <c r="AA192" s="147"/>
      <c r="AB192" s="147"/>
      <c r="AC192" s="147"/>
      <c r="AD192" s="147"/>
      <c r="AE192" s="152"/>
      <c r="AF192" s="153" t="str">
        <f t="shared" si="10"/>
        <v xml:space="preserve"> </v>
      </c>
      <c r="AG192" s="154" t="str">
        <f t="shared" si="11"/>
        <v>Ingresar fuente de información</v>
      </c>
      <c r="AH192" s="134"/>
      <c r="AI192" s="155"/>
      <c r="AJ192" s="156"/>
      <c r="AK192" s="157"/>
      <c r="AM192" s="158"/>
      <c r="AN192" s="155" t="str">
        <f t="shared" si="9"/>
        <v xml:space="preserve"> </v>
      </c>
      <c r="AO192" s="156"/>
      <c r="AP192" s="157"/>
      <c r="AQ192" s="161"/>
      <c r="AR192" s="160" t="str">
        <f t="shared" si="12"/>
        <v xml:space="preserve"> </v>
      </c>
    </row>
    <row r="193" spans="1:44">
      <c r="A193" s="71"/>
      <c r="B193" s="142"/>
      <c r="C193" s="143"/>
      <c r="D193" s="143"/>
      <c r="E193" s="143"/>
      <c r="F193" s="144"/>
      <c r="G193" s="142"/>
      <c r="H193" s="144" t="str">
        <f>IF(OR(ISBLANK(I193),ISBLANK(AQ193))," ",IFERROR(VLOOKUP(CONCATENATE(I193,AQ193),Prestaciones!$E$1:$H$488,4,FALSE),IFERROR(VLOOKUP(CONCATENATE(LEFT(I193,6),AQ193),Prestaciones!$E$491:$H$836,4,FALSE),"La prestación no corresponde al grupo poblacional")))</f>
        <v xml:space="preserve"> </v>
      </c>
      <c r="I193" s="145"/>
      <c r="J193" s="145" t="str">
        <f>IF(OR(ISBLANK(I193),ISBLANK(AQ193))," ",IFERROR(VLOOKUP(CONCATENATE(I193,AQ193),Prestaciones!$E$1:$G$488,3,FALSE),IFERROR(VLOOKUP(CONCATENATE(LEFT(I193,6),AQ193),Prestaciones!$E$491:$H$836,3,FALSE),"La prestación no corresponde al grupo poblacional")))</f>
        <v xml:space="preserve"> </v>
      </c>
      <c r="K193" s="146"/>
      <c r="L193" s="146"/>
      <c r="M193" s="147"/>
      <c r="N193" s="148"/>
      <c r="O193" s="149"/>
      <c r="P193" s="150"/>
      <c r="Q193" s="151"/>
      <c r="R193" s="151"/>
      <c r="S193" s="151"/>
      <c r="T193" s="147"/>
      <c r="U193" s="147"/>
      <c r="V193" s="147"/>
      <c r="W193" s="149"/>
      <c r="X193" s="149"/>
      <c r="Y193" s="147"/>
      <c r="Z193" s="147"/>
      <c r="AA193" s="147"/>
      <c r="AB193" s="147"/>
      <c r="AC193" s="147"/>
      <c r="AD193" s="147"/>
      <c r="AE193" s="152"/>
      <c r="AF193" s="153" t="str">
        <f t="shared" si="10"/>
        <v xml:space="preserve"> </v>
      </c>
      <c r="AG193" s="154" t="str">
        <f t="shared" si="11"/>
        <v>Ingresar fuente de información</v>
      </c>
      <c r="AH193" s="134"/>
      <c r="AI193" s="155"/>
      <c r="AJ193" s="156"/>
      <c r="AK193" s="157"/>
      <c r="AM193" s="158"/>
      <c r="AN193" s="155" t="str">
        <f t="shared" si="9"/>
        <v xml:space="preserve"> </v>
      </c>
      <c r="AO193" s="156"/>
      <c r="AP193" s="157"/>
      <c r="AQ193" s="161"/>
      <c r="AR193" s="160" t="str">
        <f t="shared" si="12"/>
        <v xml:space="preserve"> </v>
      </c>
    </row>
    <row r="194" spans="1:44">
      <c r="A194" s="71"/>
      <c r="B194" s="142"/>
      <c r="C194" s="143"/>
      <c r="D194" s="143"/>
      <c r="E194" s="143"/>
      <c r="F194" s="144"/>
      <c r="G194" s="142"/>
      <c r="H194" s="144" t="str">
        <f>IF(OR(ISBLANK(I194),ISBLANK(AQ194))," ",IFERROR(VLOOKUP(CONCATENATE(I194,AQ194),Prestaciones!$E$1:$H$488,4,FALSE),IFERROR(VLOOKUP(CONCATENATE(LEFT(I194,6),AQ194),Prestaciones!$E$491:$H$836,4,FALSE),"La prestación no corresponde al grupo poblacional")))</f>
        <v xml:space="preserve"> </v>
      </c>
      <c r="I194" s="145"/>
      <c r="J194" s="145" t="str">
        <f>IF(OR(ISBLANK(I194),ISBLANK(AQ194))," ",IFERROR(VLOOKUP(CONCATENATE(I194,AQ194),Prestaciones!$E$1:$G$488,3,FALSE),IFERROR(VLOOKUP(CONCATENATE(LEFT(I194,6),AQ194),Prestaciones!$E$491:$H$836,3,FALSE),"La prestación no corresponde al grupo poblacional")))</f>
        <v xml:space="preserve"> </v>
      </c>
      <c r="K194" s="146"/>
      <c r="L194" s="146"/>
      <c r="M194" s="147"/>
      <c r="N194" s="148"/>
      <c r="O194" s="149"/>
      <c r="P194" s="150"/>
      <c r="Q194" s="151"/>
      <c r="R194" s="151"/>
      <c r="S194" s="151"/>
      <c r="T194" s="147"/>
      <c r="U194" s="147"/>
      <c r="V194" s="147"/>
      <c r="W194" s="149"/>
      <c r="X194" s="149"/>
      <c r="Y194" s="147"/>
      <c r="Z194" s="147"/>
      <c r="AA194" s="147"/>
      <c r="AB194" s="147"/>
      <c r="AC194" s="147"/>
      <c r="AD194" s="147"/>
      <c r="AE194" s="152"/>
      <c r="AF194" s="153" t="str">
        <f t="shared" si="10"/>
        <v xml:space="preserve"> </v>
      </c>
      <c r="AG194" s="154" t="str">
        <f t="shared" si="11"/>
        <v>Ingresar fuente de información</v>
      </c>
      <c r="AH194" s="134"/>
      <c r="AI194" s="155"/>
      <c r="AJ194" s="156"/>
      <c r="AK194" s="157"/>
      <c r="AM194" s="158"/>
      <c r="AN194" s="155" t="str">
        <f t="shared" si="9"/>
        <v xml:space="preserve"> </v>
      </c>
      <c r="AO194" s="156"/>
      <c r="AP194" s="157"/>
      <c r="AQ194" s="161"/>
      <c r="AR194" s="160" t="str">
        <f t="shared" si="12"/>
        <v xml:space="preserve"> </v>
      </c>
    </row>
    <row r="195" spans="1:44">
      <c r="A195" s="71"/>
      <c r="B195" s="142"/>
      <c r="C195" s="143"/>
      <c r="D195" s="143"/>
      <c r="E195" s="143"/>
      <c r="F195" s="144"/>
      <c r="G195" s="142"/>
      <c r="H195" s="144" t="str">
        <f>IF(OR(ISBLANK(I195),ISBLANK(AQ195))," ",IFERROR(VLOOKUP(CONCATENATE(I195,AQ195),Prestaciones!$E$1:$H$488,4,FALSE),IFERROR(VLOOKUP(CONCATENATE(LEFT(I195,6),AQ195),Prestaciones!$E$491:$H$836,4,FALSE),"La prestación no corresponde al grupo poblacional")))</f>
        <v xml:space="preserve"> </v>
      </c>
      <c r="I195" s="145"/>
      <c r="J195" s="145" t="str">
        <f>IF(OR(ISBLANK(I195),ISBLANK(AQ195))," ",IFERROR(VLOOKUP(CONCATENATE(I195,AQ195),Prestaciones!$E$1:$G$488,3,FALSE),IFERROR(VLOOKUP(CONCATENATE(LEFT(I195,6),AQ195),Prestaciones!$E$491:$H$836,3,FALSE),"La prestación no corresponde al grupo poblacional")))</f>
        <v xml:space="preserve"> </v>
      </c>
      <c r="K195" s="146"/>
      <c r="L195" s="146"/>
      <c r="M195" s="147"/>
      <c r="N195" s="148"/>
      <c r="O195" s="149"/>
      <c r="P195" s="150"/>
      <c r="Q195" s="151"/>
      <c r="R195" s="151"/>
      <c r="S195" s="151"/>
      <c r="T195" s="147"/>
      <c r="U195" s="147"/>
      <c r="V195" s="147"/>
      <c r="W195" s="149"/>
      <c r="X195" s="149"/>
      <c r="Y195" s="147"/>
      <c r="Z195" s="147"/>
      <c r="AA195" s="147"/>
      <c r="AB195" s="147"/>
      <c r="AC195" s="147"/>
      <c r="AD195" s="147"/>
      <c r="AE195" s="152"/>
      <c r="AF195" s="153" t="str">
        <f t="shared" si="10"/>
        <v xml:space="preserve"> </v>
      </c>
      <c r="AG195" s="154" t="str">
        <f t="shared" si="11"/>
        <v>Ingresar fuente de información</v>
      </c>
      <c r="AH195" s="134"/>
      <c r="AI195" s="155"/>
      <c r="AJ195" s="156"/>
      <c r="AK195" s="157"/>
      <c r="AM195" s="158"/>
      <c r="AN195" s="155" t="str">
        <f t="shared" si="9"/>
        <v xml:space="preserve"> </v>
      </c>
      <c r="AO195" s="156"/>
      <c r="AP195" s="157"/>
      <c r="AQ195" s="161"/>
      <c r="AR195" s="160" t="str">
        <f t="shared" si="12"/>
        <v xml:space="preserve"> </v>
      </c>
    </row>
    <row r="196" spans="1:44">
      <c r="A196" s="71"/>
      <c r="B196" s="142"/>
      <c r="C196" s="143"/>
      <c r="D196" s="143"/>
      <c r="E196" s="143"/>
      <c r="F196" s="144"/>
      <c r="G196" s="142"/>
      <c r="H196" s="144" t="str">
        <f>IF(OR(ISBLANK(I196),ISBLANK(AQ196))," ",IFERROR(VLOOKUP(CONCATENATE(I196,AQ196),Prestaciones!$E$1:$H$488,4,FALSE),IFERROR(VLOOKUP(CONCATENATE(LEFT(I196,6),AQ196),Prestaciones!$E$491:$H$836,4,FALSE),"La prestación no corresponde al grupo poblacional")))</f>
        <v xml:space="preserve"> </v>
      </c>
      <c r="I196" s="145"/>
      <c r="J196" s="145" t="str">
        <f>IF(OR(ISBLANK(I196),ISBLANK(AQ196))," ",IFERROR(VLOOKUP(CONCATENATE(I196,AQ196),Prestaciones!$E$1:$G$488,3,FALSE),IFERROR(VLOOKUP(CONCATENATE(LEFT(I196,6),AQ196),Prestaciones!$E$491:$H$836,3,FALSE),"La prestación no corresponde al grupo poblacional")))</f>
        <v xml:space="preserve"> </v>
      </c>
      <c r="K196" s="146"/>
      <c r="L196" s="146"/>
      <c r="M196" s="147"/>
      <c r="N196" s="148"/>
      <c r="O196" s="149"/>
      <c r="P196" s="150"/>
      <c r="Q196" s="151"/>
      <c r="R196" s="151"/>
      <c r="S196" s="151"/>
      <c r="T196" s="147"/>
      <c r="U196" s="147"/>
      <c r="V196" s="147"/>
      <c r="W196" s="149"/>
      <c r="X196" s="149"/>
      <c r="Y196" s="147"/>
      <c r="Z196" s="147"/>
      <c r="AA196" s="147"/>
      <c r="AB196" s="147"/>
      <c r="AC196" s="147"/>
      <c r="AD196" s="147"/>
      <c r="AE196" s="152"/>
      <c r="AF196" s="153" t="str">
        <f t="shared" si="10"/>
        <v xml:space="preserve"> </v>
      </c>
      <c r="AG196" s="154" t="str">
        <f t="shared" si="11"/>
        <v>Ingresar fuente de información</v>
      </c>
      <c r="AH196" s="134"/>
      <c r="AI196" s="155"/>
      <c r="AJ196" s="156"/>
      <c r="AK196" s="157"/>
      <c r="AM196" s="158"/>
      <c r="AN196" s="155" t="str">
        <f t="shared" si="9"/>
        <v xml:space="preserve"> </v>
      </c>
      <c r="AO196" s="156"/>
      <c r="AP196" s="157"/>
      <c r="AQ196" s="161"/>
      <c r="AR196" s="160" t="str">
        <f t="shared" si="12"/>
        <v xml:space="preserve"> </v>
      </c>
    </row>
    <row r="197" spans="1:44">
      <c r="A197" s="71"/>
      <c r="B197" s="142"/>
      <c r="C197" s="143"/>
      <c r="D197" s="143"/>
      <c r="E197" s="143"/>
      <c r="F197" s="144"/>
      <c r="G197" s="142"/>
      <c r="H197" s="144" t="str">
        <f>IF(OR(ISBLANK(I197),ISBLANK(AQ197))," ",IFERROR(VLOOKUP(CONCATENATE(I197,AQ197),Prestaciones!$E$1:$H$488,4,FALSE),IFERROR(VLOOKUP(CONCATENATE(LEFT(I197,6),AQ197),Prestaciones!$E$491:$H$836,4,FALSE),"La prestación no corresponde al grupo poblacional")))</f>
        <v xml:space="preserve"> </v>
      </c>
      <c r="I197" s="145"/>
      <c r="J197" s="145" t="str">
        <f>IF(OR(ISBLANK(I197),ISBLANK(AQ197))," ",IFERROR(VLOOKUP(CONCATENATE(I197,AQ197),Prestaciones!$E$1:$G$488,3,FALSE),IFERROR(VLOOKUP(CONCATENATE(LEFT(I197,6),AQ197),Prestaciones!$E$491:$H$836,3,FALSE),"La prestación no corresponde al grupo poblacional")))</f>
        <v xml:space="preserve"> </v>
      </c>
      <c r="K197" s="146"/>
      <c r="L197" s="146"/>
      <c r="M197" s="147"/>
      <c r="N197" s="148"/>
      <c r="O197" s="149"/>
      <c r="P197" s="150"/>
      <c r="Q197" s="151"/>
      <c r="R197" s="151"/>
      <c r="S197" s="151"/>
      <c r="T197" s="147"/>
      <c r="U197" s="147"/>
      <c r="V197" s="147"/>
      <c r="W197" s="149"/>
      <c r="X197" s="149"/>
      <c r="Y197" s="147"/>
      <c r="Z197" s="147"/>
      <c r="AA197" s="147"/>
      <c r="AB197" s="147"/>
      <c r="AC197" s="147"/>
      <c r="AD197" s="147"/>
      <c r="AE197" s="152"/>
      <c r="AF197" s="153" t="str">
        <f t="shared" si="10"/>
        <v xml:space="preserve"> </v>
      </c>
      <c r="AG197" s="154" t="str">
        <f t="shared" si="11"/>
        <v>Ingresar fuente de información</v>
      </c>
      <c r="AH197" s="134"/>
      <c r="AI197" s="155"/>
      <c r="AJ197" s="156"/>
      <c r="AK197" s="157"/>
      <c r="AM197" s="158"/>
      <c r="AN197" s="155" t="str">
        <f t="shared" si="9"/>
        <v xml:space="preserve"> </v>
      </c>
      <c r="AO197" s="156"/>
      <c r="AP197" s="157"/>
      <c r="AQ197" s="161"/>
      <c r="AR197" s="160" t="str">
        <f t="shared" si="12"/>
        <v xml:space="preserve"> </v>
      </c>
    </row>
    <row r="198" spans="1:44">
      <c r="A198" s="71"/>
      <c r="B198" s="142"/>
      <c r="C198" s="143"/>
      <c r="D198" s="143"/>
      <c r="E198" s="143"/>
      <c r="F198" s="144"/>
      <c r="G198" s="142"/>
      <c r="H198" s="144" t="str">
        <f>IF(OR(ISBLANK(I198),ISBLANK(AQ198))," ",IFERROR(VLOOKUP(CONCATENATE(I198,AQ198),Prestaciones!$E$1:$H$488,4,FALSE),IFERROR(VLOOKUP(CONCATENATE(LEFT(I198,6),AQ198),Prestaciones!$E$491:$H$836,4,FALSE),"La prestación no corresponde al grupo poblacional")))</f>
        <v xml:space="preserve"> </v>
      </c>
      <c r="I198" s="145"/>
      <c r="J198" s="145" t="str">
        <f>IF(OR(ISBLANK(I198),ISBLANK(AQ198))," ",IFERROR(VLOOKUP(CONCATENATE(I198,AQ198),Prestaciones!$E$1:$G$488,3,FALSE),IFERROR(VLOOKUP(CONCATENATE(LEFT(I198,6),AQ198),Prestaciones!$E$491:$H$836,3,FALSE),"La prestación no corresponde al grupo poblacional")))</f>
        <v xml:space="preserve"> </v>
      </c>
      <c r="K198" s="146"/>
      <c r="L198" s="146"/>
      <c r="M198" s="147"/>
      <c r="N198" s="148"/>
      <c r="O198" s="149"/>
      <c r="P198" s="150"/>
      <c r="Q198" s="151"/>
      <c r="R198" s="151"/>
      <c r="S198" s="151"/>
      <c r="T198" s="147"/>
      <c r="U198" s="147"/>
      <c r="V198" s="147"/>
      <c r="W198" s="149"/>
      <c r="X198" s="149"/>
      <c r="Y198" s="147"/>
      <c r="Z198" s="147"/>
      <c r="AA198" s="147"/>
      <c r="AB198" s="147"/>
      <c r="AC198" s="147"/>
      <c r="AD198" s="147"/>
      <c r="AE198" s="152"/>
      <c r="AF198" s="153" t="str">
        <f t="shared" si="10"/>
        <v xml:space="preserve"> </v>
      </c>
      <c r="AG198" s="154" t="str">
        <f t="shared" si="11"/>
        <v>Ingresar fuente de información</v>
      </c>
      <c r="AH198" s="134"/>
      <c r="AI198" s="155"/>
      <c r="AJ198" s="156"/>
      <c r="AK198" s="157"/>
      <c r="AM198" s="158"/>
      <c r="AN198" s="155" t="str">
        <f t="shared" si="9"/>
        <v xml:space="preserve"> </v>
      </c>
      <c r="AO198" s="156"/>
      <c r="AP198" s="157"/>
      <c r="AQ198" s="161"/>
      <c r="AR198" s="160" t="str">
        <f t="shared" si="12"/>
        <v xml:space="preserve"> </v>
      </c>
    </row>
    <row r="199" spans="1:44">
      <c r="A199" s="71"/>
      <c r="B199" s="142"/>
      <c r="C199" s="143"/>
      <c r="D199" s="143"/>
      <c r="E199" s="143"/>
      <c r="F199" s="144"/>
      <c r="G199" s="142"/>
      <c r="H199" s="144" t="str">
        <f>IF(OR(ISBLANK(I199),ISBLANK(AQ199))," ",IFERROR(VLOOKUP(CONCATENATE(I199,AQ199),Prestaciones!$E$1:$H$488,4,FALSE),IFERROR(VLOOKUP(CONCATENATE(LEFT(I199,6),AQ199),Prestaciones!$E$491:$H$836,4,FALSE),"La prestación no corresponde al grupo poblacional")))</f>
        <v xml:space="preserve"> </v>
      </c>
      <c r="I199" s="145"/>
      <c r="J199" s="145" t="str">
        <f>IF(OR(ISBLANK(I199),ISBLANK(AQ199))," ",IFERROR(VLOOKUP(CONCATENATE(I199,AQ199),Prestaciones!$E$1:$G$488,3,FALSE),IFERROR(VLOOKUP(CONCATENATE(LEFT(I199,6),AQ199),Prestaciones!$E$491:$H$836,3,FALSE),"La prestación no corresponde al grupo poblacional")))</f>
        <v xml:space="preserve"> </v>
      </c>
      <c r="K199" s="146"/>
      <c r="L199" s="146"/>
      <c r="M199" s="147"/>
      <c r="N199" s="148"/>
      <c r="O199" s="149"/>
      <c r="P199" s="150"/>
      <c r="Q199" s="151"/>
      <c r="R199" s="151"/>
      <c r="S199" s="151"/>
      <c r="T199" s="147"/>
      <c r="U199" s="147"/>
      <c r="V199" s="147"/>
      <c r="W199" s="149"/>
      <c r="X199" s="149"/>
      <c r="Y199" s="147"/>
      <c r="Z199" s="147"/>
      <c r="AA199" s="147"/>
      <c r="AB199" s="147"/>
      <c r="AC199" s="147"/>
      <c r="AD199" s="147"/>
      <c r="AE199" s="152"/>
      <c r="AF199" s="153" t="str">
        <f t="shared" si="10"/>
        <v xml:space="preserve"> </v>
      </c>
      <c r="AG199" s="154" t="str">
        <f t="shared" si="11"/>
        <v>Ingresar fuente de información</v>
      </c>
      <c r="AH199" s="134"/>
      <c r="AI199" s="155"/>
      <c r="AJ199" s="156"/>
      <c r="AK199" s="157"/>
      <c r="AM199" s="158"/>
      <c r="AN199" s="155" t="str">
        <f t="shared" si="9"/>
        <v xml:space="preserve"> </v>
      </c>
      <c r="AO199" s="156"/>
      <c r="AP199" s="157"/>
      <c r="AQ199" s="161"/>
      <c r="AR199" s="160" t="str">
        <f t="shared" si="12"/>
        <v xml:space="preserve"> </v>
      </c>
    </row>
    <row r="200" spans="1:44">
      <c r="A200" s="71"/>
      <c r="B200" s="142"/>
      <c r="C200" s="143"/>
      <c r="D200" s="143"/>
      <c r="E200" s="143"/>
      <c r="F200" s="144"/>
      <c r="G200" s="142"/>
      <c r="H200" s="144" t="str">
        <f>IF(OR(ISBLANK(I200),ISBLANK(AQ200))," ",IFERROR(VLOOKUP(CONCATENATE(I200,AQ200),Prestaciones!$E$1:$H$488,4,FALSE),IFERROR(VLOOKUP(CONCATENATE(LEFT(I200,6),AQ200),Prestaciones!$E$491:$H$836,4,FALSE),"La prestación no corresponde al grupo poblacional")))</f>
        <v xml:space="preserve"> </v>
      </c>
      <c r="I200" s="145"/>
      <c r="J200" s="145" t="str">
        <f>IF(OR(ISBLANK(I200),ISBLANK(AQ200))," ",IFERROR(VLOOKUP(CONCATENATE(I200,AQ200),Prestaciones!$E$1:$G$488,3,FALSE),IFERROR(VLOOKUP(CONCATENATE(LEFT(I200,6),AQ200),Prestaciones!$E$491:$H$836,3,FALSE),"La prestación no corresponde al grupo poblacional")))</f>
        <v xml:space="preserve"> </v>
      </c>
      <c r="K200" s="146"/>
      <c r="L200" s="146"/>
      <c r="M200" s="147"/>
      <c r="N200" s="148"/>
      <c r="O200" s="149"/>
      <c r="P200" s="150"/>
      <c r="Q200" s="151"/>
      <c r="R200" s="151"/>
      <c r="S200" s="151"/>
      <c r="T200" s="147"/>
      <c r="U200" s="147"/>
      <c r="V200" s="147"/>
      <c r="W200" s="149"/>
      <c r="X200" s="149"/>
      <c r="Y200" s="147"/>
      <c r="Z200" s="147"/>
      <c r="AA200" s="147"/>
      <c r="AB200" s="147"/>
      <c r="AC200" s="147"/>
      <c r="AD200" s="147"/>
      <c r="AE200" s="152"/>
      <c r="AF200" s="153" t="str">
        <f t="shared" si="10"/>
        <v xml:space="preserve"> </v>
      </c>
      <c r="AG200" s="154" t="str">
        <f t="shared" si="11"/>
        <v>Ingresar fuente de información</v>
      </c>
      <c r="AH200" s="134"/>
      <c r="AI200" s="155"/>
      <c r="AJ200" s="156"/>
      <c r="AK200" s="157"/>
      <c r="AM200" s="158"/>
      <c r="AN200" s="155" t="str">
        <f t="shared" si="9"/>
        <v xml:space="preserve"> </v>
      </c>
      <c r="AO200" s="156"/>
      <c r="AP200" s="157"/>
      <c r="AQ200" s="161"/>
      <c r="AR200" s="160" t="str">
        <f t="shared" si="12"/>
        <v xml:space="preserve"> </v>
      </c>
    </row>
    <row r="201" spans="1:44">
      <c r="A201" s="71"/>
      <c r="B201" s="142"/>
      <c r="C201" s="143"/>
      <c r="D201" s="143"/>
      <c r="E201" s="143"/>
      <c r="F201" s="144"/>
      <c r="G201" s="142"/>
      <c r="H201" s="144" t="str">
        <f>IF(OR(ISBLANK(I201),ISBLANK(AQ201))," ",IFERROR(VLOOKUP(CONCATENATE(I201,AQ201),Prestaciones!$E$1:$H$488,4,FALSE),IFERROR(VLOOKUP(CONCATENATE(LEFT(I201,6),AQ201),Prestaciones!$E$491:$H$836,4,FALSE),"La prestación no corresponde al grupo poblacional")))</f>
        <v xml:space="preserve"> </v>
      </c>
      <c r="I201" s="145"/>
      <c r="J201" s="145" t="str">
        <f>IF(OR(ISBLANK(I201),ISBLANK(AQ201))," ",IFERROR(VLOOKUP(CONCATENATE(I201,AQ201),Prestaciones!$E$1:$G$488,3,FALSE),IFERROR(VLOOKUP(CONCATENATE(LEFT(I201,6),AQ201),Prestaciones!$E$491:$H$836,3,FALSE),"La prestación no corresponde al grupo poblacional")))</f>
        <v xml:space="preserve"> </v>
      </c>
      <c r="K201" s="146"/>
      <c r="L201" s="146"/>
      <c r="M201" s="147"/>
      <c r="N201" s="148"/>
      <c r="O201" s="149"/>
      <c r="P201" s="150"/>
      <c r="Q201" s="151"/>
      <c r="R201" s="151"/>
      <c r="S201" s="151"/>
      <c r="T201" s="147"/>
      <c r="U201" s="147"/>
      <c r="V201" s="147"/>
      <c r="W201" s="149"/>
      <c r="X201" s="149"/>
      <c r="Y201" s="147"/>
      <c r="Z201" s="147"/>
      <c r="AA201" s="147"/>
      <c r="AB201" s="147"/>
      <c r="AC201" s="147"/>
      <c r="AD201" s="147"/>
      <c r="AE201" s="152"/>
      <c r="AF201" s="153" t="str">
        <f t="shared" si="10"/>
        <v xml:space="preserve"> </v>
      </c>
      <c r="AG201" s="154" t="str">
        <f t="shared" si="11"/>
        <v>Ingresar fuente de información</v>
      </c>
      <c r="AH201" s="134"/>
      <c r="AI201" s="155"/>
      <c r="AJ201" s="156"/>
      <c r="AK201" s="157"/>
      <c r="AM201" s="158"/>
      <c r="AN201" s="155" t="str">
        <f t="shared" si="9"/>
        <v xml:space="preserve"> </v>
      </c>
      <c r="AO201" s="156"/>
      <c r="AP201" s="157"/>
      <c r="AQ201" s="161"/>
      <c r="AR201" s="160" t="str">
        <f t="shared" si="12"/>
        <v xml:space="preserve"> </v>
      </c>
    </row>
    <row r="202" spans="1:44">
      <c r="A202" s="71"/>
      <c r="B202" s="142"/>
      <c r="C202" s="143"/>
      <c r="D202" s="143"/>
      <c r="E202" s="143"/>
      <c r="F202" s="144"/>
      <c r="G202" s="142"/>
      <c r="H202" s="144" t="str">
        <f>IF(OR(ISBLANK(I202),ISBLANK(AQ202))," ",IFERROR(VLOOKUP(CONCATENATE(I202,AQ202),Prestaciones!$E$1:$H$488,4,FALSE),IFERROR(VLOOKUP(CONCATENATE(LEFT(I202,6),AQ202),Prestaciones!$E$491:$H$836,4,FALSE),"La prestación no corresponde al grupo poblacional")))</f>
        <v xml:space="preserve"> </v>
      </c>
      <c r="I202" s="145"/>
      <c r="J202" s="145" t="str">
        <f>IF(OR(ISBLANK(I202),ISBLANK(AQ202))," ",IFERROR(VLOOKUP(CONCATENATE(I202,AQ202),Prestaciones!$E$1:$G$488,3,FALSE),IFERROR(VLOOKUP(CONCATENATE(LEFT(I202,6),AQ202),Prestaciones!$E$491:$H$836,3,FALSE),"La prestación no corresponde al grupo poblacional")))</f>
        <v xml:space="preserve"> </v>
      </c>
      <c r="K202" s="146"/>
      <c r="L202" s="146"/>
      <c r="M202" s="147"/>
      <c r="N202" s="148"/>
      <c r="O202" s="149"/>
      <c r="P202" s="150"/>
      <c r="Q202" s="151"/>
      <c r="R202" s="151"/>
      <c r="S202" s="151"/>
      <c r="T202" s="147"/>
      <c r="U202" s="147"/>
      <c r="V202" s="147"/>
      <c r="W202" s="149"/>
      <c r="X202" s="149"/>
      <c r="Y202" s="147"/>
      <c r="Z202" s="147"/>
      <c r="AA202" s="147"/>
      <c r="AB202" s="147"/>
      <c r="AC202" s="147"/>
      <c r="AD202" s="147"/>
      <c r="AE202" s="152"/>
      <c r="AF202" s="153" t="str">
        <f t="shared" si="10"/>
        <v xml:space="preserve"> </v>
      </c>
      <c r="AG202" s="154" t="str">
        <f t="shared" si="11"/>
        <v>Ingresar fuente de información</v>
      </c>
      <c r="AH202" s="134"/>
      <c r="AI202" s="155"/>
      <c r="AJ202" s="156"/>
      <c r="AK202" s="157"/>
      <c r="AM202" s="158"/>
      <c r="AN202" s="155" t="str">
        <f t="shared" si="9"/>
        <v xml:space="preserve"> </v>
      </c>
      <c r="AO202" s="156"/>
      <c r="AP202" s="157"/>
      <c r="AQ202" s="161"/>
      <c r="AR202" s="160" t="str">
        <f t="shared" si="12"/>
        <v xml:space="preserve"> </v>
      </c>
    </row>
    <row r="203" spans="1:44">
      <c r="A203" s="71"/>
      <c r="B203" s="142"/>
      <c r="C203" s="143"/>
      <c r="D203" s="143"/>
      <c r="E203" s="143"/>
      <c r="F203" s="144"/>
      <c r="G203" s="142"/>
      <c r="H203" s="144" t="str">
        <f>IF(OR(ISBLANK(I203),ISBLANK(AQ203))," ",IFERROR(VLOOKUP(CONCATENATE(I203,AQ203),Prestaciones!$E$1:$H$488,4,FALSE),IFERROR(VLOOKUP(CONCATENATE(LEFT(I203,6),AQ203),Prestaciones!$E$491:$H$836,4,FALSE),"La prestación no corresponde al grupo poblacional")))</f>
        <v xml:space="preserve"> </v>
      </c>
      <c r="I203" s="145"/>
      <c r="J203" s="145" t="str">
        <f>IF(OR(ISBLANK(I203),ISBLANK(AQ203))," ",IFERROR(VLOOKUP(CONCATENATE(I203,AQ203),Prestaciones!$E$1:$G$488,3,FALSE),IFERROR(VLOOKUP(CONCATENATE(LEFT(I203,6),AQ203),Prestaciones!$E$491:$H$836,3,FALSE),"La prestación no corresponde al grupo poblacional")))</f>
        <v xml:space="preserve"> </v>
      </c>
      <c r="K203" s="146"/>
      <c r="L203" s="146"/>
      <c r="M203" s="147"/>
      <c r="N203" s="148"/>
      <c r="O203" s="149"/>
      <c r="P203" s="150"/>
      <c r="Q203" s="151"/>
      <c r="R203" s="151"/>
      <c r="S203" s="151"/>
      <c r="T203" s="147"/>
      <c r="U203" s="147"/>
      <c r="V203" s="147"/>
      <c r="W203" s="149"/>
      <c r="X203" s="149"/>
      <c r="Y203" s="147"/>
      <c r="Z203" s="147"/>
      <c r="AA203" s="147"/>
      <c r="AB203" s="147"/>
      <c r="AC203" s="147"/>
      <c r="AD203" s="147"/>
      <c r="AE203" s="152"/>
      <c r="AF203" s="153" t="str">
        <f t="shared" si="10"/>
        <v xml:space="preserve"> </v>
      </c>
      <c r="AG203" s="154" t="str">
        <f t="shared" si="11"/>
        <v>Ingresar fuente de información</v>
      </c>
      <c r="AH203" s="134"/>
      <c r="AI203" s="155"/>
      <c r="AJ203" s="156"/>
      <c r="AK203" s="157"/>
      <c r="AM203" s="158"/>
      <c r="AN203" s="155" t="str">
        <f t="shared" si="9"/>
        <v xml:space="preserve"> </v>
      </c>
      <c r="AO203" s="156"/>
      <c r="AP203" s="157"/>
      <c r="AQ203" s="161"/>
      <c r="AR203" s="160" t="str">
        <f t="shared" si="12"/>
        <v xml:space="preserve"> </v>
      </c>
    </row>
    <row r="204" spans="1:44">
      <c r="A204" s="71"/>
      <c r="B204" s="142"/>
      <c r="C204" s="143"/>
      <c r="D204" s="143"/>
      <c r="E204" s="143"/>
      <c r="F204" s="144"/>
      <c r="G204" s="142"/>
      <c r="H204" s="144" t="str">
        <f>IF(OR(ISBLANK(I204),ISBLANK(AQ204))," ",IFERROR(VLOOKUP(CONCATENATE(I204,AQ204),Prestaciones!$E$1:$H$488,4,FALSE),IFERROR(VLOOKUP(CONCATENATE(LEFT(I204,6),AQ204),Prestaciones!$E$491:$H$836,4,FALSE),"La prestación no corresponde al grupo poblacional")))</f>
        <v xml:space="preserve"> </v>
      </c>
      <c r="I204" s="145"/>
      <c r="J204" s="145" t="str">
        <f>IF(OR(ISBLANK(I204),ISBLANK(AQ204))," ",IFERROR(VLOOKUP(CONCATENATE(I204,AQ204),Prestaciones!$E$1:$G$488,3,FALSE),IFERROR(VLOOKUP(CONCATENATE(LEFT(I204,6),AQ204),Prestaciones!$E$491:$H$836,3,FALSE),"La prestación no corresponde al grupo poblacional")))</f>
        <v xml:space="preserve"> </v>
      </c>
      <c r="K204" s="146"/>
      <c r="L204" s="146"/>
      <c r="M204" s="147"/>
      <c r="N204" s="148"/>
      <c r="O204" s="149"/>
      <c r="P204" s="150"/>
      <c r="Q204" s="151"/>
      <c r="R204" s="151"/>
      <c r="S204" s="151"/>
      <c r="T204" s="147"/>
      <c r="U204" s="147"/>
      <c r="V204" s="147"/>
      <c r="W204" s="149"/>
      <c r="X204" s="149"/>
      <c r="Y204" s="147"/>
      <c r="Z204" s="147"/>
      <c r="AA204" s="147"/>
      <c r="AB204" s="147"/>
      <c r="AC204" s="147"/>
      <c r="AD204" s="147"/>
      <c r="AE204" s="152"/>
      <c r="AF204" s="153" t="str">
        <f t="shared" si="10"/>
        <v xml:space="preserve"> </v>
      </c>
      <c r="AG204" s="154" t="str">
        <f t="shared" si="11"/>
        <v>Ingresar fuente de información</v>
      </c>
      <c r="AH204" s="134"/>
      <c r="AI204" s="155"/>
      <c r="AJ204" s="156"/>
      <c r="AK204" s="157"/>
      <c r="AM204" s="158"/>
      <c r="AN204" s="155" t="str">
        <f t="shared" ref="AN204:AN267" si="13">IF(ISBLANK(AM204)," ",IF(AM204=0,"Valido",IF(AM204=1,"No consta fuente de informacion valida",IF(AM204=2,"Prestación inexistente",IF(AM204=3,"Datos requeridos incompletos",IF(AM204=4,"Codificación erronea",IF(AM204=5,"Fuente invalida","Categoria invalida")))))))</f>
        <v xml:space="preserve"> </v>
      </c>
      <c r="AO204" s="156"/>
      <c r="AP204" s="157"/>
      <c r="AQ204" s="161"/>
      <c r="AR204" s="160" t="str">
        <f t="shared" si="12"/>
        <v xml:space="preserve"> </v>
      </c>
    </row>
    <row r="205" spans="1:44">
      <c r="A205" s="71"/>
      <c r="B205" s="142"/>
      <c r="C205" s="143"/>
      <c r="D205" s="143"/>
      <c r="E205" s="143"/>
      <c r="F205" s="144"/>
      <c r="G205" s="142"/>
      <c r="H205" s="144" t="str">
        <f>IF(OR(ISBLANK(I205),ISBLANK(AQ205))," ",IFERROR(VLOOKUP(CONCATENATE(I205,AQ205),Prestaciones!$E$1:$H$488,4,FALSE),IFERROR(VLOOKUP(CONCATENATE(LEFT(I205,6),AQ205),Prestaciones!$E$491:$H$836,4,FALSE),"La prestación no corresponde al grupo poblacional")))</f>
        <v xml:space="preserve"> </v>
      </c>
      <c r="I205" s="145"/>
      <c r="J205" s="145" t="str">
        <f>IF(OR(ISBLANK(I205),ISBLANK(AQ205))," ",IFERROR(VLOOKUP(CONCATENATE(I205,AQ205),Prestaciones!$E$1:$G$488,3,FALSE),IFERROR(VLOOKUP(CONCATENATE(LEFT(I205,6),AQ205),Prestaciones!$E$491:$H$836,3,FALSE),"La prestación no corresponde al grupo poblacional")))</f>
        <v xml:space="preserve"> </v>
      </c>
      <c r="K205" s="146"/>
      <c r="L205" s="146"/>
      <c r="M205" s="147"/>
      <c r="N205" s="148"/>
      <c r="O205" s="149"/>
      <c r="P205" s="150"/>
      <c r="Q205" s="151"/>
      <c r="R205" s="151"/>
      <c r="S205" s="151"/>
      <c r="T205" s="147"/>
      <c r="U205" s="147"/>
      <c r="V205" s="147"/>
      <c r="W205" s="149"/>
      <c r="X205" s="149"/>
      <c r="Y205" s="147"/>
      <c r="Z205" s="147"/>
      <c r="AA205" s="147"/>
      <c r="AB205" s="147"/>
      <c r="AC205" s="147"/>
      <c r="AD205" s="147"/>
      <c r="AE205" s="152"/>
      <c r="AF205" s="153" t="str">
        <f t="shared" si="10"/>
        <v xml:space="preserve"> </v>
      </c>
      <c r="AG205" s="154" t="str">
        <f t="shared" si="11"/>
        <v>Ingresar fuente de información</v>
      </c>
      <c r="AH205" s="134"/>
      <c r="AI205" s="155"/>
      <c r="AJ205" s="156"/>
      <c r="AK205" s="157"/>
      <c r="AM205" s="158"/>
      <c r="AN205" s="155" t="str">
        <f t="shared" si="13"/>
        <v xml:space="preserve"> </v>
      </c>
      <c r="AO205" s="156"/>
      <c r="AP205" s="157"/>
      <c r="AQ205" s="161"/>
      <c r="AR205" s="160" t="str">
        <f t="shared" si="12"/>
        <v xml:space="preserve"> </v>
      </c>
    </row>
    <row r="206" spans="1:44">
      <c r="A206" s="71"/>
      <c r="B206" s="142"/>
      <c r="C206" s="143"/>
      <c r="D206" s="143"/>
      <c r="E206" s="143"/>
      <c r="F206" s="144"/>
      <c r="G206" s="142"/>
      <c r="H206" s="144" t="str">
        <f>IF(OR(ISBLANK(I206),ISBLANK(AQ206))," ",IFERROR(VLOOKUP(CONCATENATE(I206,AQ206),Prestaciones!$E$1:$H$488,4,FALSE),IFERROR(VLOOKUP(CONCATENATE(LEFT(I206,6),AQ206),Prestaciones!$E$491:$H$836,4,FALSE),"La prestación no corresponde al grupo poblacional")))</f>
        <v xml:space="preserve"> </v>
      </c>
      <c r="I206" s="145"/>
      <c r="J206" s="145" t="str">
        <f>IF(OR(ISBLANK(I206),ISBLANK(AQ206))," ",IFERROR(VLOOKUP(CONCATENATE(I206,AQ206),Prestaciones!$E$1:$G$488,3,FALSE),IFERROR(VLOOKUP(CONCATENATE(LEFT(I206,6),AQ206),Prestaciones!$E$491:$H$836,3,FALSE),"La prestación no corresponde al grupo poblacional")))</f>
        <v xml:space="preserve"> </v>
      </c>
      <c r="K206" s="146"/>
      <c r="L206" s="146"/>
      <c r="M206" s="147"/>
      <c r="N206" s="148"/>
      <c r="O206" s="149"/>
      <c r="P206" s="150"/>
      <c r="Q206" s="151"/>
      <c r="R206" s="151"/>
      <c r="S206" s="151"/>
      <c r="T206" s="147"/>
      <c r="U206" s="147"/>
      <c r="V206" s="147"/>
      <c r="W206" s="149"/>
      <c r="X206" s="149"/>
      <c r="Y206" s="147"/>
      <c r="Z206" s="147"/>
      <c r="AA206" s="147"/>
      <c r="AB206" s="147"/>
      <c r="AC206" s="147"/>
      <c r="AD206" s="147"/>
      <c r="AE206" s="152"/>
      <c r="AF206" s="153" t="str">
        <f t="shared" si="10"/>
        <v xml:space="preserve"> </v>
      </c>
      <c r="AG206" s="154" t="str">
        <f t="shared" si="11"/>
        <v>Ingresar fuente de información</v>
      </c>
      <c r="AH206" s="134"/>
      <c r="AI206" s="155"/>
      <c r="AJ206" s="156"/>
      <c r="AK206" s="157"/>
      <c r="AM206" s="158"/>
      <c r="AN206" s="155" t="str">
        <f t="shared" si="13"/>
        <v xml:space="preserve"> </v>
      </c>
      <c r="AO206" s="156"/>
      <c r="AP206" s="157"/>
      <c r="AQ206" s="161"/>
      <c r="AR206" s="160" t="str">
        <f t="shared" si="12"/>
        <v xml:space="preserve"> </v>
      </c>
    </row>
    <row r="207" spans="1:44">
      <c r="A207" s="71"/>
      <c r="B207" s="142"/>
      <c r="C207" s="143"/>
      <c r="D207" s="143"/>
      <c r="E207" s="143"/>
      <c r="F207" s="144"/>
      <c r="G207" s="142"/>
      <c r="H207" s="144" t="str">
        <f>IF(OR(ISBLANK(I207),ISBLANK(AQ207))," ",IFERROR(VLOOKUP(CONCATENATE(I207,AQ207),Prestaciones!$E$1:$H$488,4,FALSE),IFERROR(VLOOKUP(CONCATENATE(LEFT(I207,6),AQ207),Prestaciones!$E$491:$H$836,4,FALSE),"La prestación no corresponde al grupo poblacional")))</f>
        <v xml:space="preserve"> </v>
      </c>
      <c r="I207" s="145"/>
      <c r="J207" s="145" t="str">
        <f>IF(OR(ISBLANK(I207),ISBLANK(AQ207))," ",IFERROR(VLOOKUP(CONCATENATE(I207,AQ207),Prestaciones!$E$1:$G$488,3,FALSE),IFERROR(VLOOKUP(CONCATENATE(LEFT(I207,6),AQ207),Prestaciones!$E$491:$H$836,3,FALSE),"La prestación no corresponde al grupo poblacional")))</f>
        <v xml:space="preserve"> </v>
      </c>
      <c r="K207" s="146"/>
      <c r="L207" s="146"/>
      <c r="M207" s="147"/>
      <c r="N207" s="148"/>
      <c r="O207" s="149"/>
      <c r="P207" s="150"/>
      <c r="Q207" s="151"/>
      <c r="R207" s="151"/>
      <c r="S207" s="151"/>
      <c r="T207" s="147"/>
      <c r="U207" s="147"/>
      <c r="V207" s="147"/>
      <c r="W207" s="149"/>
      <c r="X207" s="149"/>
      <c r="Y207" s="147"/>
      <c r="Z207" s="147"/>
      <c r="AA207" s="147"/>
      <c r="AB207" s="147"/>
      <c r="AC207" s="147"/>
      <c r="AD207" s="147"/>
      <c r="AE207" s="152"/>
      <c r="AF207" s="153" t="str">
        <f t="shared" si="10"/>
        <v xml:space="preserve"> </v>
      </c>
      <c r="AG207" s="154" t="str">
        <f t="shared" si="11"/>
        <v>Ingresar fuente de información</v>
      </c>
      <c r="AH207" s="134"/>
      <c r="AI207" s="155"/>
      <c r="AJ207" s="156"/>
      <c r="AK207" s="157"/>
      <c r="AM207" s="158"/>
      <c r="AN207" s="155" t="str">
        <f t="shared" si="13"/>
        <v xml:space="preserve"> </v>
      </c>
      <c r="AO207" s="156"/>
      <c r="AP207" s="157"/>
      <c r="AQ207" s="161"/>
      <c r="AR207" s="160" t="str">
        <f t="shared" si="12"/>
        <v xml:space="preserve"> </v>
      </c>
    </row>
    <row r="208" spans="1:44">
      <c r="A208" s="71"/>
      <c r="B208" s="142"/>
      <c r="C208" s="143"/>
      <c r="D208" s="143"/>
      <c r="E208" s="143"/>
      <c r="F208" s="144"/>
      <c r="G208" s="142"/>
      <c r="H208" s="144" t="str">
        <f>IF(OR(ISBLANK(I208),ISBLANK(AQ208))," ",IFERROR(VLOOKUP(CONCATENATE(I208,AQ208),Prestaciones!$E$1:$H$488,4,FALSE),IFERROR(VLOOKUP(CONCATENATE(LEFT(I208,6),AQ208),Prestaciones!$E$491:$H$836,4,FALSE),"La prestación no corresponde al grupo poblacional")))</f>
        <v xml:space="preserve"> </v>
      </c>
      <c r="I208" s="145"/>
      <c r="J208" s="145" t="str">
        <f>IF(OR(ISBLANK(I208),ISBLANK(AQ208))," ",IFERROR(VLOOKUP(CONCATENATE(I208,AQ208),Prestaciones!$E$1:$G$488,3,FALSE),IFERROR(VLOOKUP(CONCATENATE(LEFT(I208,6),AQ208),Prestaciones!$E$491:$H$836,3,FALSE),"La prestación no corresponde al grupo poblacional")))</f>
        <v xml:space="preserve"> </v>
      </c>
      <c r="K208" s="146"/>
      <c r="L208" s="146"/>
      <c r="M208" s="147"/>
      <c r="N208" s="148"/>
      <c r="O208" s="149"/>
      <c r="P208" s="150"/>
      <c r="Q208" s="151"/>
      <c r="R208" s="151"/>
      <c r="S208" s="151"/>
      <c r="T208" s="147"/>
      <c r="U208" s="147"/>
      <c r="V208" s="147"/>
      <c r="W208" s="149"/>
      <c r="X208" s="149"/>
      <c r="Y208" s="147"/>
      <c r="Z208" s="147"/>
      <c r="AA208" s="147"/>
      <c r="AB208" s="147"/>
      <c r="AC208" s="147"/>
      <c r="AD208" s="147"/>
      <c r="AE208" s="152"/>
      <c r="AF208" s="153" t="str">
        <f t="shared" si="10"/>
        <v xml:space="preserve"> </v>
      </c>
      <c r="AG208" s="154" t="str">
        <f t="shared" si="11"/>
        <v>Ingresar fuente de información</v>
      </c>
      <c r="AH208" s="134"/>
      <c r="AI208" s="155"/>
      <c r="AJ208" s="156"/>
      <c r="AK208" s="157"/>
      <c r="AM208" s="158"/>
      <c r="AN208" s="155" t="str">
        <f t="shared" si="13"/>
        <v xml:space="preserve"> </v>
      </c>
      <c r="AO208" s="156"/>
      <c r="AP208" s="157"/>
      <c r="AQ208" s="161"/>
      <c r="AR208" s="160" t="str">
        <f t="shared" si="12"/>
        <v xml:space="preserve"> </v>
      </c>
    </row>
    <row r="209" spans="1:44">
      <c r="A209" s="71"/>
      <c r="B209" s="142"/>
      <c r="C209" s="143"/>
      <c r="D209" s="143"/>
      <c r="E209" s="143"/>
      <c r="F209" s="144"/>
      <c r="G209" s="142"/>
      <c r="H209" s="144" t="str">
        <f>IF(OR(ISBLANK(I209),ISBLANK(AQ209))," ",IFERROR(VLOOKUP(CONCATENATE(I209,AQ209),Prestaciones!$E$1:$H$488,4,FALSE),IFERROR(VLOOKUP(CONCATENATE(LEFT(I209,6),AQ209),Prestaciones!$E$491:$H$836,4,FALSE),"La prestación no corresponde al grupo poblacional")))</f>
        <v xml:space="preserve"> </v>
      </c>
      <c r="I209" s="145"/>
      <c r="J209" s="145" t="str">
        <f>IF(OR(ISBLANK(I209),ISBLANK(AQ209))," ",IFERROR(VLOOKUP(CONCATENATE(I209,AQ209),Prestaciones!$E$1:$G$488,3,FALSE),IFERROR(VLOOKUP(CONCATENATE(LEFT(I209,6),AQ209),Prestaciones!$E$491:$H$836,3,FALSE),"La prestación no corresponde al grupo poblacional")))</f>
        <v xml:space="preserve"> </v>
      </c>
      <c r="K209" s="146"/>
      <c r="L209" s="146"/>
      <c r="M209" s="147"/>
      <c r="N209" s="148"/>
      <c r="O209" s="149"/>
      <c r="P209" s="150"/>
      <c r="Q209" s="151"/>
      <c r="R209" s="151"/>
      <c r="S209" s="151"/>
      <c r="T209" s="147"/>
      <c r="U209" s="147"/>
      <c r="V209" s="147"/>
      <c r="W209" s="149"/>
      <c r="X209" s="149"/>
      <c r="Y209" s="147"/>
      <c r="Z209" s="147"/>
      <c r="AA209" s="147"/>
      <c r="AB209" s="147"/>
      <c r="AC209" s="147"/>
      <c r="AD209" s="147"/>
      <c r="AE209" s="152"/>
      <c r="AF209" s="153" t="str">
        <f t="shared" si="10"/>
        <v xml:space="preserve"> </v>
      </c>
      <c r="AG209" s="154" t="str">
        <f t="shared" si="11"/>
        <v>Ingresar fuente de información</v>
      </c>
      <c r="AH209" s="134"/>
      <c r="AI209" s="155"/>
      <c r="AJ209" s="156"/>
      <c r="AK209" s="157"/>
      <c r="AM209" s="158"/>
      <c r="AN209" s="155" t="str">
        <f t="shared" si="13"/>
        <v xml:space="preserve"> </v>
      </c>
      <c r="AO209" s="156"/>
      <c r="AP209" s="157"/>
      <c r="AQ209" s="161"/>
      <c r="AR209" s="160" t="str">
        <f t="shared" si="12"/>
        <v xml:space="preserve"> </v>
      </c>
    </row>
    <row r="210" spans="1:44">
      <c r="A210" s="71"/>
      <c r="B210" s="142"/>
      <c r="C210" s="143"/>
      <c r="D210" s="143"/>
      <c r="E210" s="143"/>
      <c r="F210" s="144"/>
      <c r="G210" s="142"/>
      <c r="H210" s="144" t="str">
        <f>IF(OR(ISBLANK(I210),ISBLANK(AQ210))," ",IFERROR(VLOOKUP(CONCATENATE(I210,AQ210),Prestaciones!$E$1:$H$488,4,FALSE),IFERROR(VLOOKUP(CONCATENATE(LEFT(I210,6),AQ210),Prestaciones!$E$491:$H$836,4,FALSE),"La prestación no corresponde al grupo poblacional")))</f>
        <v xml:space="preserve"> </v>
      </c>
      <c r="I210" s="145"/>
      <c r="J210" s="145" t="str">
        <f>IF(OR(ISBLANK(I210),ISBLANK(AQ210))," ",IFERROR(VLOOKUP(CONCATENATE(I210,AQ210),Prestaciones!$E$1:$G$488,3,FALSE),IFERROR(VLOOKUP(CONCATENATE(LEFT(I210,6),AQ210),Prestaciones!$E$491:$H$836,3,FALSE),"La prestación no corresponde al grupo poblacional")))</f>
        <v xml:space="preserve"> </v>
      </c>
      <c r="K210" s="146"/>
      <c r="L210" s="146"/>
      <c r="M210" s="147"/>
      <c r="N210" s="148"/>
      <c r="O210" s="149"/>
      <c r="P210" s="150"/>
      <c r="Q210" s="151"/>
      <c r="R210" s="151"/>
      <c r="S210" s="151"/>
      <c r="T210" s="147"/>
      <c r="U210" s="147"/>
      <c r="V210" s="147"/>
      <c r="W210" s="149"/>
      <c r="X210" s="149"/>
      <c r="Y210" s="147"/>
      <c r="Z210" s="147"/>
      <c r="AA210" s="147"/>
      <c r="AB210" s="147"/>
      <c r="AC210" s="147"/>
      <c r="AD210" s="147"/>
      <c r="AE210" s="152"/>
      <c r="AF210" s="153" t="str">
        <f t="shared" si="10"/>
        <v xml:space="preserve"> </v>
      </c>
      <c r="AG210" s="154" t="str">
        <f t="shared" si="11"/>
        <v>Ingresar fuente de información</v>
      </c>
      <c r="AH210" s="134"/>
      <c r="AI210" s="155"/>
      <c r="AJ210" s="156"/>
      <c r="AK210" s="157"/>
      <c r="AM210" s="158"/>
      <c r="AN210" s="155" t="str">
        <f t="shared" si="13"/>
        <v xml:space="preserve"> </v>
      </c>
      <c r="AO210" s="156"/>
      <c r="AP210" s="157"/>
      <c r="AQ210" s="161"/>
      <c r="AR210" s="160" t="str">
        <f t="shared" si="12"/>
        <v xml:space="preserve"> </v>
      </c>
    </row>
    <row r="211" spans="1:44">
      <c r="A211" s="71"/>
      <c r="B211" s="142"/>
      <c r="C211" s="143"/>
      <c r="D211" s="143"/>
      <c r="E211" s="143"/>
      <c r="F211" s="144"/>
      <c r="G211" s="142"/>
      <c r="H211" s="144" t="str">
        <f>IF(OR(ISBLANK(I211),ISBLANK(AQ211))," ",IFERROR(VLOOKUP(CONCATENATE(I211,AQ211),Prestaciones!$E$1:$H$488,4,FALSE),IFERROR(VLOOKUP(CONCATENATE(LEFT(I211,6),AQ211),Prestaciones!$E$491:$H$836,4,FALSE),"La prestación no corresponde al grupo poblacional")))</f>
        <v xml:space="preserve"> </v>
      </c>
      <c r="I211" s="145"/>
      <c r="J211" s="145" t="str">
        <f>IF(OR(ISBLANK(I211),ISBLANK(AQ211))," ",IFERROR(VLOOKUP(CONCATENATE(I211,AQ211),Prestaciones!$E$1:$G$488,3,FALSE),IFERROR(VLOOKUP(CONCATENATE(LEFT(I211,6),AQ211),Prestaciones!$E$491:$H$836,3,FALSE),"La prestación no corresponde al grupo poblacional")))</f>
        <v xml:space="preserve"> </v>
      </c>
      <c r="K211" s="146"/>
      <c r="L211" s="146"/>
      <c r="M211" s="147"/>
      <c r="N211" s="148"/>
      <c r="O211" s="149"/>
      <c r="P211" s="150"/>
      <c r="Q211" s="151"/>
      <c r="R211" s="151"/>
      <c r="S211" s="151"/>
      <c r="T211" s="147"/>
      <c r="U211" s="147"/>
      <c r="V211" s="147"/>
      <c r="W211" s="149"/>
      <c r="X211" s="149"/>
      <c r="Y211" s="147"/>
      <c r="Z211" s="147"/>
      <c r="AA211" s="147"/>
      <c r="AB211" s="147"/>
      <c r="AC211" s="147"/>
      <c r="AD211" s="147"/>
      <c r="AE211" s="152"/>
      <c r="AF211" s="153" t="str">
        <f t="shared" si="10"/>
        <v xml:space="preserve"> </v>
      </c>
      <c r="AG211" s="154" t="str">
        <f t="shared" si="11"/>
        <v>Ingresar fuente de información</v>
      </c>
      <c r="AH211" s="134"/>
      <c r="AI211" s="155"/>
      <c r="AJ211" s="156"/>
      <c r="AK211" s="157"/>
      <c r="AM211" s="158"/>
      <c r="AN211" s="155" t="str">
        <f t="shared" si="13"/>
        <v xml:space="preserve"> </v>
      </c>
      <c r="AO211" s="156"/>
      <c r="AP211" s="157"/>
      <c r="AQ211" s="161"/>
      <c r="AR211" s="160" t="str">
        <f t="shared" si="12"/>
        <v xml:space="preserve"> </v>
      </c>
    </row>
    <row r="212" spans="1:44">
      <c r="A212" s="71"/>
      <c r="B212" s="142"/>
      <c r="C212" s="143"/>
      <c r="D212" s="143"/>
      <c r="E212" s="143"/>
      <c r="F212" s="144"/>
      <c r="G212" s="142"/>
      <c r="H212" s="144" t="str">
        <f>IF(OR(ISBLANK(I212),ISBLANK(AQ212))," ",IFERROR(VLOOKUP(CONCATENATE(I212,AQ212),Prestaciones!$E$1:$H$488,4,FALSE),IFERROR(VLOOKUP(CONCATENATE(LEFT(I212,6),AQ212),Prestaciones!$E$491:$H$836,4,FALSE),"La prestación no corresponde al grupo poblacional")))</f>
        <v xml:space="preserve"> </v>
      </c>
      <c r="I212" s="145"/>
      <c r="J212" s="145" t="str">
        <f>IF(OR(ISBLANK(I212),ISBLANK(AQ212))," ",IFERROR(VLOOKUP(CONCATENATE(I212,AQ212),Prestaciones!$E$1:$G$488,3,FALSE),IFERROR(VLOOKUP(CONCATENATE(LEFT(I212,6),AQ212),Prestaciones!$E$491:$H$836,3,FALSE),"La prestación no corresponde al grupo poblacional")))</f>
        <v xml:space="preserve"> </v>
      </c>
      <c r="K212" s="146"/>
      <c r="L212" s="146"/>
      <c r="M212" s="147"/>
      <c r="N212" s="148"/>
      <c r="O212" s="149"/>
      <c r="P212" s="150"/>
      <c r="Q212" s="151"/>
      <c r="R212" s="151"/>
      <c r="S212" s="151"/>
      <c r="T212" s="147"/>
      <c r="U212" s="147"/>
      <c r="V212" s="147"/>
      <c r="W212" s="149"/>
      <c r="X212" s="149"/>
      <c r="Y212" s="147"/>
      <c r="Z212" s="147"/>
      <c r="AA212" s="147"/>
      <c r="AB212" s="147"/>
      <c r="AC212" s="147"/>
      <c r="AD212" s="147"/>
      <c r="AE212" s="152"/>
      <c r="AF212" s="153" t="str">
        <f t="shared" si="10"/>
        <v xml:space="preserve"> </v>
      </c>
      <c r="AG212" s="154" t="str">
        <f t="shared" si="11"/>
        <v>Ingresar fuente de información</v>
      </c>
      <c r="AH212" s="134"/>
      <c r="AI212" s="155"/>
      <c r="AJ212" s="156"/>
      <c r="AK212" s="157"/>
      <c r="AM212" s="158"/>
      <c r="AN212" s="155" t="str">
        <f t="shared" si="13"/>
        <v xml:space="preserve"> </v>
      </c>
      <c r="AO212" s="156"/>
      <c r="AP212" s="157"/>
      <c r="AQ212" s="161"/>
      <c r="AR212" s="160" t="str">
        <f t="shared" si="12"/>
        <v xml:space="preserve"> </v>
      </c>
    </row>
    <row r="213" spans="1:44">
      <c r="A213" s="71"/>
      <c r="B213" s="142"/>
      <c r="C213" s="143"/>
      <c r="D213" s="143"/>
      <c r="E213" s="143"/>
      <c r="F213" s="144"/>
      <c r="G213" s="142"/>
      <c r="H213" s="144" t="str">
        <f>IF(OR(ISBLANK(I213),ISBLANK(AQ213))," ",IFERROR(VLOOKUP(CONCATENATE(I213,AQ213),Prestaciones!$E$1:$H$488,4,FALSE),IFERROR(VLOOKUP(CONCATENATE(LEFT(I213,6),AQ213),Prestaciones!$E$491:$H$836,4,FALSE),"La prestación no corresponde al grupo poblacional")))</f>
        <v xml:space="preserve"> </v>
      </c>
      <c r="I213" s="145"/>
      <c r="J213" s="145" t="str">
        <f>IF(OR(ISBLANK(I213),ISBLANK(AQ213))," ",IFERROR(VLOOKUP(CONCATENATE(I213,AQ213),Prestaciones!$E$1:$G$488,3,FALSE),IFERROR(VLOOKUP(CONCATENATE(LEFT(I213,6),AQ213),Prestaciones!$E$491:$H$836,3,FALSE),"La prestación no corresponde al grupo poblacional")))</f>
        <v xml:space="preserve"> </v>
      </c>
      <c r="K213" s="146"/>
      <c r="L213" s="146"/>
      <c r="M213" s="147"/>
      <c r="N213" s="148"/>
      <c r="O213" s="149"/>
      <c r="P213" s="150"/>
      <c r="Q213" s="151"/>
      <c r="R213" s="151"/>
      <c r="S213" s="151"/>
      <c r="T213" s="147"/>
      <c r="U213" s="147"/>
      <c r="V213" s="147"/>
      <c r="W213" s="149"/>
      <c r="X213" s="149"/>
      <c r="Y213" s="147"/>
      <c r="Z213" s="147"/>
      <c r="AA213" s="147"/>
      <c r="AB213" s="147"/>
      <c r="AC213" s="147"/>
      <c r="AD213" s="147"/>
      <c r="AE213" s="152"/>
      <c r="AF213" s="153" t="str">
        <f t="shared" si="10"/>
        <v xml:space="preserve"> </v>
      </c>
      <c r="AG213" s="154" t="str">
        <f t="shared" si="11"/>
        <v>Ingresar fuente de información</v>
      </c>
      <c r="AH213" s="134"/>
      <c r="AI213" s="155"/>
      <c r="AJ213" s="156"/>
      <c r="AK213" s="157"/>
      <c r="AM213" s="158"/>
      <c r="AN213" s="155" t="str">
        <f t="shared" si="13"/>
        <v xml:space="preserve"> </v>
      </c>
      <c r="AO213" s="156"/>
      <c r="AP213" s="157"/>
      <c r="AQ213" s="161"/>
      <c r="AR213" s="160" t="str">
        <f t="shared" si="12"/>
        <v xml:space="preserve"> </v>
      </c>
    </row>
    <row r="214" spans="1:44">
      <c r="A214" s="71"/>
      <c r="B214" s="142"/>
      <c r="C214" s="143"/>
      <c r="D214" s="143"/>
      <c r="E214" s="143"/>
      <c r="F214" s="144"/>
      <c r="G214" s="142"/>
      <c r="H214" s="144" t="str">
        <f>IF(OR(ISBLANK(I214),ISBLANK(AQ214))," ",IFERROR(VLOOKUP(CONCATENATE(I214,AQ214),Prestaciones!$E$1:$H$488,4,FALSE),IFERROR(VLOOKUP(CONCATENATE(LEFT(I214,6),AQ214),Prestaciones!$E$491:$H$836,4,FALSE),"La prestación no corresponde al grupo poblacional")))</f>
        <v xml:space="preserve"> </v>
      </c>
      <c r="I214" s="145"/>
      <c r="J214" s="145" t="str">
        <f>IF(OR(ISBLANK(I214),ISBLANK(AQ214))," ",IFERROR(VLOOKUP(CONCATENATE(I214,AQ214),Prestaciones!$E$1:$G$488,3,FALSE),IFERROR(VLOOKUP(CONCATENATE(LEFT(I214,6),AQ214),Prestaciones!$E$491:$H$836,3,FALSE),"La prestación no corresponde al grupo poblacional")))</f>
        <v xml:space="preserve"> </v>
      </c>
      <c r="K214" s="146"/>
      <c r="L214" s="146"/>
      <c r="M214" s="147"/>
      <c r="N214" s="148"/>
      <c r="O214" s="149"/>
      <c r="P214" s="150"/>
      <c r="Q214" s="151"/>
      <c r="R214" s="151"/>
      <c r="S214" s="151"/>
      <c r="T214" s="147"/>
      <c r="U214" s="147"/>
      <c r="V214" s="147"/>
      <c r="W214" s="149"/>
      <c r="X214" s="149"/>
      <c r="Y214" s="147"/>
      <c r="Z214" s="147"/>
      <c r="AA214" s="147"/>
      <c r="AB214" s="147"/>
      <c r="AC214" s="147"/>
      <c r="AD214" s="147"/>
      <c r="AE214" s="152"/>
      <c r="AF214" s="153" t="str">
        <f t="shared" si="10"/>
        <v xml:space="preserve"> </v>
      </c>
      <c r="AG214" s="154" t="str">
        <f t="shared" si="11"/>
        <v>Ingresar fuente de información</v>
      </c>
      <c r="AH214" s="134"/>
      <c r="AI214" s="155"/>
      <c r="AJ214" s="156"/>
      <c r="AK214" s="157"/>
      <c r="AM214" s="158"/>
      <c r="AN214" s="155" t="str">
        <f t="shared" si="13"/>
        <v xml:space="preserve"> </v>
      </c>
      <c r="AO214" s="156"/>
      <c r="AP214" s="157"/>
      <c r="AQ214" s="161"/>
      <c r="AR214" s="160" t="str">
        <f t="shared" si="12"/>
        <v xml:space="preserve"> </v>
      </c>
    </row>
    <row r="215" spans="1:44">
      <c r="A215" s="71"/>
      <c r="B215" s="142"/>
      <c r="C215" s="143"/>
      <c r="D215" s="143"/>
      <c r="E215" s="143"/>
      <c r="F215" s="144"/>
      <c r="G215" s="142"/>
      <c r="H215" s="144" t="str">
        <f>IF(OR(ISBLANK(I215),ISBLANK(AQ215))," ",IFERROR(VLOOKUP(CONCATENATE(I215,AQ215),Prestaciones!$E$1:$H$488,4,FALSE),IFERROR(VLOOKUP(CONCATENATE(LEFT(I215,6),AQ215),Prestaciones!$E$491:$H$836,4,FALSE),"La prestación no corresponde al grupo poblacional")))</f>
        <v xml:space="preserve"> </v>
      </c>
      <c r="I215" s="145"/>
      <c r="J215" s="145" t="str">
        <f>IF(OR(ISBLANK(I215),ISBLANK(AQ215))," ",IFERROR(VLOOKUP(CONCATENATE(I215,AQ215),Prestaciones!$E$1:$G$488,3,FALSE),IFERROR(VLOOKUP(CONCATENATE(LEFT(I215,6),AQ215),Prestaciones!$E$491:$H$836,3,FALSE),"La prestación no corresponde al grupo poblacional")))</f>
        <v xml:space="preserve"> </v>
      </c>
      <c r="K215" s="146"/>
      <c r="L215" s="146"/>
      <c r="M215" s="147"/>
      <c r="N215" s="148"/>
      <c r="O215" s="149"/>
      <c r="P215" s="150"/>
      <c r="Q215" s="151"/>
      <c r="R215" s="151"/>
      <c r="S215" s="151"/>
      <c r="T215" s="147"/>
      <c r="U215" s="147"/>
      <c r="V215" s="147"/>
      <c r="W215" s="149"/>
      <c r="X215" s="149"/>
      <c r="Y215" s="147"/>
      <c r="Z215" s="147"/>
      <c r="AA215" s="147"/>
      <c r="AB215" s="147"/>
      <c r="AC215" s="147"/>
      <c r="AD215" s="147"/>
      <c r="AE215" s="152"/>
      <c r="AF215" s="153" t="str">
        <f t="shared" si="10"/>
        <v xml:space="preserve"> </v>
      </c>
      <c r="AG215" s="154" t="str">
        <f t="shared" si="11"/>
        <v>Ingresar fuente de información</v>
      </c>
      <c r="AH215" s="134"/>
      <c r="AI215" s="155"/>
      <c r="AJ215" s="156"/>
      <c r="AK215" s="157"/>
      <c r="AM215" s="158"/>
      <c r="AN215" s="155" t="str">
        <f t="shared" si="13"/>
        <v xml:space="preserve"> </v>
      </c>
      <c r="AO215" s="156"/>
      <c r="AP215" s="157"/>
      <c r="AQ215" s="161"/>
      <c r="AR215" s="160" t="str">
        <f t="shared" si="12"/>
        <v xml:space="preserve"> </v>
      </c>
    </row>
    <row r="216" spans="1:44">
      <c r="A216" s="71"/>
      <c r="B216" s="142"/>
      <c r="C216" s="143"/>
      <c r="D216" s="143"/>
      <c r="E216" s="143"/>
      <c r="F216" s="144"/>
      <c r="G216" s="142"/>
      <c r="H216" s="144" t="str">
        <f>IF(OR(ISBLANK(I216),ISBLANK(AQ216))," ",IFERROR(VLOOKUP(CONCATENATE(I216,AQ216),Prestaciones!$E$1:$H$488,4,FALSE),IFERROR(VLOOKUP(CONCATENATE(LEFT(I216,6),AQ216),Prestaciones!$E$491:$H$836,4,FALSE),"La prestación no corresponde al grupo poblacional")))</f>
        <v xml:space="preserve"> </v>
      </c>
      <c r="I216" s="145"/>
      <c r="J216" s="145" t="str">
        <f>IF(OR(ISBLANK(I216),ISBLANK(AQ216))," ",IFERROR(VLOOKUP(CONCATENATE(I216,AQ216),Prestaciones!$E$1:$G$488,3,FALSE),IFERROR(VLOOKUP(CONCATENATE(LEFT(I216,6),AQ216),Prestaciones!$E$491:$H$836,3,FALSE),"La prestación no corresponde al grupo poblacional")))</f>
        <v xml:space="preserve"> </v>
      </c>
      <c r="K216" s="146"/>
      <c r="L216" s="146"/>
      <c r="M216" s="147"/>
      <c r="N216" s="148"/>
      <c r="O216" s="149"/>
      <c r="P216" s="150"/>
      <c r="Q216" s="151"/>
      <c r="R216" s="151"/>
      <c r="S216" s="151"/>
      <c r="T216" s="147"/>
      <c r="U216" s="147"/>
      <c r="V216" s="147"/>
      <c r="W216" s="149"/>
      <c r="X216" s="149"/>
      <c r="Y216" s="147"/>
      <c r="Z216" s="147"/>
      <c r="AA216" s="147"/>
      <c r="AB216" s="147"/>
      <c r="AC216" s="147"/>
      <c r="AD216" s="147"/>
      <c r="AE216" s="152"/>
      <c r="AF216" s="153" t="str">
        <f t="shared" si="10"/>
        <v xml:space="preserve"> </v>
      </c>
      <c r="AG216" s="154" t="str">
        <f t="shared" si="11"/>
        <v>Ingresar fuente de información</v>
      </c>
      <c r="AH216" s="134"/>
      <c r="AI216" s="155"/>
      <c r="AJ216" s="156"/>
      <c r="AK216" s="157"/>
      <c r="AM216" s="158"/>
      <c r="AN216" s="155" t="str">
        <f t="shared" si="13"/>
        <v xml:space="preserve"> </v>
      </c>
      <c r="AO216" s="156"/>
      <c r="AP216" s="157"/>
      <c r="AQ216" s="161"/>
      <c r="AR216" s="160" t="str">
        <f t="shared" si="12"/>
        <v xml:space="preserve"> </v>
      </c>
    </row>
    <row r="217" spans="1:44">
      <c r="A217" s="71"/>
      <c r="B217" s="142"/>
      <c r="C217" s="143"/>
      <c r="D217" s="143"/>
      <c r="E217" s="143"/>
      <c r="F217" s="144"/>
      <c r="G217" s="142"/>
      <c r="H217" s="144" t="str">
        <f>IF(OR(ISBLANK(I217),ISBLANK(AQ217))," ",IFERROR(VLOOKUP(CONCATENATE(I217,AQ217),Prestaciones!$E$1:$H$488,4,FALSE),IFERROR(VLOOKUP(CONCATENATE(LEFT(I217,6),AQ217),Prestaciones!$E$491:$H$836,4,FALSE),"La prestación no corresponde al grupo poblacional")))</f>
        <v xml:space="preserve"> </v>
      </c>
      <c r="I217" s="145"/>
      <c r="J217" s="145" t="str">
        <f>IF(OR(ISBLANK(I217),ISBLANK(AQ217))," ",IFERROR(VLOOKUP(CONCATENATE(I217,AQ217),Prestaciones!$E$1:$G$488,3,FALSE),IFERROR(VLOOKUP(CONCATENATE(LEFT(I217,6),AQ217),Prestaciones!$E$491:$H$836,3,FALSE),"La prestación no corresponde al grupo poblacional")))</f>
        <v xml:space="preserve"> </v>
      </c>
      <c r="K217" s="146"/>
      <c r="L217" s="146"/>
      <c r="M217" s="147"/>
      <c r="N217" s="148"/>
      <c r="O217" s="149"/>
      <c r="P217" s="150"/>
      <c r="Q217" s="151"/>
      <c r="R217" s="151"/>
      <c r="S217" s="151"/>
      <c r="T217" s="147"/>
      <c r="U217" s="147"/>
      <c r="V217" s="147"/>
      <c r="W217" s="149"/>
      <c r="X217" s="149"/>
      <c r="Y217" s="147"/>
      <c r="Z217" s="147"/>
      <c r="AA217" s="147"/>
      <c r="AB217" s="147"/>
      <c r="AC217" s="147"/>
      <c r="AD217" s="147"/>
      <c r="AE217" s="152"/>
      <c r="AF217" s="153" t="str">
        <f t="shared" si="10"/>
        <v xml:space="preserve"> </v>
      </c>
      <c r="AG217" s="154" t="str">
        <f t="shared" si="11"/>
        <v>Ingresar fuente de información</v>
      </c>
      <c r="AH217" s="134"/>
      <c r="AI217" s="155"/>
      <c r="AJ217" s="156"/>
      <c r="AK217" s="157"/>
      <c r="AM217" s="158"/>
      <c r="AN217" s="155" t="str">
        <f t="shared" si="13"/>
        <v xml:space="preserve"> </v>
      </c>
      <c r="AO217" s="156"/>
      <c r="AP217" s="157"/>
      <c r="AQ217" s="161"/>
      <c r="AR217" s="160" t="str">
        <f t="shared" si="12"/>
        <v xml:space="preserve"> </v>
      </c>
    </row>
    <row r="218" spans="1:44">
      <c r="A218" s="71"/>
      <c r="B218" s="142"/>
      <c r="C218" s="143"/>
      <c r="D218" s="143"/>
      <c r="E218" s="143"/>
      <c r="F218" s="144"/>
      <c r="G218" s="142"/>
      <c r="H218" s="144" t="str">
        <f>IF(OR(ISBLANK(I218),ISBLANK(AQ218))," ",IFERROR(VLOOKUP(CONCATENATE(I218,AQ218),Prestaciones!$E$1:$H$488,4,FALSE),IFERROR(VLOOKUP(CONCATENATE(LEFT(I218,6),AQ218),Prestaciones!$E$491:$H$836,4,FALSE),"La prestación no corresponde al grupo poblacional")))</f>
        <v xml:space="preserve"> </v>
      </c>
      <c r="I218" s="145"/>
      <c r="J218" s="145" t="str">
        <f>IF(OR(ISBLANK(I218),ISBLANK(AQ218))," ",IFERROR(VLOOKUP(CONCATENATE(I218,AQ218),Prestaciones!$E$1:$G$488,3,FALSE),IFERROR(VLOOKUP(CONCATENATE(LEFT(I218,6),AQ218),Prestaciones!$E$491:$H$836,3,FALSE),"La prestación no corresponde al grupo poblacional")))</f>
        <v xml:space="preserve"> </v>
      </c>
      <c r="K218" s="146"/>
      <c r="L218" s="146"/>
      <c r="M218" s="147"/>
      <c r="N218" s="148"/>
      <c r="O218" s="149"/>
      <c r="P218" s="150"/>
      <c r="Q218" s="151"/>
      <c r="R218" s="151"/>
      <c r="S218" s="151"/>
      <c r="T218" s="147"/>
      <c r="U218" s="147"/>
      <c r="V218" s="147"/>
      <c r="W218" s="149"/>
      <c r="X218" s="149"/>
      <c r="Y218" s="147"/>
      <c r="Z218" s="147"/>
      <c r="AA218" s="147"/>
      <c r="AB218" s="147"/>
      <c r="AC218" s="147"/>
      <c r="AD218" s="147"/>
      <c r="AE218" s="152"/>
      <c r="AF218" s="153" t="str">
        <f t="shared" si="10"/>
        <v xml:space="preserve"> </v>
      </c>
      <c r="AG218" s="154" t="str">
        <f t="shared" si="11"/>
        <v>Ingresar fuente de información</v>
      </c>
      <c r="AH218" s="134"/>
      <c r="AI218" s="155"/>
      <c r="AJ218" s="156"/>
      <c r="AK218" s="157"/>
      <c r="AM218" s="158"/>
      <c r="AN218" s="155" t="str">
        <f t="shared" si="13"/>
        <v xml:space="preserve"> </v>
      </c>
      <c r="AO218" s="156"/>
      <c r="AP218" s="157"/>
      <c r="AQ218" s="161"/>
      <c r="AR218" s="160" t="str">
        <f t="shared" si="12"/>
        <v xml:space="preserve"> </v>
      </c>
    </row>
    <row r="219" spans="1:44">
      <c r="A219" s="71"/>
      <c r="B219" s="142"/>
      <c r="C219" s="143"/>
      <c r="D219" s="143"/>
      <c r="E219" s="143"/>
      <c r="F219" s="144"/>
      <c r="G219" s="142"/>
      <c r="H219" s="144" t="str">
        <f>IF(OR(ISBLANK(I219),ISBLANK(AQ219))," ",IFERROR(VLOOKUP(CONCATENATE(I219,AQ219),Prestaciones!$E$1:$H$488,4,FALSE),IFERROR(VLOOKUP(CONCATENATE(LEFT(I219,6),AQ219),Prestaciones!$E$491:$H$836,4,FALSE),"La prestación no corresponde al grupo poblacional")))</f>
        <v xml:space="preserve"> </v>
      </c>
      <c r="I219" s="145"/>
      <c r="J219" s="145" t="str">
        <f>IF(OR(ISBLANK(I219),ISBLANK(AQ219))," ",IFERROR(VLOOKUP(CONCATENATE(I219,AQ219),Prestaciones!$E$1:$G$488,3,FALSE),IFERROR(VLOOKUP(CONCATENATE(LEFT(I219,6),AQ219),Prestaciones!$E$491:$H$836,3,FALSE),"La prestación no corresponde al grupo poblacional")))</f>
        <v xml:space="preserve"> </v>
      </c>
      <c r="K219" s="146"/>
      <c r="L219" s="146"/>
      <c r="M219" s="147"/>
      <c r="N219" s="148"/>
      <c r="O219" s="149"/>
      <c r="P219" s="150"/>
      <c r="Q219" s="151"/>
      <c r="R219" s="151"/>
      <c r="S219" s="151"/>
      <c r="T219" s="147"/>
      <c r="U219" s="147"/>
      <c r="V219" s="147"/>
      <c r="W219" s="149"/>
      <c r="X219" s="149"/>
      <c r="Y219" s="147"/>
      <c r="Z219" s="147"/>
      <c r="AA219" s="147"/>
      <c r="AB219" s="147"/>
      <c r="AC219" s="147"/>
      <c r="AD219" s="147"/>
      <c r="AE219" s="152"/>
      <c r="AF219" s="153" t="str">
        <f t="shared" si="10"/>
        <v xml:space="preserve"> </v>
      </c>
      <c r="AG219" s="154" t="str">
        <f t="shared" si="11"/>
        <v>Ingresar fuente de información</v>
      </c>
      <c r="AH219" s="134"/>
      <c r="AI219" s="155"/>
      <c r="AJ219" s="156"/>
      <c r="AK219" s="157"/>
      <c r="AM219" s="158"/>
      <c r="AN219" s="155" t="str">
        <f t="shared" si="13"/>
        <v xml:space="preserve"> </v>
      </c>
      <c r="AO219" s="156"/>
      <c r="AP219" s="157"/>
      <c r="AQ219" s="161"/>
      <c r="AR219" s="160" t="str">
        <f t="shared" si="12"/>
        <v xml:space="preserve"> </v>
      </c>
    </row>
    <row r="220" spans="1:44">
      <c r="A220" s="71"/>
      <c r="B220" s="142"/>
      <c r="C220" s="143"/>
      <c r="D220" s="143"/>
      <c r="E220" s="143"/>
      <c r="F220" s="144"/>
      <c r="G220" s="142"/>
      <c r="H220" s="144" t="str">
        <f>IF(OR(ISBLANK(I220),ISBLANK(AQ220))," ",IFERROR(VLOOKUP(CONCATENATE(I220,AQ220),Prestaciones!$E$1:$H$488,4,FALSE),IFERROR(VLOOKUP(CONCATENATE(LEFT(I220,6),AQ220),Prestaciones!$E$491:$H$836,4,FALSE),"La prestación no corresponde al grupo poblacional")))</f>
        <v xml:space="preserve"> </v>
      </c>
      <c r="I220" s="145"/>
      <c r="J220" s="145" t="str">
        <f>IF(OR(ISBLANK(I220),ISBLANK(AQ220))," ",IFERROR(VLOOKUP(CONCATENATE(I220,AQ220),Prestaciones!$E$1:$G$488,3,FALSE),IFERROR(VLOOKUP(CONCATENATE(LEFT(I220,6),AQ220),Prestaciones!$E$491:$H$836,3,FALSE),"La prestación no corresponde al grupo poblacional")))</f>
        <v xml:space="preserve"> </v>
      </c>
      <c r="K220" s="146"/>
      <c r="L220" s="146"/>
      <c r="M220" s="147"/>
      <c r="N220" s="148"/>
      <c r="O220" s="149"/>
      <c r="P220" s="150"/>
      <c r="Q220" s="151"/>
      <c r="R220" s="151"/>
      <c r="S220" s="151"/>
      <c r="T220" s="147"/>
      <c r="U220" s="147"/>
      <c r="V220" s="147"/>
      <c r="W220" s="149"/>
      <c r="X220" s="149"/>
      <c r="Y220" s="147"/>
      <c r="Z220" s="147"/>
      <c r="AA220" s="147"/>
      <c r="AB220" s="147"/>
      <c r="AC220" s="147"/>
      <c r="AD220" s="147"/>
      <c r="AE220" s="152"/>
      <c r="AF220" s="153" t="str">
        <f t="shared" si="10"/>
        <v xml:space="preserve"> </v>
      </c>
      <c r="AG220" s="154" t="str">
        <f t="shared" si="11"/>
        <v>Ingresar fuente de información</v>
      </c>
      <c r="AH220" s="134"/>
      <c r="AI220" s="155"/>
      <c r="AJ220" s="156"/>
      <c r="AK220" s="157"/>
      <c r="AM220" s="158"/>
      <c r="AN220" s="155" t="str">
        <f t="shared" si="13"/>
        <v xml:space="preserve"> </v>
      </c>
      <c r="AO220" s="156"/>
      <c r="AP220" s="157"/>
      <c r="AQ220" s="161"/>
      <c r="AR220" s="160" t="str">
        <f t="shared" si="12"/>
        <v xml:space="preserve"> </v>
      </c>
    </row>
    <row r="221" spans="1:44">
      <c r="A221" s="71"/>
      <c r="B221" s="142"/>
      <c r="C221" s="143"/>
      <c r="D221" s="143"/>
      <c r="E221" s="143"/>
      <c r="F221" s="144"/>
      <c r="G221" s="142"/>
      <c r="H221" s="144" t="str">
        <f>IF(OR(ISBLANK(I221),ISBLANK(AQ221))," ",IFERROR(VLOOKUP(CONCATENATE(I221,AQ221),Prestaciones!$E$1:$H$488,4,FALSE),IFERROR(VLOOKUP(CONCATENATE(LEFT(I221,6),AQ221),Prestaciones!$E$491:$H$836,4,FALSE),"La prestación no corresponde al grupo poblacional")))</f>
        <v xml:space="preserve"> </v>
      </c>
      <c r="I221" s="145"/>
      <c r="J221" s="145" t="str">
        <f>IF(OR(ISBLANK(I221),ISBLANK(AQ221))," ",IFERROR(VLOOKUP(CONCATENATE(I221,AQ221),Prestaciones!$E$1:$G$488,3,FALSE),IFERROR(VLOOKUP(CONCATENATE(LEFT(I221,6),AQ221),Prestaciones!$E$491:$H$836,3,FALSE),"La prestación no corresponde al grupo poblacional")))</f>
        <v xml:space="preserve"> </v>
      </c>
      <c r="K221" s="146"/>
      <c r="L221" s="146"/>
      <c r="M221" s="147"/>
      <c r="N221" s="148"/>
      <c r="O221" s="149"/>
      <c r="P221" s="150"/>
      <c r="Q221" s="151"/>
      <c r="R221" s="151"/>
      <c r="S221" s="151"/>
      <c r="T221" s="147"/>
      <c r="U221" s="147"/>
      <c r="V221" s="147"/>
      <c r="W221" s="149"/>
      <c r="X221" s="149"/>
      <c r="Y221" s="147"/>
      <c r="Z221" s="147"/>
      <c r="AA221" s="147"/>
      <c r="AB221" s="147"/>
      <c r="AC221" s="147"/>
      <c r="AD221" s="147"/>
      <c r="AE221" s="152"/>
      <c r="AF221" s="153" t="str">
        <f t="shared" si="10"/>
        <v xml:space="preserve"> </v>
      </c>
      <c r="AG221" s="154" t="str">
        <f t="shared" si="11"/>
        <v>Ingresar fuente de información</v>
      </c>
      <c r="AH221" s="134"/>
      <c r="AI221" s="155"/>
      <c r="AJ221" s="156"/>
      <c r="AK221" s="157"/>
      <c r="AM221" s="158"/>
      <c r="AN221" s="155" t="str">
        <f t="shared" si="13"/>
        <v xml:space="preserve"> </v>
      </c>
      <c r="AO221" s="156"/>
      <c r="AP221" s="157"/>
      <c r="AQ221" s="161"/>
      <c r="AR221" s="160" t="str">
        <f t="shared" si="12"/>
        <v xml:space="preserve"> </v>
      </c>
    </row>
    <row r="222" spans="1:44">
      <c r="A222" s="71"/>
      <c r="B222" s="142"/>
      <c r="C222" s="143"/>
      <c r="D222" s="143"/>
      <c r="E222" s="143"/>
      <c r="F222" s="144"/>
      <c r="G222" s="142"/>
      <c r="H222" s="144" t="str">
        <f>IF(OR(ISBLANK(I222),ISBLANK(AQ222))," ",IFERROR(VLOOKUP(CONCATENATE(I222,AQ222),Prestaciones!$E$1:$H$488,4,FALSE),IFERROR(VLOOKUP(CONCATENATE(LEFT(I222,6),AQ222),Prestaciones!$E$491:$H$836,4,FALSE),"La prestación no corresponde al grupo poblacional")))</f>
        <v xml:space="preserve"> </v>
      </c>
      <c r="I222" s="145"/>
      <c r="J222" s="145" t="str">
        <f>IF(OR(ISBLANK(I222),ISBLANK(AQ222))," ",IFERROR(VLOOKUP(CONCATENATE(I222,AQ222),Prestaciones!$E$1:$G$488,3,FALSE),IFERROR(VLOOKUP(CONCATENATE(LEFT(I222,6),AQ222),Prestaciones!$E$491:$H$836,3,FALSE),"La prestación no corresponde al grupo poblacional")))</f>
        <v xml:space="preserve"> </v>
      </c>
      <c r="K222" s="146"/>
      <c r="L222" s="146"/>
      <c r="M222" s="147"/>
      <c r="N222" s="148"/>
      <c r="O222" s="149"/>
      <c r="P222" s="150"/>
      <c r="Q222" s="151"/>
      <c r="R222" s="151"/>
      <c r="S222" s="151"/>
      <c r="T222" s="147"/>
      <c r="U222" s="147"/>
      <c r="V222" s="147"/>
      <c r="W222" s="149"/>
      <c r="X222" s="149"/>
      <c r="Y222" s="147"/>
      <c r="Z222" s="147"/>
      <c r="AA222" s="147"/>
      <c r="AB222" s="147"/>
      <c r="AC222" s="147"/>
      <c r="AD222" s="147"/>
      <c r="AE222" s="152"/>
      <c r="AF222" s="153" t="str">
        <f t="shared" si="10"/>
        <v xml:space="preserve"> </v>
      </c>
      <c r="AG222" s="154" t="str">
        <f t="shared" si="11"/>
        <v>Ingresar fuente de información</v>
      </c>
      <c r="AH222" s="134"/>
      <c r="AI222" s="155"/>
      <c r="AJ222" s="156"/>
      <c r="AK222" s="157"/>
      <c r="AM222" s="158"/>
      <c r="AN222" s="155" t="str">
        <f t="shared" si="13"/>
        <v xml:space="preserve"> </v>
      </c>
      <c r="AO222" s="156"/>
      <c r="AP222" s="157"/>
      <c r="AQ222" s="161"/>
      <c r="AR222" s="160" t="str">
        <f t="shared" si="12"/>
        <v xml:space="preserve"> </v>
      </c>
    </row>
    <row r="223" spans="1:44">
      <c r="A223" s="71"/>
      <c r="B223" s="142"/>
      <c r="C223" s="143"/>
      <c r="D223" s="143"/>
      <c r="E223" s="143"/>
      <c r="F223" s="144"/>
      <c r="G223" s="142"/>
      <c r="H223" s="144" t="str">
        <f>IF(OR(ISBLANK(I223),ISBLANK(AQ223))," ",IFERROR(VLOOKUP(CONCATENATE(I223,AQ223),Prestaciones!$E$1:$H$488,4,FALSE),IFERROR(VLOOKUP(CONCATENATE(LEFT(I223,6),AQ223),Prestaciones!$E$491:$H$836,4,FALSE),"La prestación no corresponde al grupo poblacional")))</f>
        <v xml:space="preserve"> </v>
      </c>
      <c r="I223" s="145"/>
      <c r="J223" s="145" t="str">
        <f>IF(OR(ISBLANK(I223),ISBLANK(AQ223))," ",IFERROR(VLOOKUP(CONCATENATE(I223,AQ223),Prestaciones!$E$1:$G$488,3,FALSE),IFERROR(VLOOKUP(CONCATENATE(LEFT(I223,6),AQ223),Prestaciones!$E$491:$H$836,3,FALSE),"La prestación no corresponde al grupo poblacional")))</f>
        <v xml:space="preserve"> </v>
      </c>
      <c r="K223" s="146"/>
      <c r="L223" s="146"/>
      <c r="M223" s="147"/>
      <c r="N223" s="148"/>
      <c r="O223" s="149"/>
      <c r="P223" s="150"/>
      <c r="Q223" s="151"/>
      <c r="R223" s="151"/>
      <c r="S223" s="151"/>
      <c r="T223" s="147"/>
      <c r="U223" s="147"/>
      <c r="V223" s="147"/>
      <c r="W223" s="149"/>
      <c r="X223" s="149"/>
      <c r="Y223" s="147"/>
      <c r="Z223" s="147"/>
      <c r="AA223" s="147"/>
      <c r="AB223" s="147"/>
      <c r="AC223" s="147"/>
      <c r="AD223" s="147"/>
      <c r="AE223" s="152"/>
      <c r="AF223" s="153" t="str">
        <f t="shared" ref="AF223:AF286" si="14">IF(ISBLANK(P223)," ",(K223-P223)/365)</f>
        <v xml:space="preserve"> </v>
      </c>
      <c r="AG223" s="154" t="str">
        <f t="shared" ref="AG223:AG285" si="15">IF(M223="No consta fuente de información","Se debe labrar acta",IF(M223="Prestación inexistente","Se debe labrar acta e indicar el tipo de fuente de información en observaciones",IF(M223="","Ingresar fuente de información",IF(AND(OR(M223="HC",M223="Ficha odontológica",M223="Libro de enfermería",M223="SIP",M223="Registro vacunatorio",M223="HCPB",M223="Ficha médica",M223="Libro del servicio de imágenes",M223="Registro del servicio de anatomía patológica",M223="Sistema informático",M223="Caso duplicado"),(OR(ISBLANK(O223),ISBLANK(Q223),ISBLANK(R223),ISBLANK(S223),ISBLANK(T223),ISBLANK(U223),ISBLANK(V223),ISBLANK(W223),ISBLANK(X223),ISBLANK(Y223),ISBLANK(Z223),ISBLANK(AA223),ISBLANK(AB223),ISBLANK(AC223),ISBLANK(AD223)))),"Completar todos los campos","OK"))))</f>
        <v>Ingresar fuente de información</v>
      </c>
      <c r="AH223" s="134"/>
      <c r="AI223" s="155"/>
      <c r="AJ223" s="156"/>
      <c r="AK223" s="157"/>
      <c r="AM223" s="158"/>
      <c r="AN223" s="155" t="str">
        <f t="shared" si="13"/>
        <v xml:space="preserve"> </v>
      </c>
      <c r="AO223" s="156"/>
      <c r="AP223" s="157"/>
      <c r="AQ223" s="161"/>
      <c r="AR223" s="160" t="str">
        <f t="shared" si="12"/>
        <v xml:space="preserve"> </v>
      </c>
    </row>
    <row r="224" spans="1:44">
      <c r="A224" s="71"/>
      <c r="B224" s="142"/>
      <c r="C224" s="143"/>
      <c r="D224" s="143"/>
      <c r="E224" s="143"/>
      <c r="F224" s="144"/>
      <c r="G224" s="142"/>
      <c r="H224" s="144" t="str">
        <f>IF(OR(ISBLANK(I224),ISBLANK(AQ224))," ",IFERROR(VLOOKUP(CONCATENATE(I224,AQ224),Prestaciones!$E$1:$H$488,4,FALSE),IFERROR(VLOOKUP(CONCATENATE(LEFT(I224,6),AQ224),Prestaciones!$E$491:$H$836,4,FALSE),"La prestación no corresponde al grupo poblacional")))</f>
        <v xml:space="preserve"> </v>
      </c>
      <c r="I224" s="145"/>
      <c r="J224" s="145" t="str">
        <f>IF(OR(ISBLANK(I224),ISBLANK(AQ224))," ",IFERROR(VLOOKUP(CONCATENATE(I224,AQ224),Prestaciones!$E$1:$G$488,3,FALSE),IFERROR(VLOOKUP(CONCATENATE(LEFT(I224,6),AQ224),Prestaciones!$E$491:$H$836,3,FALSE),"La prestación no corresponde al grupo poblacional")))</f>
        <v xml:space="preserve"> </v>
      </c>
      <c r="K224" s="146"/>
      <c r="L224" s="146"/>
      <c r="M224" s="147"/>
      <c r="N224" s="148"/>
      <c r="O224" s="149"/>
      <c r="P224" s="150"/>
      <c r="Q224" s="151"/>
      <c r="R224" s="151"/>
      <c r="S224" s="151"/>
      <c r="T224" s="147"/>
      <c r="U224" s="147"/>
      <c r="V224" s="147"/>
      <c r="W224" s="149"/>
      <c r="X224" s="149"/>
      <c r="Y224" s="147"/>
      <c r="Z224" s="147"/>
      <c r="AA224" s="147"/>
      <c r="AB224" s="147"/>
      <c r="AC224" s="147"/>
      <c r="AD224" s="147"/>
      <c r="AE224" s="152"/>
      <c r="AF224" s="153" t="str">
        <f t="shared" si="14"/>
        <v xml:space="preserve"> </v>
      </c>
      <c r="AG224" s="154" t="str">
        <f t="shared" si="15"/>
        <v>Ingresar fuente de información</v>
      </c>
      <c r="AH224" s="134"/>
      <c r="AI224" s="155"/>
      <c r="AJ224" s="156"/>
      <c r="AK224" s="157"/>
      <c r="AM224" s="158"/>
      <c r="AN224" s="155" t="str">
        <f t="shared" si="13"/>
        <v xml:space="preserve"> </v>
      </c>
      <c r="AO224" s="156"/>
      <c r="AP224" s="157"/>
      <c r="AQ224" s="161"/>
      <c r="AR224" s="160" t="str">
        <f t="shared" ref="AR224:AR287" si="16">IF(ISBLANK(P224)," ",IF(AND(AF224&lt;10),"Niños",IF(AND(AF224&gt;=10,AF224&lt;20),"Adolescentes",IF(AND(AF224&gt;=20,AF224&lt;65),"Adultos","No valido"))))</f>
        <v xml:space="preserve"> </v>
      </c>
    </row>
    <row r="225" spans="1:44">
      <c r="A225" s="71"/>
      <c r="B225" s="142"/>
      <c r="C225" s="143"/>
      <c r="D225" s="143"/>
      <c r="E225" s="143"/>
      <c r="F225" s="144"/>
      <c r="G225" s="142"/>
      <c r="H225" s="144" t="str">
        <f>IF(OR(ISBLANK(I225),ISBLANK(AQ225))," ",IFERROR(VLOOKUP(CONCATENATE(I225,AQ225),Prestaciones!$E$1:$H$488,4,FALSE),IFERROR(VLOOKUP(CONCATENATE(LEFT(I225,6),AQ225),Prestaciones!$E$491:$H$836,4,FALSE),"La prestación no corresponde al grupo poblacional")))</f>
        <v xml:space="preserve"> </v>
      </c>
      <c r="I225" s="145"/>
      <c r="J225" s="145" t="str">
        <f>IF(OR(ISBLANK(I225),ISBLANK(AQ225))," ",IFERROR(VLOOKUP(CONCATENATE(I225,AQ225),Prestaciones!$E$1:$G$488,3,FALSE),IFERROR(VLOOKUP(CONCATENATE(LEFT(I225,6),AQ225),Prestaciones!$E$491:$H$836,3,FALSE),"La prestación no corresponde al grupo poblacional")))</f>
        <v xml:space="preserve"> </v>
      </c>
      <c r="K225" s="146"/>
      <c r="L225" s="146"/>
      <c r="M225" s="147"/>
      <c r="N225" s="148"/>
      <c r="O225" s="149"/>
      <c r="P225" s="150"/>
      <c r="Q225" s="151"/>
      <c r="R225" s="151"/>
      <c r="S225" s="151"/>
      <c r="T225" s="147"/>
      <c r="U225" s="147"/>
      <c r="V225" s="147"/>
      <c r="W225" s="149"/>
      <c r="X225" s="149"/>
      <c r="Y225" s="147"/>
      <c r="Z225" s="147"/>
      <c r="AA225" s="147"/>
      <c r="AB225" s="147"/>
      <c r="AC225" s="147"/>
      <c r="AD225" s="147"/>
      <c r="AE225" s="152"/>
      <c r="AF225" s="153" t="str">
        <f t="shared" si="14"/>
        <v xml:space="preserve"> </v>
      </c>
      <c r="AG225" s="154" t="str">
        <f t="shared" si="15"/>
        <v>Ingresar fuente de información</v>
      </c>
      <c r="AH225" s="134"/>
      <c r="AI225" s="155"/>
      <c r="AJ225" s="156"/>
      <c r="AK225" s="157"/>
      <c r="AM225" s="158"/>
      <c r="AN225" s="155" t="str">
        <f t="shared" si="13"/>
        <v xml:space="preserve"> </v>
      </c>
      <c r="AO225" s="156"/>
      <c r="AP225" s="157"/>
      <c r="AQ225" s="161"/>
      <c r="AR225" s="160" t="str">
        <f t="shared" si="16"/>
        <v xml:space="preserve"> </v>
      </c>
    </row>
    <row r="226" spans="1:44">
      <c r="A226" s="71"/>
      <c r="B226" s="142"/>
      <c r="C226" s="143"/>
      <c r="D226" s="143"/>
      <c r="E226" s="143"/>
      <c r="F226" s="144"/>
      <c r="G226" s="142"/>
      <c r="H226" s="144" t="str">
        <f>IF(OR(ISBLANK(I226),ISBLANK(AQ226))," ",IFERROR(VLOOKUP(CONCATENATE(I226,AQ226),Prestaciones!$E$1:$H$488,4,FALSE),IFERROR(VLOOKUP(CONCATENATE(LEFT(I226,6),AQ226),Prestaciones!$E$491:$H$836,4,FALSE),"La prestación no corresponde al grupo poblacional")))</f>
        <v xml:space="preserve"> </v>
      </c>
      <c r="I226" s="145"/>
      <c r="J226" s="145" t="str">
        <f>IF(OR(ISBLANK(I226),ISBLANK(AQ226))," ",IFERROR(VLOOKUP(CONCATENATE(I226,AQ226),Prestaciones!$E$1:$G$488,3,FALSE),IFERROR(VLOOKUP(CONCATENATE(LEFT(I226,6),AQ226),Prestaciones!$E$491:$H$836,3,FALSE),"La prestación no corresponde al grupo poblacional")))</f>
        <v xml:space="preserve"> </v>
      </c>
      <c r="K226" s="146"/>
      <c r="L226" s="146"/>
      <c r="M226" s="147"/>
      <c r="N226" s="148"/>
      <c r="O226" s="149"/>
      <c r="P226" s="150"/>
      <c r="Q226" s="151"/>
      <c r="R226" s="151"/>
      <c r="S226" s="151"/>
      <c r="T226" s="147"/>
      <c r="U226" s="147"/>
      <c r="V226" s="147"/>
      <c r="W226" s="149"/>
      <c r="X226" s="149"/>
      <c r="Y226" s="147"/>
      <c r="Z226" s="147"/>
      <c r="AA226" s="147"/>
      <c r="AB226" s="147"/>
      <c r="AC226" s="147"/>
      <c r="AD226" s="147"/>
      <c r="AE226" s="152"/>
      <c r="AF226" s="153" t="str">
        <f t="shared" si="14"/>
        <v xml:space="preserve"> </v>
      </c>
      <c r="AG226" s="154" t="str">
        <f t="shared" si="15"/>
        <v>Ingresar fuente de información</v>
      </c>
      <c r="AH226" s="134"/>
      <c r="AI226" s="155"/>
      <c r="AJ226" s="156"/>
      <c r="AK226" s="157"/>
      <c r="AM226" s="158"/>
      <c r="AN226" s="155" t="str">
        <f t="shared" si="13"/>
        <v xml:space="preserve"> </v>
      </c>
      <c r="AO226" s="156"/>
      <c r="AP226" s="157"/>
      <c r="AQ226" s="161"/>
      <c r="AR226" s="160" t="str">
        <f t="shared" si="16"/>
        <v xml:space="preserve"> </v>
      </c>
    </row>
    <row r="227" spans="1:44">
      <c r="A227" s="71"/>
      <c r="B227" s="142"/>
      <c r="C227" s="143"/>
      <c r="D227" s="143"/>
      <c r="E227" s="143"/>
      <c r="F227" s="144"/>
      <c r="G227" s="142"/>
      <c r="H227" s="144" t="str">
        <f>IF(OR(ISBLANK(I227),ISBLANK(AQ227))," ",IFERROR(VLOOKUP(CONCATENATE(I227,AQ227),Prestaciones!$E$1:$H$488,4,FALSE),IFERROR(VLOOKUP(CONCATENATE(LEFT(I227,6),AQ227),Prestaciones!$E$491:$H$836,4,FALSE),"La prestación no corresponde al grupo poblacional")))</f>
        <v xml:space="preserve"> </v>
      </c>
      <c r="I227" s="145"/>
      <c r="J227" s="145" t="str">
        <f>IF(OR(ISBLANK(I227),ISBLANK(AQ227))," ",IFERROR(VLOOKUP(CONCATENATE(I227,AQ227),Prestaciones!$E$1:$G$488,3,FALSE),IFERROR(VLOOKUP(CONCATENATE(LEFT(I227,6),AQ227),Prestaciones!$E$491:$H$836,3,FALSE),"La prestación no corresponde al grupo poblacional")))</f>
        <v xml:space="preserve"> </v>
      </c>
      <c r="K227" s="146"/>
      <c r="L227" s="146"/>
      <c r="M227" s="147"/>
      <c r="N227" s="148"/>
      <c r="O227" s="149"/>
      <c r="P227" s="150"/>
      <c r="Q227" s="151"/>
      <c r="R227" s="151"/>
      <c r="S227" s="151"/>
      <c r="T227" s="147"/>
      <c r="U227" s="147"/>
      <c r="V227" s="147"/>
      <c r="W227" s="149"/>
      <c r="X227" s="149"/>
      <c r="Y227" s="147"/>
      <c r="Z227" s="147"/>
      <c r="AA227" s="147"/>
      <c r="AB227" s="147"/>
      <c r="AC227" s="147"/>
      <c r="AD227" s="147"/>
      <c r="AE227" s="152"/>
      <c r="AF227" s="153" t="str">
        <f t="shared" si="14"/>
        <v xml:space="preserve"> </v>
      </c>
      <c r="AG227" s="154" t="str">
        <f t="shared" si="15"/>
        <v>Ingresar fuente de información</v>
      </c>
      <c r="AH227" s="134"/>
      <c r="AI227" s="155"/>
      <c r="AJ227" s="156"/>
      <c r="AK227" s="157"/>
      <c r="AM227" s="158"/>
      <c r="AN227" s="155" t="str">
        <f t="shared" si="13"/>
        <v xml:space="preserve"> </v>
      </c>
      <c r="AO227" s="156"/>
      <c r="AP227" s="157"/>
      <c r="AQ227" s="161"/>
      <c r="AR227" s="160" t="str">
        <f t="shared" si="16"/>
        <v xml:space="preserve"> </v>
      </c>
    </row>
    <row r="228" spans="1:44">
      <c r="A228" s="71"/>
      <c r="B228" s="142"/>
      <c r="C228" s="143"/>
      <c r="D228" s="143"/>
      <c r="E228" s="143"/>
      <c r="F228" s="144"/>
      <c r="G228" s="142"/>
      <c r="H228" s="144" t="str">
        <f>IF(OR(ISBLANK(I228),ISBLANK(AQ228))," ",IFERROR(VLOOKUP(CONCATENATE(I228,AQ228),Prestaciones!$E$1:$H$488,4,FALSE),IFERROR(VLOOKUP(CONCATENATE(LEFT(I228,6),AQ228),Prestaciones!$E$491:$H$836,4,FALSE),"La prestación no corresponde al grupo poblacional")))</f>
        <v xml:space="preserve"> </v>
      </c>
      <c r="I228" s="145"/>
      <c r="J228" s="145" t="str">
        <f>IF(OR(ISBLANK(I228),ISBLANK(AQ228))," ",IFERROR(VLOOKUP(CONCATENATE(I228,AQ228),Prestaciones!$E$1:$G$488,3,FALSE),IFERROR(VLOOKUP(CONCATENATE(LEFT(I228,6),AQ228),Prestaciones!$E$491:$H$836,3,FALSE),"La prestación no corresponde al grupo poblacional")))</f>
        <v xml:space="preserve"> </v>
      </c>
      <c r="K228" s="146"/>
      <c r="L228" s="146"/>
      <c r="M228" s="147"/>
      <c r="N228" s="148"/>
      <c r="O228" s="149"/>
      <c r="P228" s="150"/>
      <c r="Q228" s="151"/>
      <c r="R228" s="151"/>
      <c r="S228" s="151"/>
      <c r="T228" s="147"/>
      <c r="U228" s="147"/>
      <c r="V228" s="147"/>
      <c r="W228" s="149"/>
      <c r="X228" s="149"/>
      <c r="Y228" s="147"/>
      <c r="Z228" s="147"/>
      <c r="AA228" s="147"/>
      <c r="AB228" s="147"/>
      <c r="AC228" s="147"/>
      <c r="AD228" s="147"/>
      <c r="AE228" s="152"/>
      <c r="AF228" s="153" t="str">
        <f t="shared" si="14"/>
        <v xml:space="preserve"> </v>
      </c>
      <c r="AG228" s="154" t="str">
        <f t="shared" si="15"/>
        <v>Ingresar fuente de información</v>
      </c>
      <c r="AH228" s="134"/>
      <c r="AI228" s="155"/>
      <c r="AJ228" s="156"/>
      <c r="AK228" s="157"/>
      <c r="AM228" s="158"/>
      <c r="AN228" s="155" t="str">
        <f t="shared" si="13"/>
        <v xml:space="preserve"> </v>
      </c>
      <c r="AO228" s="156"/>
      <c r="AP228" s="157"/>
      <c r="AQ228" s="161"/>
      <c r="AR228" s="160" t="str">
        <f t="shared" si="16"/>
        <v xml:space="preserve"> </v>
      </c>
    </row>
    <row r="229" spans="1:44">
      <c r="A229" s="71"/>
      <c r="B229" s="142"/>
      <c r="C229" s="143"/>
      <c r="D229" s="143"/>
      <c r="E229" s="143"/>
      <c r="F229" s="144"/>
      <c r="G229" s="142"/>
      <c r="H229" s="144" t="str">
        <f>IF(OR(ISBLANK(I229),ISBLANK(AQ229))," ",IFERROR(VLOOKUP(CONCATENATE(I229,AQ229),Prestaciones!$E$1:$H$488,4,FALSE),IFERROR(VLOOKUP(CONCATENATE(LEFT(I229,6),AQ229),Prestaciones!$E$491:$H$836,4,FALSE),"La prestación no corresponde al grupo poblacional")))</f>
        <v xml:space="preserve"> </v>
      </c>
      <c r="I229" s="145"/>
      <c r="J229" s="145" t="str">
        <f>IF(OR(ISBLANK(I229),ISBLANK(AQ229))," ",IFERROR(VLOOKUP(CONCATENATE(I229,AQ229),Prestaciones!$E$1:$G$488,3,FALSE),IFERROR(VLOOKUP(CONCATENATE(LEFT(I229,6),AQ229),Prestaciones!$E$491:$H$836,3,FALSE),"La prestación no corresponde al grupo poblacional")))</f>
        <v xml:space="preserve"> </v>
      </c>
      <c r="K229" s="146"/>
      <c r="L229" s="146"/>
      <c r="M229" s="147"/>
      <c r="N229" s="148"/>
      <c r="O229" s="149"/>
      <c r="P229" s="150"/>
      <c r="Q229" s="151"/>
      <c r="R229" s="151"/>
      <c r="S229" s="151"/>
      <c r="T229" s="147"/>
      <c r="U229" s="147"/>
      <c r="V229" s="147"/>
      <c r="W229" s="149"/>
      <c r="X229" s="149"/>
      <c r="Y229" s="147"/>
      <c r="Z229" s="147"/>
      <c r="AA229" s="147"/>
      <c r="AB229" s="147"/>
      <c r="AC229" s="147"/>
      <c r="AD229" s="147"/>
      <c r="AE229" s="152"/>
      <c r="AF229" s="153" t="str">
        <f t="shared" si="14"/>
        <v xml:space="preserve"> </v>
      </c>
      <c r="AG229" s="154" t="str">
        <f t="shared" si="15"/>
        <v>Ingresar fuente de información</v>
      </c>
      <c r="AH229" s="134"/>
      <c r="AI229" s="155"/>
      <c r="AJ229" s="156"/>
      <c r="AK229" s="157"/>
      <c r="AM229" s="158"/>
      <c r="AN229" s="155" t="str">
        <f t="shared" si="13"/>
        <v xml:space="preserve"> </v>
      </c>
      <c r="AO229" s="156"/>
      <c r="AP229" s="157"/>
      <c r="AQ229" s="161"/>
      <c r="AR229" s="160" t="str">
        <f t="shared" si="16"/>
        <v xml:space="preserve"> </v>
      </c>
    </row>
    <row r="230" spans="1:44">
      <c r="A230" s="71"/>
      <c r="B230" s="142"/>
      <c r="C230" s="143"/>
      <c r="D230" s="143"/>
      <c r="E230" s="143"/>
      <c r="F230" s="144"/>
      <c r="G230" s="142"/>
      <c r="H230" s="144" t="str">
        <f>IF(OR(ISBLANK(I230),ISBLANK(AQ230))," ",IFERROR(VLOOKUP(CONCATENATE(I230,AQ230),Prestaciones!$E$1:$H$488,4,FALSE),IFERROR(VLOOKUP(CONCATENATE(LEFT(I230,6),AQ230),Prestaciones!$E$491:$H$836,4,FALSE),"La prestación no corresponde al grupo poblacional")))</f>
        <v xml:space="preserve"> </v>
      </c>
      <c r="I230" s="145"/>
      <c r="J230" s="145" t="str">
        <f>IF(OR(ISBLANK(I230),ISBLANK(AQ230))," ",IFERROR(VLOOKUP(CONCATENATE(I230,AQ230),Prestaciones!$E$1:$G$488,3,FALSE),IFERROR(VLOOKUP(CONCATENATE(LEFT(I230,6),AQ230),Prestaciones!$E$491:$H$836,3,FALSE),"La prestación no corresponde al grupo poblacional")))</f>
        <v xml:space="preserve"> </v>
      </c>
      <c r="K230" s="146"/>
      <c r="L230" s="146"/>
      <c r="M230" s="147"/>
      <c r="N230" s="148"/>
      <c r="O230" s="149"/>
      <c r="P230" s="150"/>
      <c r="Q230" s="151"/>
      <c r="R230" s="151"/>
      <c r="S230" s="151"/>
      <c r="T230" s="147"/>
      <c r="U230" s="147"/>
      <c r="V230" s="147"/>
      <c r="W230" s="149"/>
      <c r="X230" s="149"/>
      <c r="Y230" s="147"/>
      <c r="Z230" s="147"/>
      <c r="AA230" s="147"/>
      <c r="AB230" s="147"/>
      <c r="AC230" s="147"/>
      <c r="AD230" s="147"/>
      <c r="AE230" s="152"/>
      <c r="AF230" s="153" t="str">
        <f t="shared" si="14"/>
        <v xml:space="preserve"> </v>
      </c>
      <c r="AG230" s="154" t="str">
        <f t="shared" si="15"/>
        <v>Ingresar fuente de información</v>
      </c>
      <c r="AH230" s="134"/>
      <c r="AI230" s="155"/>
      <c r="AJ230" s="156"/>
      <c r="AK230" s="157"/>
      <c r="AM230" s="158"/>
      <c r="AN230" s="155" t="str">
        <f t="shared" si="13"/>
        <v xml:space="preserve"> </v>
      </c>
      <c r="AO230" s="156"/>
      <c r="AP230" s="157"/>
      <c r="AQ230" s="161"/>
      <c r="AR230" s="160" t="str">
        <f t="shared" si="16"/>
        <v xml:space="preserve"> </v>
      </c>
    </row>
    <row r="231" spans="1:44">
      <c r="A231" s="71"/>
      <c r="B231" s="142"/>
      <c r="C231" s="143"/>
      <c r="D231" s="143"/>
      <c r="E231" s="143"/>
      <c r="F231" s="144"/>
      <c r="G231" s="142"/>
      <c r="H231" s="144" t="str">
        <f>IF(OR(ISBLANK(I231),ISBLANK(AQ231))," ",IFERROR(VLOOKUP(CONCATENATE(I231,AQ231),Prestaciones!$E$1:$H$488,4,FALSE),IFERROR(VLOOKUP(CONCATENATE(LEFT(I231,6),AQ231),Prestaciones!$E$491:$H$836,4,FALSE),"La prestación no corresponde al grupo poblacional")))</f>
        <v xml:space="preserve"> </v>
      </c>
      <c r="I231" s="145"/>
      <c r="J231" s="145" t="str">
        <f>IF(OR(ISBLANK(I231),ISBLANK(AQ231))," ",IFERROR(VLOOKUP(CONCATENATE(I231,AQ231),Prestaciones!$E$1:$G$488,3,FALSE),IFERROR(VLOOKUP(CONCATENATE(LEFT(I231,6),AQ231),Prestaciones!$E$491:$H$836,3,FALSE),"La prestación no corresponde al grupo poblacional")))</f>
        <v xml:space="preserve"> </v>
      </c>
      <c r="K231" s="146"/>
      <c r="L231" s="146"/>
      <c r="M231" s="147"/>
      <c r="N231" s="148"/>
      <c r="O231" s="149"/>
      <c r="P231" s="150"/>
      <c r="Q231" s="151"/>
      <c r="R231" s="151"/>
      <c r="S231" s="151"/>
      <c r="T231" s="147"/>
      <c r="U231" s="147"/>
      <c r="V231" s="147"/>
      <c r="W231" s="149"/>
      <c r="X231" s="149"/>
      <c r="Y231" s="147"/>
      <c r="Z231" s="147"/>
      <c r="AA231" s="147"/>
      <c r="AB231" s="147"/>
      <c r="AC231" s="147"/>
      <c r="AD231" s="147"/>
      <c r="AE231" s="152"/>
      <c r="AF231" s="153" t="str">
        <f t="shared" si="14"/>
        <v xml:space="preserve"> </v>
      </c>
      <c r="AG231" s="154" t="str">
        <f t="shared" si="15"/>
        <v>Ingresar fuente de información</v>
      </c>
      <c r="AH231" s="134"/>
      <c r="AI231" s="155"/>
      <c r="AJ231" s="156"/>
      <c r="AK231" s="157"/>
      <c r="AM231" s="158"/>
      <c r="AN231" s="155" t="str">
        <f t="shared" si="13"/>
        <v xml:space="preserve"> </v>
      </c>
      <c r="AO231" s="156"/>
      <c r="AP231" s="157"/>
      <c r="AQ231" s="161"/>
      <c r="AR231" s="160" t="str">
        <f t="shared" si="16"/>
        <v xml:space="preserve"> </v>
      </c>
    </row>
    <row r="232" spans="1:44">
      <c r="A232" s="71"/>
      <c r="B232" s="142"/>
      <c r="C232" s="143"/>
      <c r="D232" s="143"/>
      <c r="E232" s="143"/>
      <c r="F232" s="144"/>
      <c r="G232" s="142"/>
      <c r="H232" s="144" t="str">
        <f>IF(OR(ISBLANK(I232),ISBLANK(AQ232))," ",IFERROR(VLOOKUP(CONCATENATE(I232,AQ232),Prestaciones!$E$1:$H$488,4,FALSE),IFERROR(VLOOKUP(CONCATENATE(LEFT(I232,6),AQ232),Prestaciones!$E$491:$H$836,4,FALSE),"La prestación no corresponde al grupo poblacional")))</f>
        <v xml:space="preserve"> </v>
      </c>
      <c r="I232" s="145"/>
      <c r="J232" s="145" t="str">
        <f>IF(OR(ISBLANK(I232),ISBLANK(AQ232))," ",IFERROR(VLOOKUP(CONCATENATE(I232,AQ232),Prestaciones!$E$1:$G$488,3,FALSE),IFERROR(VLOOKUP(CONCATENATE(LEFT(I232,6),AQ232),Prestaciones!$E$491:$H$836,3,FALSE),"La prestación no corresponde al grupo poblacional")))</f>
        <v xml:space="preserve"> </v>
      </c>
      <c r="K232" s="146"/>
      <c r="L232" s="146"/>
      <c r="M232" s="147"/>
      <c r="N232" s="148"/>
      <c r="O232" s="149"/>
      <c r="P232" s="150"/>
      <c r="Q232" s="151"/>
      <c r="R232" s="151"/>
      <c r="S232" s="151"/>
      <c r="T232" s="147"/>
      <c r="U232" s="147"/>
      <c r="V232" s="147"/>
      <c r="W232" s="149"/>
      <c r="X232" s="149"/>
      <c r="Y232" s="147"/>
      <c r="Z232" s="147"/>
      <c r="AA232" s="147"/>
      <c r="AB232" s="147"/>
      <c r="AC232" s="147"/>
      <c r="AD232" s="147"/>
      <c r="AE232" s="152"/>
      <c r="AF232" s="153" t="str">
        <f t="shared" si="14"/>
        <v xml:space="preserve"> </v>
      </c>
      <c r="AG232" s="154" t="str">
        <f t="shared" si="15"/>
        <v>Ingresar fuente de información</v>
      </c>
      <c r="AH232" s="134"/>
      <c r="AI232" s="155"/>
      <c r="AJ232" s="156"/>
      <c r="AK232" s="157"/>
      <c r="AM232" s="158"/>
      <c r="AN232" s="155" t="str">
        <f t="shared" si="13"/>
        <v xml:space="preserve"> </v>
      </c>
      <c r="AO232" s="156"/>
      <c r="AP232" s="157"/>
      <c r="AQ232" s="161"/>
      <c r="AR232" s="160" t="str">
        <f t="shared" si="16"/>
        <v xml:space="preserve"> </v>
      </c>
    </row>
    <row r="233" spans="1:44">
      <c r="A233" s="71"/>
      <c r="B233" s="142"/>
      <c r="C233" s="143"/>
      <c r="D233" s="143"/>
      <c r="E233" s="143"/>
      <c r="F233" s="144"/>
      <c r="G233" s="142"/>
      <c r="H233" s="144" t="str">
        <f>IF(OR(ISBLANK(I233),ISBLANK(AQ233))," ",IFERROR(VLOOKUP(CONCATENATE(I233,AQ233),Prestaciones!$E$1:$H$488,4,FALSE),IFERROR(VLOOKUP(CONCATENATE(LEFT(I233,6),AQ233),Prestaciones!$E$491:$H$836,4,FALSE),"La prestación no corresponde al grupo poblacional")))</f>
        <v xml:space="preserve"> </v>
      </c>
      <c r="I233" s="145"/>
      <c r="J233" s="145" t="str">
        <f>IF(OR(ISBLANK(I233),ISBLANK(AQ233))," ",IFERROR(VLOOKUP(CONCATENATE(I233,AQ233),Prestaciones!$E$1:$G$488,3,FALSE),IFERROR(VLOOKUP(CONCATENATE(LEFT(I233,6),AQ233),Prestaciones!$E$491:$H$836,3,FALSE),"La prestación no corresponde al grupo poblacional")))</f>
        <v xml:space="preserve"> </v>
      </c>
      <c r="K233" s="146"/>
      <c r="L233" s="146"/>
      <c r="M233" s="147"/>
      <c r="N233" s="148"/>
      <c r="O233" s="149"/>
      <c r="P233" s="150"/>
      <c r="Q233" s="151"/>
      <c r="R233" s="151"/>
      <c r="S233" s="151"/>
      <c r="T233" s="147"/>
      <c r="U233" s="147"/>
      <c r="V233" s="147"/>
      <c r="W233" s="149"/>
      <c r="X233" s="149"/>
      <c r="Y233" s="147"/>
      <c r="Z233" s="147"/>
      <c r="AA233" s="147"/>
      <c r="AB233" s="147"/>
      <c r="AC233" s="147"/>
      <c r="AD233" s="147"/>
      <c r="AE233" s="152"/>
      <c r="AF233" s="153" t="str">
        <f t="shared" si="14"/>
        <v xml:space="preserve"> </v>
      </c>
      <c r="AG233" s="154" t="str">
        <f t="shared" si="15"/>
        <v>Ingresar fuente de información</v>
      </c>
      <c r="AH233" s="134"/>
      <c r="AI233" s="155"/>
      <c r="AJ233" s="156"/>
      <c r="AK233" s="157"/>
      <c r="AM233" s="158"/>
      <c r="AN233" s="155" t="str">
        <f t="shared" si="13"/>
        <v xml:space="preserve"> </v>
      </c>
      <c r="AO233" s="156"/>
      <c r="AP233" s="157"/>
      <c r="AQ233" s="161"/>
      <c r="AR233" s="160" t="str">
        <f t="shared" si="16"/>
        <v xml:space="preserve"> </v>
      </c>
    </row>
    <row r="234" spans="1:44">
      <c r="A234" s="71"/>
      <c r="B234" s="142"/>
      <c r="C234" s="143"/>
      <c r="D234" s="143"/>
      <c r="E234" s="143"/>
      <c r="F234" s="144"/>
      <c r="G234" s="142"/>
      <c r="H234" s="144" t="str">
        <f>IF(OR(ISBLANK(I234),ISBLANK(AQ234))," ",IFERROR(VLOOKUP(CONCATENATE(I234,AQ234),Prestaciones!$E$1:$H$488,4,FALSE),IFERROR(VLOOKUP(CONCATENATE(LEFT(I234,6),AQ234),Prestaciones!$E$491:$H$836,4,FALSE),"La prestación no corresponde al grupo poblacional")))</f>
        <v xml:space="preserve"> </v>
      </c>
      <c r="I234" s="145"/>
      <c r="J234" s="145" t="str">
        <f>IF(OR(ISBLANK(I234),ISBLANK(AQ234))," ",IFERROR(VLOOKUP(CONCATENATE(I234,AQ234),Prestaciones!$E$1:$G$488,3,FALSE),IFERROR(VLOOKUP(CONCATENATE(LEFT(I234,6),AQ234),Prestaciones!$E$491:$H$836,3,FALSE),"La prestación no corresponde al grupo poblacional")))</f>
        <v xml:space="preserve"> </v>
      </c>
      <c r="K234" s="146"/>
      <c r="L234" s="146"/>
      <c r="M234" s="147"/>
      <c r="N234" s="148"/>
      <c r="O234" s="149"/>
      <c r="P234" s="150"/>
      <c r="Q234" s="151"/>
      <c r="R234" s="151"/>
      <c r="S234" s="151"/>
      <c r="T234" s="147"/>
      <c r="U234" s="147"/>
      <c r="V234" s="147"/>
      <c r="W234" s="149"/>
      <c r="X234" s="149"/>
      <c r="Y234" s="147"/>
      <c r="Z234" s="147"/>
      <c r="AA234" s="147"/>
      <c r="AB234" s="147"/>
      <c r="AC234" s="147"/>
      <c r="AD234" s="147"/>
      <c r="AE234" s="152"/>
      <c r="AF234" s="153" t="str">
        <f t="shared" si="14"/>
        <v xml:space="preserve"> </v>
      </c>
      <c r="AG234" s="154" t="str">
        <f t="shared" si="15"/>
        <v>Ingresar fuente de información</v>
      </c>
      <c r="AH234" s="134"/>
      <c r="AI234" s="155"/>
      <c r="AJ234" s="156"/>
      <c r="AK234" s="157"/>
      <c r="AM234" s="158"/>
      <c r="AN234" s="155" t="str">
        <f t="shared" si="13"/>
        <v xml:space="preserve"> </v>
      </c>
      <c r="AO234" s="156"/>
      <c r="AP234" s="157"/>
      <c r="AQ234" s="161"/>
      <c r="AR234" s="160" t="str">
        <f t="shared" si="16"/>
        <v xml:space="preserve"> </v>
      </c>
    </row>
    <row r="235" spans="1:44">
      <c r="A235" s="71"/>
      <c r="B235" s="142"/>
      <c r="C235" s="143"/>
      <c r="D235" s="143"/>
      <c r="E235" s="143"/>
      <c r="F235" s="144"/>
      <c r="G235" s="142"/>
      <c r="H235" s="144" t="str">
        <f>IF(OR(ISBLANK(I235),ISBLANK(AQ235))," ",IFERROR(VLOOKUP(CONCATENATE(I235,AQ235),Prestaciones!$E$1:$H$488,4,FALSE),IFERROR(VLOOKUP(CONCATENATE(LEFT(I235,6),AQ235),Prestaciones!$E$491:$H$836,4,FALSE),"La prestación no corresponde al grupo poblacional")))</f>
        <v xml:space="preserve"> </v>
      </c>
      <c r="I235" s="145"/>
      <c r="J235" s="145" t="str">
        <f>IF(OR(ISBLANK(I235),ISBLANK(AQ235))," ",IFERROR(VLOOKUP(CONCATENATE(I235,AQ235),Prestaciones!$E$1:$G$488,3,FALSE),IFERROR(VLOOKUP(CONCATENATE(LEFT(I235,6),AQ235),Prestaciones!$E$491:$H$836,3,FALSE),"La prestación no corresponde al grupo poblacional")))</f>
        <v xml:space="preserve"> </v>
      </c>
      <c r="K235" s="146"/>
      <c r="L235" s="146"/>
      <c r="M235" s="147"/>
      <c r="N235" s="148"/>
      <c r="O235" s="149"/>
      <c r="P235" s="150"/>
      <c r="Q235" s="151"/>
      <c r="R235" s="151"/>
      <c r="S235" s="151"/>
      <c r="T235" s="147"/>
      <c r="U235" s="147"/>
      <c r="V235" s="147"/>
      <c r="W235" s="149"/>
      <c r="X235" s="149"/>
      <c r="Y235" s="147"/>
      <c r="Z235" s="147"/>
      <c r="AA235" s="147"/>
      <c r="AB235" s="147"/>
      <c r="AC235" s="147"/>
      <c r="AD235" s="147"/>
      <c r="AE235" s="152"/>
      <c r="AF235" s="153" t="str">
        <f t="shared" si="14"/>
        <v xml:space="preserve"> </v>
      </c>
      <c r="AG235" s="154" t="str">
        <f t="shared" si="15"/>
        <v>Ingresar fuente de información</v>
      </c>
      <c r="AH235" s="134"/>
      <c r="AI235" s="155"/>
      <c r="AJ235" s="156"/>
      <c r="AK235" s="157"/>
      <c r="AM235" s="158"/>
      <c r="AN235" s="155" t="str">
        <f t="shared" si="13"/>
        <v xml:space="preserve"> </v>
      </c>
      <c r="AO235" s="156"/>
      <c r="AP235" s="157"/>
      <c r="AQ235" s="161"/>
      <c r="AR235" s="160" t="str">
        <f t="shared" si="16"/>
        <v xml:space="preserve"> </v>
      </c>
    </row>
    <row r="236" spans="1:44">
      <c r="A236" s="71"/>
      <c r="B236" s="142"/>
      <c r="C236" s="143"/>
      <c r="D236" s="143"/>
      <c r="E236" s="143"/>
      <c r="F236" s="144"/>
      <c r="G236" s="142"/>
      <c r="H236" s="144" t="str">
        <f>IF(OR(ISBLANK(I236),ISBLANK(AQ236))," ",IFERROR(VLOOKUP(CONCATENATE(I236,AQ236),Prestaciones!$E$1:$H$488,4,FALSE),IFERROR(VLOOKUP(CONCATENATE(LEFT(I236,6),AQ236),Prestaciones!$E$491:$H$836,4,FALSE),"La prestación no corresponde al grupo poblacional")))</f>
        <v xml:space="preserve"> </v>
      </c>
      <c r="I236" s="145"/>
      <c r="J236" s="145" t="str">
        <f>IF(OR(ISBLANK(I236),ISBLANK(AQ236))," ",IFERROR(VLOOKUP(CONCATENATE(I236,AQ236),Prestaciones!$E$1:$G$488,3,FALSE),IFERROR(VLOOKUP(CONCATENATE(LEFT(I236,6),AQ236),Prestaciones!$E$491:$H$836,3,FALSE),"La prestación no corresponde al grupo poblacional")))</f>
        <v xml:space="preserve"> </v>
      </c>
      <c r="K236" s="146"/>
      <c r="L236" s="146"/>
      <c r="M236" s="147"/>
      <c r="N236" s="148"/>
      <c r="O236" s="149"/>
      <c r="P236" s="150"/>
      <c r="Q236" s="151"/>
      <c r="R236" s="151"/>
      <c r="S236" s="151"/>
      <c r="T236" s="147"/>
      <c r="U236" s="147"/>
      <c r="V236" s="147"/>
      <c r="W236" s="149"/>
      <c r="X236" s="149"/>
      <c r="Y236" s="147"/>
      <c r="Z236" s="147"/>
      <c r="AA236" s="147"/>
      <c r="AB236" s="147"/>
      <c r="AC236" s="147"/>
      <c r="AD236" s="147"/>
      <c r="AE236" s="152"/>
      <c r="AF236" s="153" t="str">
        <f t="shared" si="14"/>
        <v xml:space="preserve"> </v>
      </c>
      <c r="AG236" s="154" t="str">
        <f t="shared" si="15"/>
        <v>Ingresar fuente de información</v>
      </c>
      <c r="AH236" s="134"/>
      <c r="AI236" s="155"/>
      <c r="AJ236" s="156"/>
      <c r="AK236" s="157"/>
      <c r="AM236" s="158"/>
      <c r="AN236" s="155" t="str">
        <f t="shared" si="13"/>
        <v xml:space="preserve"> </v>
      </c>
      <c r="AO236" s="156"/>
      <c r="AP236" s="157"/>
      <c r="AQ236" s="161"/>
      <c r="AR236" s="160" t="str">
        <f t="shared" si="16"/>
        <v xml:space="preserve"> </v>
      </c>
    </row>
    <row r="237" spans="1:44">
      <c r="A237" s="71"/>
      <c r="B237" s="142"/>
      <c r="C237" s="143"/>
      <c r="D237" s="143"/>
      <c r="E237" s="143"/>
      <c r="F237" s="144"/>
      <c r="G237" s="142"/>
      <c r="H237" s="144" t="str">
        <f>IF(OR(ISBLANK(I237),ISBLANK(AQ237))," ",IFERROR(VLOOKUP(CONCATENATE(I237,AQ237),Prestaciones!$E$1:$H$488,4,FALSE),IFERROR(VLOOKUP(CONCATENATE(LEFT(I237,6),AQ237),Prestaciones!$E$491:$H$836,4,FALSE),"La prestación no corresponde al grupo poblacional")))</f>
        <v xml:space="preserve"> </v>
      </c>
      <c r="I237" s="145"/>
      <c r="J237" s="145" t="str">
        <f>IF(OR(ISBLANK(I237),ISBLANK(AQ237))," ",IFERROR(VLOOKUP(CONCATENATE(I237,AQ237),Prestaciones!$E$1:$G$488,3,FALSE),IFERROR(VLOOKUP(CONCATENATE(LEFT(I237,6),AQ237),Prestaciones!$E$491:$H$836,3,FALSE),"La prestación no corresponde al grupo poblacional")))</f>
        <v xml:space="preserve"> </v>
      </c>
      <c r="K237" s="146"/>
      <c r="L237" s="146"/>
      <c r="M237" s="147"/>
      <c r="N237" s="148"/>
      <c r="O237" s="149"/>
      <c r="P237" s="150"/>
      <c r="Q237" s="151"/>
      <c r="R237" s="151"/>
      <c r="S237" s="151"/>
      <c r="T237" s="147"/>
      <c r="U237" s="147"/>
      <c r="V237" s="147"/>
      <c r="W237" s="149"/>
      <c r="X237" s="149"/>
      <c r="Y237" s="147"/>
      <c r="Z237" s="147"/>
      <c r="AA237" s="147"/>
      <c r="AB237" s="147"/>
      <c r="AC237" s="147"/>
      <c r="AD237" s="147"/>
      <c r="AE237" s="152"/>
      <c r="AF237" s="153" t="str">
        <f t="shared" si="14"/>
        <v xml:space="preserve"> </v>
      </c>
      <c r="AG237" s="154" t="str">
        <f t="shared" si="15"/>
        <v>Ingresar fuente de información</v>
      </c>
      <c r="AH237" s="134"/>
      <c r="AI237" s="155"/>
      <c r="AJ237" s="156"/>
      <c r="AK237" s="157"/>
      <c r="AM237" s="158"/>
      <c r="AN237" s="155" t="str">
        <f t="shared" si="13"/>
        <v xml:space="preserve"> </v>
      </c>
      <c r="AO237" s="156"/>
      <c r="AP237" s="157"/>
      <c r="AQ237" s="161"/>
      <c r="AR237" s="160" t="str">
        <f t="shared" si="16"/>
        <v xml:space="preserve"> </v>
      </c>
    </row>
    <row r="238" spans="1:44">
      <c r="A238" s="71"/>
      <c r="B238" s="142"/>
      <c r="C238" s="143"/>
      <c r="D238" s="143"/>
      <c r="E238" s="143"/>
      <c r="F238" s="144"/>
      <c r="G238" s="142"/>
      <c r="H238" s="144" t="str">
        <f>IF(OR(ISBLANK(I238),ISBLANK(AQ238))," ",IFERROR(VLOOKUP(CONCATENATE(I238,AQ238),Prestaciones!$E$1:$H$488,4,FALSE),IFERROR(VLOOKUP(CONCATENATE(LEFT(I238,6),AQ238),Prestaciones!$E$491:$H$836,4,FALSE),"La prestación no corresponde al grupo poblacional")))</f>
        <v xml:space="preserve"> </v>
      </c>
      <c r="I238" s="145"/>
      <c r="J238" s="145" t="str">
        <f>IF(OR(ISBLANK(I238),ISBLANK(AQ238))," ",IFERROR(VLOOKUP(CONCATENATE(I238,AQ238),Prestaciones!$E$1:$G$488,3,FALSE),IFERROR(VLOOKUP(CONCATENATE(LEFT(I238,6),AQ238),Prestaciones!$E$491:$H$836,3,FALSE),"La prestación no corresponde al grupo poblacional")))</f>
        <v xml:space="preserve"> </v>
      </c>
      <c r="K238" s="146"/>
      <c r="L238" s="146"/>
      <c r="M238" s="147"/>
      <c r="N238" s="148"/>
      <c r="O238" s="149"/>
      <c r="P238" s="150"/>
      <c r="Q238" s="151"/>
      <c r="R238" s="151"/>
      <c r="S238" s="151"/>
      <c r="T238" s="147"/>
      <c r="U238" s="147"/>
      <c r="V238" s="147"/>
      <c r="W238" s="149"/>
      <c r="X238" s="149"/>
      <c r="Y238" s="147"/>
      <c r="Z238" s="147"/>
      <c r="AA238" s="147"/>
      <c r="AB238" s="147"/>
      <c r="AC238" s="147"/>
      <c r="AD238" s="147"/>
      <c r="AE238" s="152"/>
      <c r="AF238" s="153" t="str">
        <f t="shared" si="14"/>
        <v xml:space="preserve"> </v>
      </c>
      <c r="AG238" s="154" t="str">
        <f t="shared" si="15"/>
        <v>Ingresar fuente de información</v>
      </c>
      <c r="AH238" s="134"/>
      <c r="AI238" s="155"/>
      <c r="AJ238" s="156"/>
      <c r="AK238" s="157"/>
      <c r="AM238" s="158"/>
      <c r="AN238" s="155" t="str">
        <f t="shared" si="13"/>
        <v xml:space="preserve"> </v>
      </c>
      <c r="AO238" s="156"/>
      <c r="AP238" s="157"/>
      <c r="AQ238" s="161"/>
      <c r="AR238" s="160" t="str">
        <f t="shared" si="16"/>
        <v xml:space="preserve"> </v>
      </c>
    </row>
    <row r="239" spans="1:44">
      <c r="A239" s="71"/>
      <c r="B239" s="142"/>
      <c r="C239" s="143"/>
      <c r="D239" s="143"/>
      <c r="E239" s="143"/>
      <c r="F239" s="144"/>
      <c r="G239" s="142"/>
      <c r="H239" s="144" t="str">
        <f>IF(OR(ISBLANK(I239),ISBLANK(AQ239))," ",IFERROR(VLOOKUP(CONCATENATE(I239,AQ239),Prestaciones!$E$1:$H$488,4,FALSE),IFERROR(VLOOKUP(CONCATENATE(LEFT(I239,6),AQ239),Prestaciones!$E$491:$H$836,4,FALSE),"La prestación no corresponde al grupo poblacional")))</f>
        <v xml:space="preserve"> </v>
      </c>
      <c r="I239" s="145"/>
      <c r="J239" s="145" t="str">
        <f>IF(OR(ISBLANK(I239),ISBLANK(AQ239))," ",IFERROR(VLOOKUP(CONCATENATE(I239,AQ239),Prestaciones!$E$1:$G$488,3,FALSE),IFERROR(VLOOKUP(CONCATENATE(LEFT(I239,6),AQ239),Prestaciones!$E$491:$H$836,3,FALSE),"La prestación no corresponde al grupo poblacional")))</f>
        <v xml:space="preserve"> </v>
      </c>
      <c r="K239" s="146"/>
      <c r="L239" s="146"/>
      <c r="M239" s="147"/>
      <c r="N239" s="148"/>
      <c r="O239" s="149"/>
      <c r="P239" s="150"/>
      <c r="Q239" s="151"/>
      <c r="R239" s="151"/>
      <c r="S239" s="151"/>
      <c r="T239" s="147"/>
      <c r="U239" s="147"/>
      <c r="V239" s="147"/>
      <c r="W239" s="149"/>
      <c r="X239" s="149"/>
      <c r="Y239" s="147"/>
      <c r="Z239" s="147"/>
      <c r="AA239" s="147"/>
      <c r="AB239" s="147"/>
      <c r="AC239" s="147"/>
      <c r="AD239" s="147"/>
      <c r="AE239" s="152"/>
      <c r="AF239" s="153" t="str">
        <f t="shared" si="14"/>
        <v xml:space="preserve"> </v>
      </c>
      <c r="AG239" s="154" t="str">
        <f t="shared" si="15"/>
        <v>Ingresar fuente de información</v>
      </c>
      <c r="AH239" s="134"/>
      <c r="AI239" s="155"/>
      <c r="AJ239" s="156"/>
      <c r="AK239" s="157"/>
      <c r="AM239" s="158"/>
      <c r="AN239" s="155" t="str">
        <f t="shared" si="13"/>
        <v xml:space="preserve"> </v>
      </c>
      <c r="AO239" s="156"/>
      <c r="AP239" s="157"/>
      <c r="AQ239" s="161"/>
      <c r="AR239" s="160" t="str">
        <f t="shared" si="16"/>
        <v xml:space="preserve"> </v>
      </c>
    </row>
    <row r="240" spans="1:44">
      <c r="A240" s="71"/>
      <c r="B240" s="142"/>
      <c r="C240" s="143"/>
      <c r="D240" s="143"/>
      <c r="E240" s="143"/>
      <c r="F240" s="144"/>
      <c r="G240" s="142"/>
      <c r="H240" s="144" t="str">
        <f>IF(OR(ISBLANK(I240),ISBLANK(AQ240))," ",IFERROR(VLOOKUP(CONCATENATE(I240,AQ240),Prestaciones!$E$1:$H$488,4,FALSE),IFERROR(VLOOKUP(CONCATENATE(LEFT(I240,6),AQ240),Prestaciones!$E$491:$H$836,4,FALSE),"La prestación no corresponde al grupo poblacional")))</f>
        <v xml:space="preserve"> </v>
      </c>
      <c r="I240" s="145"/>
      <c r="J240" s="145" t="str">
        <f>IF(OR(ISBLANK(I240),ISBLANK(AQ240))," ",IFERROR(VLOOKUP(CONCATENATE(I240,AQ240),Prestaciones!$E$1:$G$488,3,FALSE),IFERROR(VLOOKUP(CONCATENATE(LEFT(I240,6),AQ240),Prestaciones!$E$491:$H$836,3,FALSE),"La prestación no corresponde al grupo poblacional")))</f>
        <v xml:space="preserve"> </v>
      </c>
      <c r="K240" s="146"/>
      <c r="L240" s="146"/>
      <c r="M240" s="147"/>
      <c r="N240" s="148"/>
      <c r="O240" s="149"/>
      <c r="P240" s="150"/>
      <c r="Q240" s="151"/>
      <c r="R240" s="151"/>
      <c r="S240" s="151"/>
      <c r="T240" s="147"/>
      <c r="U240" s="147"/>
      <c r="V240" s="147"/>
      <c r="W240" s="149"/>
      <c r="X240" s="149"/>
      <c r="Y240" s="147"/>
      <c r="Z240" s="147"/>
      <c r="AA240" s="147"/>
      <c r="AB240" s="147"/>
      <c r="AC240" s="147"/>
      <c r="AD240" s="147"/>
      <c r="AE240" s="152"/>
      <c r="AF240" s="153" t="str">
        <f t="shared" si="14"/>
        <v xml:space="preserve"> </v>
      </c>
      <c r="AG240" s="154" t="str">
        <f t="shared" si="15"/>
        <v>Ingresar fuente de información</v>
      </c>
      <c r="AH240" s="134"/>
      <c r="AI240" s="155"/>
      <c r="AJ240" s="156"/>
      <c r="AK240" s="157"/>
      <c r="AM240" s="158"/>
      <c r="AN240" s="155" t="str">
        <f t="shared" si="13"/>
        <v xml:space="preserve"> </v>
      </c>
      <c r="AO240" s="156"/>
      <c r="AP240" s="157"/>
      <c r="AQ240" s="161"/>
      <c r="AR240" s="160" t="str">
        <f t="shared" si="16"/>
        <v xml:space="preserve"> </v>
      </c>
    </row>
    <row r="241" spans="1:44">
      <c r="A241" s="71"/>
      <c r="B241" s="142"/>
      <c r="C241" s="143"/>
      <c r="D241" s="143"/>
      <c r="E241" s="143"/>
      <c r="F241" s="144"/>
      <c r="G241" s="142"/>
      <c r="H241" s="144" t="str">
        <f>IF(OR(ISBLANK(I241),ISBLANK(AQ241))," ",IFERROR(VLOOKUP(CONCATENATE(I241,AQ241),Prestaciones!$E$1:$H$488,4,FALSE),IFERROR(VLOOKUP(CONCATENATE(LEFT(I241,6),AQ241),Prestaciones!$E$491:$H$836,4,FALSE),"La prestación no corresponde al grupo poblacional")))</f>
        <v xml:space="preserve"> </v>
      </c>
      <c r="I241" s="145"/>
      <c r="J241" s="145" t="str">
        <f>IF(OR(ISBLANK(I241),ISBLANK(AQ241))," ",IFERROR(VLOOKUP(CONCATENATE(I241,AQ241),Prestaciones!$E$1:$G$488,3,FALSE),IFERROR(VLOOKUP(CONCATENATE(LEFT(I241,6),AQ241),Prestaciones!$E$491:$H$836,3,FALSE),"La prestación no corresponde al grupo poblacional")))</f>
        <v xml:space="preserve"> </v>
      </c>
      <c r="K241" s="146"/>
      <c r="L241" s="146"/>
      <c r="M241" s="147"/>
      <c r="N241" s="148"/>
      <c r="O241" s="149"/>
      <c r="P241" s="150"/>
      <c r="Q241" s="151"/>
      <c r="R241" s="151"/>
      <c r="S241" s="151"/>
      <c r="T241" s="147"/>
      <c r="U241" s="147"/>
      <c r="V241" s="147"/>
      <c r="W241" s="149"/>
      <c r="X241" s="149"/>
      <c r="Y241" s="147"/>
      <c r="Z241" s="147"/>
      <c r="AA241" s="147"/>
      <c r="AB241" s="147"/>
      <c r="AC241" s="147"/>
      <c r="AD241" s="147"/>
      <c r="AE241" s="152"/>
      <c r="AF241" s="153" t="str">
        <f t="shared" si="14"/>
        <v xml:space="preserve"> </v>
      </c>
      <c r="AG241" s="154" t="str">
        <f t="shared" si="15"/>
        <v>Ingresar fuente de información</v>
      </c>
      <c r="AH241" s="134"/>
      <c r="AI241" s="155"/>
      <c r="AJ241" s="156"/>
      <c r="AK241" s="157"/>
      <c r="AM241" s="158"/>
      <c r="AN241" s="155" t="str">
        <f t="shared" si="13"/>
        <v xml:space="preserve"> </v>
      </c>
      <c r="AO241" s="156"/>
      <c r="AP241" s="157"/>
      <c r="AQ241" s="161"/>
      <c r="AR241" s="160" t="str">
        <f t="shared" si="16"/>
        <v xml:space="preserve"> </v>
      </c>
    </row>
    <row r="242" spans="1:44">
      <c r="A242" s="71"/>
      <c r="B242" s="142"/>
      <c r="C242" s="143"/>
      <c r="D242" s="143"/>
      <c r="E242" s="143"/>
      <c r="F242" s="144"/>
      <c r="G242" s="142"/>
      <c r="H242" s="144" t="str">
        <f>IF(OR(ISBLANK(I242),ISBLANK(AQ242))," ",IFERROR(VLOOKUP(CONCATENATE(I242,AQ242),Prestaciones!$E$1:$H$488,4,FALSE),IFERROR(VLOOKUP(CONCATENATE(LEFT(I242,6),AQ242),Prestaciones!$E$491:$H$836,4,FALSE),"La prestación no corresponde al grupo poblacional")))</f>
        <v xml:space="preserve"> </v>
      </c>
      <c r="I242" s="145"/>
      <c r="J242" s="145" t="str">
        <f>IF(OR(ISBLANK(I242),ISBLANK(AQ242))," ",IFERROR(VLOOKUP(CONCATENATE(I242,AQ242),Prestaciones!$E$1:$G$488,3,FALSE),IFERROR(VLOOKUP(CONCATENATE(LEFT(I242,6),AQ242),Prestaciones!$E$491:$H$836,3,FALSE),"La prestación no corresponde al grupo poblacional")))</f>
        <v xml:space="preserve"> </v>
      </c>
      <c r="K242" s="146"/>
      <c r="L242" s="146"/>
      <c r="M242" s="147"/>
      <c r="N242" s="148"/>
      <c r="O242" s="149"/>
      <c r="P242" s="150"/>
      <c r="Q242" s="151"/>
      <c r="R242" s="151"/>
      <c r="S242" s="151"/>
      <c r="T242" s="147"/>
      <c r="U242" s="147"/>
      <c r="V242" s="147"/>
      <c r="W242" s="149"/>
      <c r="X242" s="149"/>
      <c r="Y242" s="147"/>
      <c r="Z242" s="147"/>
      <c r="AA242" s="147"/>
      <c r="AB242" s="147"/>
      <c r="AC242" s="147"/>
      <c r="AD242" s="147"/>
      <c r="AE242" s="152"/>
      <c r="AF242" s="153" t="str">
        <f t="shared" si="14"/>
        <v xml:space="preserve"> </v>
      </c>
      <c r="AG242" s="154" t="str">
        <f t="shared" si="15"/>
        <v>Ingresar fuente de información</v>
      </c>
      <c r="AH242" s="134"/>
      <c r="AI242" s="155"/>
      <c r="AJ242" s="156"/>
      <c r="AK242" s="157"/>
      <c r="AM242" s="158"/>
      <c r="AN242" s="155" t="str">
        <f t="shared" si="13"/>
        <v xml:space="preserve"> </v>
      </c>
      <c r="AO242" s="156"/>
      <c r="AP242" s="157"/>
      <c r="AQ242" s="161"/>
      <c r="AR242" s="160" t="str">
        <f t="shared" si="16"/>
        <v xml:space="preserve"> </v>
      </c>
    </row>
    <row r="243" spans="1:44">
      <c r="A243" s="71"/>
      <c r="B243" s="142"/>
      <c r="C243" s="143"/>
      <c r="D243" s="143"/>
      <c r="E243" s="143"/>
      <c r="F243" s="144"/>
      <c r="G243" s="142"/>
      <c r="H243" s="144" t="str">
        <f>IF(OR(ISBLANK(I243),ISBLANK(AQ243))," ",IFERROR(VLOOKUP(CONCATENATE(I243,AQ243),Prestaciones!$E$1:$H$488,4,FALSE),IFERROR(VLOOKUP(CONCATENATE(LEFT(I243,6),AQ243),Prestaciones!$E$491:$H$836,4,FALSE),"La prestación no corresponde al grupo poblacional")))</f>
        <v xml:space="preserve"> </v>
      </c>
      <c r="I243" s="145"/>
      <c r="J243" s="145" t="str">
        <f>IF(OR(ISBLANK(I243),ISBLANK(AQ243))," ",IFERROR(VLOOKUP(CONCATENATE(I243,AQ243),Prestaciones!$E$1:$G$488,3,FALSE),IFERROR(VLOOKUP(CONCATENATE(LEFT(I243,6),AQ243),Prestaciones!$E$491:$H$836,3,FALSE),"La prestación no corresponde al grupo poblacional")))</f>
        <v xml:space="preserve"> </v>
      </c>
      <c r="K243" s="146"/>
      <c r="L243" s="146"/>
      <c r="M243" s="147"/>
      <c r="N243" s="148"/>
      <c r="O243" s="149"/>
      <c r="P243" s="150"/>
      <c r="Q243" s="151"/>
      <c r="R243" s="151"/>
      <c r="S243" s="151"/>
      <c r="T243" s="147"/>
      <c r="U243" s="147"/>
      <c r="V243" s="147"/>
      <c r="W243" s="149"/>
      <c r="X243" s="149"/>
      <c r="Y243" s="147"/>
      <c r="Z243" s="147"/>
      <c r="AA243" s="147"/>
      <c r="AB243" s="147"/>
      <c r="AC243" s="147"/>
      <c r="AD243" s="147"/>
      <c r="AE243" s="152"/>
      <c r="AF243" s="153" t="str">
        <f t="shared" si="14"/>
        <v xml:space="preserve"> </v>
      </c>
      <c r="AG243" s="154" t="str">
        <f t="shared" si="15"/>
        <v>Ingresar fuente de información</v>
      </c>
      <c r="AH243" s="134"/>
      <c r="AI243" s="155"/>
      <c r="AJ243" s="156"/>
      <c r="AK243" s="157"/>
      <c r="AM243" s="158"/>
      <c r="AN243" s="155" t="str">
        <f t="shared" si="13"/>
        <v xml:space="preserve"> </v>
      </c>
      <c r="AO243" s="156"/>
      <c r="AP243" s="157"/>
      <c r="AQ243" s="161"/>
      <c r="AR243" s="160" t="str">
        <f t="shared" si="16"/>
        <v xml:space="preserve"> </v>
      </c>
    </row>
    <row r="244" spans="1:44">
      <c r="A244" s="71"/>
      <c r="B244" s="142"/>
      <c r="C244" s="143"/>
      <c r="D244" s="143"/>
      <c r="E244" s="143"/>
      <c r="F244" s="144"/>
      <c r="G244" s="142"/>
      <c r="H244" s="144" t="str">
        <f>IF(OR(ISBLANK(I244),ISBLANK(AQ244))," ",IFERROR(VLOOKUP(CONCATENATE(I244,AQ244),Prestaciones!$E$1:$H$488,4,FALSE),IFERROR(VLOOKUP(CONCATENATE(LEFT(I244,6),AQ244),Prestaciones!$E$491:$H$836,4,FALSE),"La prestación no corresponde al grupo poblacional")))</f>
        <v xml:space="preserve"> </v>
      </c>
      <c r="I244" s="145"/>
      <c r="J244" s="145" t="str">
        <f>IF(OR(ISBLANK(I244),ISBLANK(AQ244))," ",IFERROR(VLOOKUP(CONCATENATE(I244,AQ244),Prestaciones!$E$1:$G$488,3,FALSE),IFERROR(VLOOKUP(CONCATENATE(LEFT(I244,6),AQ244),Prestaciones!$E$491:$H$836,3,FALSE),"La prestación no corresponde al grupo poblacional")))</f>
        <v xml:space="preserve"> </v>
      </c>
      <c r="K244" s="146"/>
      <c r="L244" s="146"/>
      <c r="M244" s="147"/>
      <c r="N244" s="148"/>
      <c r="O244" s="149"/>
      <c r="P244" s="150"/>
      <c r="Q244" s="151"/>
      <c r="R244" s="151"/>
      <c r="S244" s="151"/>
      <c r="T244" s="147"/>
      <c r="U244" s="147"/>
      <c r="V244" s="147"/>
      <c r="W244" s="149"/>
      <c r="X244" s="149"/>
      <c r="Y244" s="147"/>
      <c r="Z244" s="147"/>
      <c r="AA244" s="147"/>
      <c r="AB244" s="147"/>
      <c r="AC244" s="147"/>
      <c r="AD244" s="147"/>
      <c r="AE244" s="152"/>
      <c r="AF244" s="153" t="str">
        <f t="shared" si="14"/>
        <v xml:space="preserve"> </v>
      </c>
      <c r="AG244" s="154" t="str">
        <f t="shared" si="15"/>
        <v>Ingresar fuente de información</v>
      </c>
      <c r="AH244" s="134"/>
      <c r="AI244" s="155"/>
      <c r="AJ244" s="156"/>
      <c r="AK244" s="157"/>
      <c r="AM244" s="158"/>
      <c r="AN244" s="155" t="str">
        <f t="shared" si="13"/>
        <v xml:space="preserve"> </v>
      </c>
      <c r="AO244" s="156"/>
      <c r="AP244" s="157"/>
      <c r="AQ244" s="161"/>
      <c r="AR244" s="160" t="str">
        <f t="shared" si="16"/>
        <v xml:space="preserve"> </v>
      </c>
    </row>
    <row r="245" spans="1:44">
      <c r="A245" s="71"/>
      <c r="B245" s="142"/>
      <c r="C245" s="143"/>
      <c r="D245" s="143"/>
      <c r="E245" s="143"/>
      <c r="F245" s="144"/>
      <c r="G245" s="142"/>
      <c r="H245" s="144" t="str">
        <f>IF(OR(ISBLANK(I245),ISBLANK(AQ245))," ",IFERROR(VLOOKUP(CONCATENATE(I245,AQ245),Prestaciones!$E$1:$H$488,4,FALSE),IFERROR(VLOOKUP(CONCATENATE(LEFT(I245,6),AQ245),Prestaciones!$E$491:$H$836,4,FALSE),"La prestación no corresponde al grupo poblacional")))</f>
        <v xml:space="preserve"> </v>
      </c>
      <c r="I245" s="145"/>
      <c r="J245" s="145" t="str">
        <f>IF(OR(ISBLANK(I245),ISBLANK(AQ245))," ",IFERROR(VLOOKUP(CONCATENATE(I245,AQ245),Prestaciones!$E$1:$G$488,3,FALSE),IFERROR(VLOOKUP(CONCATENATE(LEFT(I245,6),AQ245),Prestaciones!$E$491:$H$836,3,FALSE),"La prestación no corresponde al grupo poblacional")))</f>
        <v xml:space="preserve"> </v>
      </c>
      <c r="K245" s="146"/>
      <c r="L245" s="146"/>
      <c r="M245" s="147"/>
      <c r="N245" s="148"/>
      <c r="O245" s="149"/>
      <c r="P245" s="150"/>
      <c r="Q245" s="151"/>
      <c r="R245" s="151"/>
      <c r="S245" s="151"/>
      <c r="T245" s="147"/>
      <c r="U245" s="147"/>
      <c r="V245" s="147"/>
      <c r="W245" s="149"/>
      <c r="X245" s="149"/>
      <c r="Y245" s="147"/>
      <c r="Z245" s="147"/>
      <c r="AA245" s="147"/>
      <c r="AB245" s="147"/>
      <c r="AC245" s="147"/>
      <c r="AD245" s="147"/>
      <c r="AE245" s="152"/>
      <c r="AF245" s="153" t="str">
        <f t="shared" si="14"/>
        <v xml:space="preserve"> </v>
      </c>
      <c r="AG245" s="154" t="str">
        <f t="shared" si="15"/>
        <v>Ingresar fuente de información</v>
      </c>
      <c r="AH245" s="134"/>
      <c r="AI245" s="155"/>
      <c r="AJ245" s="156"/>
      <c r="AK245" s="157"/>
      <c r="AM245" s="158"/>
      <c r="AN245" s="155" t="str">
        <f t="shared" si="13"/>
        <v xml:space="preserve"> </v>
      </c>
      <c r="AO245" s="156"/>
      <c r="AP245" s="157"/>
      <c r="AQ245" s="161"/>
      <c r="AR245" s="160" t="str">
        <f t="shared" si="16"/>
        <v xml:space="preserve"> </v>
      </c>
    </row>
    <row r="246" spans="1:44">
      <c r="A246" s="71"/>
      <c r="B246" s="142"/>
      <c r="C246" s="143"/>
      <c r="D246" s="143"/>
      <c r="E246" s="143"/>
      <c r="F246" s="144"/>
      <c r="G246" s="142"/>
      <c r="H246" s="144" t="str">
        <f>IF(OR(ISBLANK(I246),ISBLANK(AQ246))," ",IFERROR(VLOOKUP(CONCATENATE(I246,AQ246),Prestaciones!$E$1:$H$488,4,FALSE),IFERROR(VLOOKUP(CONCATENATE(LEFT(I246,6),AQ246),Prestaciones!$E$491:$H$836,4,FALSE),"La prestación no corresponde al grupo poblacional")))</f>
        <v xml:space="preserve"> </v>
      </c>
      <c r="I246" s="145"/>
      <c r="J246" s="145" t="str">
        <f>IF(OR(ISBLANK(I246),ISBLANK(AQ246))," ",IFERROR(VLOOKUP(CONCATENATE(I246,AQ246),Prestaciones!$E$1:$G$488,3,FALSE),IFERROR(VLOOKUP(CONCATENATE(LEFT(I246,6),AQ246),Prestaciones!$E$491:$H$836,3,FALSE),"La prestación no corresponde al grupo poblacional")))</f>
        <v xml:space="preserve"> </v>
      </c>
      <c r="K246" s="146"/>
      <c r="L246" s="146"/>
      <c r="M246" s="147"/>
      <c r="N246" s="148"/>
      <c r="O246" s="149"/>
      <c r="P246" s="150"/>
      <c r="Q246" s="151"/>
      <c r="R246" s="151"/>
      <c r="S246" s="151"/>
      <c r="T246" s="147"/>
      <c r="U246" s="147"/>
      <c r="V246" s="147"/>
      <c r="W246" s="149"/>
      <c r="X246" s="149"/>
      <c r="Y246" s="147"/>
      <c r="Z246" s="147"/>
      <c r="AA246" s="147"/>
      <c r="AB246" s="147"/>
      <c r="AC246" s="147"/>
      <c r="AD246" s="147"/>
      <c r="AE246" s="152"/>
      <c r="AF246" s="153" t="str">
        <f t="shared" si="14"/>
        <v xml:space="preserve"> </v>
      </c>
      <c r="AG246" s="154" t="str">
        <f t="shared" si="15"/>
        <v>Ingresar fuente de información</v>
      </c>
      <c r="AH246" s="134"/>
      <c r="AI246" s="155"/>
      <c r="AJ246" s="156"/>
      <c r="AK246" s="157"/>
      <c r="AM246" s="158"/>
      <c r="AN246" s="155" t="str">
        <f t="shared" si="13"/>
        <v xml:space="preserve"> </v>
      </c>
      <c r="AO246" s="156"/>
      <c r="AP246" s="157"/>
      <c r="AQ246" s="161"/>
      <c r="AR246" s="160" t="str">
        <f t="shared" si="16"/>
        <v xml:space="preserve"> </v>
      </c>
    </row>
    <row r="247" spans="1:44">
      <c r="A247" s="71"/>
      <c r="B247" s="142"/>
      <c r="C247" s="143"/>
      <c r="D247" s="143"/>
      <c r="E247" s="143"/>
      <c r="F247" s="144"/>
      <c r="G247" s="142"/>
      <c r="H247" s="144" t="str">
        <f>IF(OR(ISBLANK(I247),ISBLANK(AQ247))," ",IFERROR(VLOOKUP(CONCATENATE(I247,AQ247),Prestaciones!$E$1:$H$488,4,FALSE),IFERROR(VLOOKUP(CONCATENATE(LEFT(I247,6),AQ247),Prestaciones!$E$491:$H$836,4,FALSE),"La prestación no corresponde al grupo poblacional")))</f>
        <v xml:space="preserve"> </v>
      </c>
      <c r="I247" s="145"/>
      <c r="J247" s="145" t="str">
        <f>IF(OR(ISBLANK(I247),ISBLANK(AQ247))," ",IFERROR(VLOOKUP(CONCATENATE(I247,AQ247),Prestaciones!$E$1:$G$488,3,FALSE),IFERROR(VLOOKUP(CONCATENATE(LEFT(I247,6),AQ247),Prestaciones!$E$491:$H$836,3,FALSE),"La prestación no corresponde al grupo poblacional")))</f>
        <v xml:space="preserve"> </v>
      </c>
      <c r="K247" s="146"/>
      <c r="L247" s="146"/>
      <c r="M247" s="147"/>
      <c r="N247" s="148"/>
      <c r="O247" s="149"/>
      <c r="P247" s="150"/>
      <c r="Q247" s="151"/>
      <c r="R247" s="151"/>
      <c r="S247" s="151"/>
      <c r="T247" s="147"/>
      <c r="U247" s="147"/>
      <c r="V247" s="147"/>
      <c r="W247" s="149"/>
      <c r="X247" s="149"/>
      <c r="Y247" s="147"/>
      <c r="Z247" s="147"/>
      <c r="AA247" s="147"/>
      <c r="AB247" s="147"/>
      <c r="AC247" s="147"/>
      <c r="AD247" s="147"/>
      <c r="AE247" s="152"/>
      <c r="AF247" s="153" t="str">
        <f t="shared" si="14"/>
        <v xml:space="preserve"> </v>
      </c>
      <c r="AG247" s="154" t="str">
        <f t="shared" si="15"/>
        <v>Ingresar fuente de información</v>
      </c>
      <c r="AH247" s="134"/>
      <c r="AI247" s="155"/>
      <c r="AJ247" s="156"/>
      <c r="AK247" s="157"/>
      <c r="AM247" s="158"/>
      <c r="AN247" s="155" t="str">
        <f t="shared" si="13"/>
        <v xml:space="preserve"> </v>
      </c>
      <c r="AO247" s="156"/>
      <c r="AP247" s="157"/>
      <c r="AQ247" s="161"/>
      <c r="AR247" s="160" t="str">
        <f t="shared" si="16"/>
        <v xml:space="preserve"> </v>
      </c>
    </row>
    <row r="248" spans="1:44">
      <c r="A248" s="71"/>
      <c r="B248" s="142"/>
      <c r="C248" s="143"/>
      <c r="D248" s="143"/>
      <c r="E248" s="143"/>
      <c r="F248" s="144"/>
      <c r="G248" s="142"/>
      <c r="H248" s="144" t="str">
        <f>IF(OR(ISBLANK(I248),ISBLANK(AQ248))," ",IFERROR(VLOOKUP(CONCATENATE(I248,AQ248),Prestaciones!$E$1:$H$488,4,FALSE),IFERROR(VLOOKUP(CONCATENATE(LEFT(I248,6),AQ248),Prestaciones!$E$491:$H$836,4,FALSE),"La prestación no corresponde al grupo poblacional")))</f>
        <v xml:space="preserve"> </v>
      </c>
      <c r="I248" s="145"/>
      <c r="J248" s="145" t="str">
        <f>IF(OR(ISBLANK(I248),ISBLANK(AQ248))," ",IFERROR(VLOOKUP(CONCATENATE(I248,AQ248),Prestaciones!$E$1:$G$488,3,FALSE),IFERROR(VLOOKUP(CONCATENATE(LEFT(I248,6),AQ248),Prestaciones!$E$491:$H$836,3,FALSE),"La prestación no corresponde al grupo poblacional")))</f>
        <v xml:space="preserve"> </v>
      </c>
      <c r="K248" s="146"/>
      <c r="L248" s="146"/>
      <c r="M248" s="147"/>
      <c r="N248" s="148"/>
      <c r="O248" s="149"/>
      <c r="P248" s="150"/>
      <c r="Q248" s="151"/>
      <c r="R248" s="151"/>
      <c r="S248" s="151"/>
      <c r="T248" s="147"/>
      <c r="U248" s="147"/>
      <c r="V248" s="147"/>
      <c r="W248" s="149"/>
      <c r="X248" s="149"/>
      <c r="Y248" s="147"/>
      <c r="Z248" s="147"/>
      <c r="AA248" s="147"/>
      <c r="AB248" s="147"/>
      <c r="AC248" s="147"/>
      <c r="AD248" s="147"/>
      <c r="AE248" s="152"/>
      <c r="AF248" s="153" t="str">
        <f t="shared" si="14"/>
        <v xml:space="preserve"> </v>
      </c>
      <c r="AG248" s="154" t="str">
        <f t="shared" si="15"/>
        <v>Ingresar fuente de información</v>
      </c>
      <c r="AH248" s="134"/>
      <c r="AI248" s="155"/>
      <c r="AJ248" s="156"/>
      <c r="AK248" s="157"/>
      <c r="AM248" s="158"/>
      <c r="AN248" s="155" t="str">
        <f t="shared" si="13"/>
        <v xml:space="preserve"> </v>
      </c>
      <c r="AO248" s="156"/>
      <c r="AP248" s="157"/>
      <c r="AQ248" s="161"/>
      <c r="AR248" s="160" t="str">
        <f t="shared" si="16"/>
        <v xml:space="preserve"> </v>
      </c>
    </row>
    <row r="249" spans="1:44">
      <c r="A249" s="71"/>
      <c r="B249" s="142"/>
      <c r="C249" s="143"/>
      <c r="D249" s="143"/>
      <c r="E249" s="143"/>
      <c r="F249" s="144"/>
      <c r="G249" s="142"/>
      <c r="H249" s="144" t="str">
        <f>IF(OR(ISBLANK(I249),ISBLANK(AQ249))," ",IFERROR(VLOOKUP(CONCATENATE(I249,AQ249),Prestaciones!$E$1:$H$488,4,FALSE),IFERROR(VLOOKUP(CONCATENATE(LEFT(I249,6),AQ249),Prestaciones!$E$491:$H$836,4,FALSE),"La prestación no corresponde al grupo poblacional")))</f>
        <v xml:space="preserve"> </v>
      </c>
      <c r="I249" s="145"/>
      <c r="J249" s="145" t="str">
        <f>IF(OR(ISBLANK(I249),ISBLANK(AQ249))," ",IFERROR(VLOOKUP(CONCATENATE(I249,AQ249),Prestaciones!$E$1:$G$488,3,FALSE),IFERROR(VLOOKUP(CONCATENATE(LEFT(I249,6),AQ249),Prestaciones!$E$491:$H$836,3,FALSE),"La prestación no corresponde al grupo poblacional")))</f>
        <v xml:space="preserve"> </v>
      </c>
      <c r="K249" s="146"/>
      <c r="L249" s="146"/>
      <c r="M249" s="147"/>
      <c r="N249" s="148"/>
      <c r="O249" s="149"/>
      <c r="P249" s="150"/>
      <c r="Q249" s="151"/>
      <c r="R249" s="151"/>
      <c r="S249" s="151"/>
      <c r="T249" s="147"/>
      <c r="U249" s="147"/>
      <c r="V249" s="147"/>
      <c r="W249" s="149"/>
      <c r="X249" s="149"/>
      <c r="Y249" s="147"/>
      <c r="Z249" s="147"/>
      <c r="AA249" s="147"/>
      <c r="AB249" s="147"/>
      <c r="AC249" s="147"/>
      <c r="AD249" s="147"/>
      <c r="AE249" s="152"/>
      <c r="AF249" s="153" t="str">
        <f t="shared" si="14"/>
        <v xml:space="preserve"> </v>
      </c>
      <c r="AG249" s="154" t="str">
        <f t="shared" si="15"/>
        <v>Ingresar fuente de información</v>
      </c>
      <c r="AH249" s="134"/>
      <c r="AI249" s="155"/>
      <c r="AJ249" s="156"/>
      <c r="AK249" s="157"/>
      <c r="AM249" s="158"/>
      <c r="AN249" s="155" t="str">
        <f t="shared" si="13"/>
        <v xml:space="preserve"> </v>
      </c>
      <c r="AO249" s="156"/>
      <c r="AP249" s="157"/>
      <c r="AQ249" s="161"/>
      <c r="AR249" s="160" t="str">
        <f t="shared" si="16"/>
        <v xml:space="preserve"> </v>
      </c>
    </row>
    <row r="250" spans="1:44">
      <c r="A250" s="71"/>
      <c r="B250" s="142"/>
      <c r="C250" s="143"/>
      <c r="D250" s="143"/>
      <c r="E250" s="143"/>
      <c r="F250" s="144"/>
      <c r="G250" s="142"/>
      <c r="H250" s="144" t="str">
        <f>IF(OR(ISBLANK(I250),ISBLANK(AQ250))," ",IFERROR(VLOOKUP(CONCATENATE(I250,AQ250),Prestaciones!$E$1:$H$488,4,FALSE),IFERROR(VLOOKUP(CONCATENATE(LEFT(I250,6),AQ250),Prestaciones!$E$491:$H$836,4,FALSE),"La prestación no corresponde al grupo poblacional")))</f>
        <v xml:space="preserve"> </v>
      </c>
      <c r="I250" s="145"/>
      <c r="J250" s="145" t="str">
        <f>IF(OR(ISBLANK(I250),ISBLANK(AQ250))," ",IFERROR(VLOOKUP(CONCATENATE(I250,AQ250),Prestaciones!$E$1:$G$488,3,FALSE),IFERROR(VLOOKUP(CONCATENATE(LEFT(I250,6),AQ250),Prestaciones!$E$491:$H$836,3,FALSE),"La prestación no corresponde al grupo poblacional")))</f>
        <v xml:space="preserve"> </v>
      </c>
      <c r="K250" s="146"/>
      <c r="L250" s="146"/>
      <c r="M250" s="147"/>
      <c r="N250" s="148"/>
      <c r="O250" s="149"/>
      <c r="P250" s="150"/>
      <c r="Q250" s="151"/>
      <c r="R250" s="151"/>
      <c r="S250" s="151"/>
      <c r="T250" s="147"/>
      <c r="U250" s="147"/>
      <c r="V250" s="147"/>
      <c r="W250" s="149"/>
      <c r="X250" s="149"/>
      <c r="Y250" s="147"/>
      <c r="Z250" s="147"/>
      <c r="AA250" s="147"/>
      <c r="AB250" s="147"/>
      <c r="AC250" s="147"/>
      <c r="AD250" s="147"/>
      <c r="AE250" s="152"/>
      <c r="AF250" s="153" t="str">
        <f t="shared" si="14"/>
        <v xml:space="preserve"> </v>
      </c>
      <c r="AG250" s="154" t="str">
        <f t="shared" si="15"/>
        <v>Ingresar fuente de información</v>
      </c>
      <c r="AH250" s="134"/>
      <c r="AI250" s="155"/>
      <c r="AJ250" s="156"/>
      <c r="AK250" s="157"/>
      <c r="AM250" s="158"/>
      <c r="AN250" s="155" t="str">
        <f t="shared" si="13"/>
        <v xml:space="preserve"> </v>
      </c>
      <c r="AO250" s="156"/>
      <c r="AP250" s="157"/>
      <c r="AQ250" s="161"/>
      <c r="AR250" s="160" t="str">
        <f t="shared" si="16"/>
        <v xml:space="preserve"> </v>
      </c>
    </row>
    <row r="251" spans="1:44">
      <c r="A251" s="71"/>
      <c r="B251" s="142"/>
      <c r="C251" s="143"/>
      <c r="D251" s="143"/>
      <c r="E251" s="143"/>
      <c r="F251" s="144"/>
      <c r="G251" s="142"/>
      <c r="H251" s="144" t="str">
        <f>IF(OR(ISBLANK(I251),ISBLANK(AQ251))," ",IFERROR(VLOOKUP(CONCATENATE(I251,AQ251),Prestaciones!$E$1:$H$488,4,FALSE),IFERROR(VLOOKUP(CONCATENATE(LEFT(I251,6),AQ251),Prestaciones!$E$491:$H$836,4,FALSE),"La prestación no corresponde al grupo poblacional")))</f>
        <v xml:space="preserve"> </v>
      </c>
      <c r="I251" s="145"/>
      <c r="J251" s="145" t="str">
        <f>IF(OR(ISBLANK(I251),ISBLANK(AQ251))," ",IFERROR(VLOOKUP(CONCATENATE(I251,AQ251),Prestaciones!$E$1:$G$488,3,FALSE),IFERROR(VLOOKUP(CONCATENATE(LEFT(I251,6),AQ251),Prestaciones!$E$491:$H$836,3,FALSE),"La prestación no corresponde al grupo poblacional")))</f>
        <v xml:space="preserve"> </v>
      </c>
      <c r="K251" s="146"/>
      <c r="L251" s="146"/>
      <c r="M251" s="147"/>
      <c r="N251" s="148"/>
      <c r="O251" s="149"/>
      <c r="P251" s="150"/>
      <c r="Q251" s="151"/>
      <c r="R251" s="151"/>
      <c r="S251" s="151"/>
      <c r="T251" s="147"/>
      <c r="U251" s="147"/>
      <c r="V251" s="147"/>
      <c r="W251" s="149"/>
      <c r="X251" s="149"/>
      <c r="Y251" s="147"/>
      <c r="Z251" s="147"/>
      <c r="AA251" s="147"/>
      <c r="AB251" s="147"/>
      <c r="AC251" s="147"/>
      <c r="AD251" s="147"/>
      <c r="AE251" s="152"/>
      <c r="AF251" s="153" t="str">
        <f t="shared" si="14"/>
        <v xml:space="preserve"> </v>
      </c>
      <c r="AG251" s="154" t="str">
        <f t="shared" si="15"/>
        <v>Ingresar fuente de información</v>
      </c>
      <c r="AH251" s="134"/>
      <c r="AI251" s="155"/>
      <c r="AJ251" s="156"/>
      <c r="AK251" s="157"/>
      <c r="AM251" s="158"/>
      <c r="AN251" s="155" t="str">
        <f t="shared" si="13"/>
        <v xml:space="preserve"> </v>
      </c>
      <c r="AO251" s="156"/>
      <c r="AP251" s="157"/>
      <c r="AQ251" s="161"/>
      <c r="AR251" s="160" t="str">
        <f t="shared" si="16"/>
        <v xml:space="preserve"> </v>
      </c>
    </row>
    <row r="252" spans="1:44">
      <c r="A252" s="71"/>
      <c r="B252" s="142"/>
      <c r="C252" s="143"/>
      <c r="D252" s="143"/>
      <c r="E252" s="143"/>
      <c r="F252" s="144"/>
      <c r="G252" s="142"/>
      <c r="H252" s="144" t="str">
        <f>IF(OR(ISBLANK(I252),ISBLANK(AQ252))," ",IFERROR(VLOOKUP(CONCATENATE(I252,AQ252),Prestaciones!$E$1:$H$488,4,FALSE),IFERROR(VLOOKUP(CONCATENATE(LEFT(I252,6),AQ252),Prestaciones!$E$491:$H$836,4,FALSE),"La prestación no corresponde al grupo poblacional")))</f>
        <v xml:space="preserve"> </v>
      </c>
      <c r="I252" s="145"/>
      <c r="J252" s="145" t="str">
        <f>IF(OR(ISBLANK(I252),ISBLANK(AQ252))," ",IFERROR(VLOOKUP(CONCATENATE(I252,AQ252),Prestaciones!$E$1:$G$488,3,FALSE),IFERROR(VLOOKUP(CONCATENATE(LEFT(I252,6),AQ252),Prestaciones!$E$491:$H$836,3,FALSE),"La prestación no corresponde al grupo poblacional")))</f>
        <v xml:space="preserve"> </v>
      </c>
      <c r="K252" s="146"/>
      <c r="L252" s="146"/>
      <c r="M252" s="147"/>
      <c r="N252" s="148"/>
      <c r="O252" s="149"/>
      <c r="P252" s="150"/>
      <c r="Q252" s="151"/>
      <c r="R252" s="151"/>
      <c r="S252" s="151"/>
      <c r="T252" s="147"/>
      <c r="U252" s="147"/>
      <c r="V252" s="147"/>
      <c r="W252" s="149"/>
      <c r="X252" s="149"/>
      <c r="Y252" s="147"/>
      <c r="Z252" s="147"/>
      <c r="AA252" s="147"/>
      <c r="AB252" s="147"/>
      <c r="AC252" s="147"/>
      <c r="AD252" s="147"/>
      <c r="AE252" s="152"/>
      <c r="AF252" s="153" t="str">
        <f t="shared" si="14"/>
        <v xml:space="preserve"> </v>
      </c>
      <c r="AG252" s="154" t="str">
        <f t="shared" si="15"/>
        <v>Ingresar fuente de información</v>
      </c>
      <c r="AH252" s="134"/>
      <c r="AI252" s="155"/>
      <c r="AJ252" s="156"/>
      <c r="AK252" s="157"/>
      <c r="AM252" s="158"/>
      <c r="AN252" s="155" t="str">
        <f t="shared" si="13"/>
        <v xml:space="preserve"> </v>
      </c>
      <c r="AO252" s="156"/>
      <c r="AP252" s="157"/>
      <c r="AQ252" s="161"/>
      <c r="AR252" s="160" t="str">
        <f t="shared" si="16"/>
        <v xml:space="preserve"> </v>
      </c>
    </row>
    <row r="253" spans="1:44">
      <c r="A253" s="71"/>
      <c r="B253" s="142"/>
      <c r="C253" s="143"/>
      <c r="D253" s="143"/>
      <c r="E253" s="143"/>
      <c r="F253" s="144"/>
      <c r="G253" s="142"/>
      <c r="H253" s="144" t="str">
        <f>IF(OR(ISBLANK(I253),ISBLANK(AQ253))," ",IFERROR(VLOOKUP(CONCATENATE(I253,AQ253),Prestaciones!$E$1:$H$488,4,FALSE),IFERROR(VLOOKUP(CONCATENATE(LEFT(I253,6),AQ253),Prestaciones!$E$491:$H$836,4,FALSE),"La prestación no corresponde al grupo poblacional")))</f>
        <v xml:space="preserve"> </v>
      </c>
      <c r="I253" s="145"/>
      <c r="J253" s="145" t="str">
        <f>IF(OR(ISBLANK(I253),ISBLANK(AQ253))," ",IFERROR(VLOOKUP(CONCATENATE(I253,AQ253),Prestaciones!$E$1:$G$488,3,FALSE),IFERROR(VLOOKUP(CONCATENATE(LEFT(I253,6),AQ253),Prestaciones!$E$491:$H$836,3,FALSE),"La prestación no corresponde al grupo poblacional")))</f>
        <v xml:space="preserve"> </v>
      </c>
      <c r="K253" s="146"/>
      <c r="L253" s="146"/>
      <c r="M253" s="147"/>
      <c r="N253" s="148"/>
      <c r="O253" s="149"/>
      <c r="P253" s="150"/>
      <c r="Q253" s="151"/>
      <c r="R253" s="151"/>
      <c r="S253" s="151"/>
      <c r="T253" s="147"/>
      <c r="U253" s="147"/>
      <c r="V253" s="147"/>
      <c r="W253" s="149"/>
      <c r="X253" s="149"/>
      <c r="Y253" s="147"/>
      <c r="Z253" s="147"/>
      <c r="AA253" s="147"/>
      <c r="AB253" s="147"/>
      <c r="AC253" s="147"/>
      <c r="AD253" s="147"/>
      <c r="AE253" s="152"/>
      <c r="AF253" s="153" t="str">
        <f t="shared" si="14"/>
        <v xml:space="preserve"> </v>
      </c>
      <c r="AG253" s="154" t="str">
        <f t="shared" si="15"/>
        <v>Ingresar fuente de información</v>
      </c>
      <c r="AH253" s="134"/>
      <c r="AI253" s="155"/>
      <c r="AJ253" s="156"/>
      <c r="AK253" s="157"/>
      <c r="AM253" s="158"/>
      <c r="AN253" s="155" t="str">
        <f t="shared" si="13"/>
        <v xml:space="preserve"> </v>
      </c>
      <c r="AO253" s="156"/>
      <c r="AP253" s="157"/>
      <c r="AQ253" s="161"/>
      <c r="AR253" s="160" t="str">
        <f t="shared" si="16"/>
        <v xml:space="preserve"> </v>
      </c>
    </row>
    <row r="254" spans="1:44">
      <c r="A254" s="71"/>
      <c r="B254" s="142"/>
      <c r="C254" s="143"/>
      <c r="D254" s="143"/>
      <c r="E254" s="143"/>
      <c r="F254" s="144"/>
      <c r="G254" s="142"/>
      <c r="H254" s="144" t="str">
        <f>IF(OR(ISBLANK(I254),ISBLANK(AQ254))," ",IFERROR(VLOOKUP(CONCATENATE(I254,AQ254),Prestaciones!$E$1:$H$488,4,FALSE),IFERROR(VLOOKUP(CONCATENATE(LEFT(I254,6),AQ254),Prestaciones!$E$491:$H$836,4,FALSE),"La prestación no corresponde al grupo poblacional")))</f>
        <v xml:space="preserve"> </v>
      </c>
      <c r="I254" s="145"/>
      <c r="J254" s="145" t="str">
        <f>IF(OR(ISBLANK(I254),ISBLANK(AQ254))," ",IFERROR(VLOOKUP(CONCATENATE(I254,AQ254),Prestaciones!$E$1:$G$488,3,FALSE),IFERROR(VLOOKUP(CONCATENATE(LEFT(I254,6),AQ254),Prestaciones!$E$491:$H$836,3,FALSE),"La prestación no corresponde al grupo poblacional")))</f>
        <v xml:space="preserve"> </v>
      </c>
      <c r="K254" s="146"/>
      <c r="L254" s="146"/>
      <c r="M254" s="147"/>
      <c r="N254" s="148"/>
      <c r="O254" s="149"/>
      <c r="P254" s="150"/>
      <c r="Q254" s="151"/>
      <c r="R254" s="151"/>
      <c r="S254" s="151"/>
      <c r="T254" s="147"/>
      <c r="U254" s="147"/>
      <c r="V254" s="147"/>
      <c r="W254" s="149"/>
      <c r="X254" s="149"/>
      <c r="Y254" s="147"/>
      <c r="Z254" s="147"/>
      <c r="AA254" s="147"/>
      <c r="AB254" s="147"/>
      <c r="AC254" s="147"/>
      <c r="AD254" s="147"/>
      <c r="AE254" s="152"/>
      <c r="AF254" s="153" t="str">
        <f t="shared" si="14"/>
        <v xml:space="preserve"> </v>
      </c>
      <c r="AG254" s="154" t="str">
        <f t="shared" si="15"/>
        <v>Ingresar fuente de información</v>
      </c>
      <c r="AH254" s="134"/>
      <c r="AI254" s="155"/>
      <c r="AJ254" s="156"/>
      <c r="AK254" s="157"/>
      <c r="AM254" s="158"/>
      <c r="AN254" s="155" t="str">
        <f t="shared" si="13"/>
        <v xml:space="preserve"> </v>
      </c>
      <c r="AO254" s="156"/>
      <c r="AP254" s="157"/>
      <c r="AQ254" s="161"/>
      <c r="AR254" s="160" t="str">
        <f t="shared" si="16"/>
        <v xml:space="preserve"> </v>
      </c>
    </row>
    <row r="255" spans="1:44">
      <c r="A255" s="71"/>
      <c r="B255" s="142"/>
      <c r="C255" s="143"/>
      <c r="D255" s="143"/>
      <c r="E255" s="143"/>
      <c r="F255" s="144"/>
      <c r="G255" s="142"/>
      <c r="H255" s="144" t="str">
        <f>IF(OR(ISBLANK(I255),ISBLANK(AQ255))," ",IFERROR(VLOOKUP(CONCATENATE(I255,AQ255),Prestaciones!$E$1:$H$488,4,FALSE),IFERROR(VLOOKUP(CONCATENATE(LEFT(I255,6),AQ255),Prestaciones!$E$491:$H$836,4,FALSE),"La prestación no corresponde al grupo poblacional")))</f>
        <v xml:space="preserve"> </v>
      </c>
      <c r="I255" s="145"/>
      <c r="J255" s="145" t="str">
        <f>IF(OR(ISBLANK(I255),ISBLANK(AQ255))," ",IFERROR(VLOOKUP(CONCATENATE(I255,AQ255),Prestaciones!$E$1:$G$488,3,FALSE),IFERROR(VLOOKUP(CONCATENATE(LEFT(I255,6),AQ255),Prestaciones!$E$491:$H$836,3,FALSE),"La prestación no corresponde al grupo poblacional")))</f>
        <v xml:space="preserve"> </v>
      </c>
      <c r="K255" s="146"/>
      <c r="L255" s="146"/>
      <c r="M255" s="147"/>
      <c r="N255" s="148"/>
      <c r="O255" s="149"/>
      <c r="P255" s="150"/>
      <c r="Q255" s="151"/>
      <c r="R255" s="151"/>
      <c r="S255" s="151"/>
      <c r="T255" s="147"/>
      <c r="U255" s="147"/>
      <c r="V255" s="147"/>
      <c r="W255" s="149"/>
      <c r="X255" s="149"/>
      <c r="Y255" s="147"/>
      <c r="Z255" s="147"/>
      <c r="AA255" s="147"/>
      <c r="AB255" s="147"/>
      <c r="AC255" s="147"/>
      <c r="AD255" s="147"/>
      <c r="AE255" s="152"/>
      <c r="AF255" s="153" t="str">
        <f t="shared" si="14"/>
        <v xml:space="preserve"> </v>
      </c>
      <c r="AG255" s="154" t="str">
        <f t="shared" si="15"/>
        <v>Ingresar fuente de información</v>
      </c>
      <c r="AH255" s="134"/>
      <c r="AI255" s="155"/>
      <c r="AJ255" s="156"/>
      <c r="AK255" s="157"/>
      <c r="AM255" s="158"/>
      <c r="AN255" s="155" t="str">
        <f t="shared" si="13"/>
        <v xml:space="preserve"> </v>
      </c>
      <c r="AO255" s="156"/>
      <c r="AP255" s="157"/>
      <c r="AQ255" s="161"/>
      <c r="AR255" s="160" t="str">
        <f t="shared" si="16"/>
        <v xml:space="preserve"> </v>
      </c>
    </row>
    <row r="256" spans="1:44">
      <c r="A256" s="71"/>
      <c r="B256" s="142"/>
      <c r="C256" s="143"/>
      <c r="D256" s="143"/>
      <c r="E256" s="143"/>
      <c r="F256" s="144"/>
      <c r="G256" s="142"/>
      <c r="H256" s="144" t="str">
        <f>IF(OR(ISBLANK(I256),ISBLANK(AQ256))," ",IFERROR(VLOOKUP(CONCATENATE(I256,AQ256),Prestaciones!$E$1:$H$488,4,FALSE),IFERROR(VLOOKUP(CONCATENATE(LEFT(I256,6),AQ256),Prestaciones!$E$491:$H$836,4,FALSE),"La prestación no corresponde al grupo poblacional")))</f>
        <v xml:space="preserve"> </v>
      </c>
      <c r="I256" s="145"/>
      <c r="J256" s="145" t="str">
        <f>IF(OR(ISBLANK(I256),ISBLANK(AQ256))," ",IFERROR(VLOOKUP(CONCATENATE(I256,AQ256),Prestaciones!$E$1:$G$488,3,FALSE),IFERROR(VLOOKUP(CONCATENATE(LEFT(I256,6),AQ256),Prestaciones!$E$491:$H$836,3,FALSE),"La prestación no corresponde al grupo poblacional")))</f>
        <v xml:space="preserve"> </v>
      </c>
      <c r="K256" s="146"/>
      <c r="L256" s="146"/>
      <c r="M256" s="147"/>
      <c r="N256" s="148"/>
      <c r="O256" s="149"/>
      <c r="P256" s="150"/>
      <c r="Q256" s="151"/>
      <c r="R256" s="151"/>
      <c r="S256" s="151"/>
      <c r="T256" s="147"/>
      <c r="U256" s="147"/>
      <c r="V256" s="147"/>
      <c r="W256" s="149"/>
      <c r="X256" s="149"/>
      <c r="Y256" s="147"/>
      <c r="Z256" s="147"/>
      <c r="AA256" s="147"/>
      <c r="AB256" s="147"/>
      <c r="AC256" s="147"/>
      <c r="AD256" s="147"/>
      <c r="AE256" s="152"/>
      <c r="AF256" s="153" t="str">
        <f t="shared" si="14"/>
        <v xml:space="preserve"> </v>
      </c>
      <c r="AG256" s="154" t="str">
        <f t="shared" si="15"/>
        <v>Ingresar fuente de información</v>
      </c>
      <c r="AH256" s="134"/>
      <c r="AI256" s="155"/>
      <c r="AJ256" s="156"/>
      <c r="AK256" s="157"/>
      <c r="AM256" s="158"/>
      <c r="AN256" s="155" t="str">
        <f t="shared" si="13"/>
        <v xml:space="preserve"> </v>
      </c>
      <c r="AO256" s="156"/>
      <c r="AP256" s="157"/>
      <c r="AQ256" s="161"/>
      <c r="AR256" s="160" t="str">
        <f t="shared" si="16"/>
        <v xml:space="preserve"> </v>
      </c>
    </row>
    <row r="257" spans="1:44">
      <c r="A257" s="71"/>
      <c r="B257" s="142"/>
      <c r="C257" s="143"/>
      <c r="D257" s="143"/>
      <c r="E257" s="143"/>
      <c r="F257" s="144"/>
      <c r="G257" s="142"/>
      <c r="H257" s="144" t="str">
        <f>IF(OR(ISBLANK(I257),ISBLANK(AQ257))," ",IFERROR(VLOOKUP(CONCATENATE(I257,AQ257),Prestaciones!$E$1:$H$488,4,FALSE),IFERROR(VLOOKUP(CONCATENATE(LEFT(I257,6),AQ257),Prestaciones!$E$491:$H$836,4,FALSE),"La prestación no corresponde al grupo poblacional")))</f>
        <v xml:space="preserve"> </v>
      </c>
      <c r="I257" s="145"/>
      <c r="J257" s="145" t="str">
        <f>IF(OR(ISBLANK(I257),ISBLANK(AQ257))," ",IFERROR(VLOOKUP(CONCATENATE(I257,AQ257),Prestaciones!$E$1:$G$488,3,FALSE),IFERROR(VLOOKUP(CONCATENATE(LEFT(I257,6),AQ257),Prestaciones!$E$491:$H$836,3,FALSE),"La prestación no corresponde al grupo poblacional")))</f>
        <v xml:space="preserve"> </v>
      </c>
      <c r="K257" s="146"/>
      <c r="L257" s="146"/>
      <c r="M257" s="147"/>
      <c r="N257" s="148"/>
      <c r="O257" s="149"/>
      <c r="P257" s="150"/>
      <c r="Q257" s="151"/>
      <c r="R257" s="151"/>
      <c r="S257" s="151"/>
      <c r="T257" s="147"/>
      <c r="U257" s="147"/>
      <c r="V257" s="147"/>
      <c r="W257" s="149"/>
      <c r="X257" s="149"/>
      <c r="Y257" s="147"/>
      <c r="Z257" s="147"/>
      <c r="AA257" s="147"/>
      <c r="AB257" s="147"/>
      <c r="AC257" s="147"/>
      <c r="AD257" s="147"/>
      <c r="AE257" s="152"/>
      <c r="AF257" s="153" t="str">
        <f t="shared" si="14"/>
        <v xml:space="preserve"> </v>
      </c>
      <c r="AG257" s="154" t="str">
        <f t="shared" si="15"/>
        <v>Ingresar fuente de información</v>
      </c>
      <c r="AH257" s="134"/>
      <c r="AI257" s="155"/>
      <c r="AJ257" s="156"/>
      <c r="AK257" s="157"/>
      <c r="AM257" s="158"/>
      <c r="AN257" s="155" t="str">
        <f t="shared" si="13"/>
        <v xml:space="preserve"> </v>
      </c>
      <c r="AO257" s="156"/>
      <c r="AP257" s="157"/>
      <c r="AQ257" s="161"/>
      <c r="AR257" s="160" t="str">
        <f t="shared" si="16"/>
        <v xml:space="preserve"> </v>
      </c>
    </row>
    <row r="258" spans="1:44">
      <c r="A258" s="71"/>
      <c r="B258" s="142"/>
      <c r="C258" s="143"/>
      <c r="D258" s="143"/>
      <c r="E258" s="143"/>
      <c r="F258" s="144"/>
      <c r="G258" s="142"/>
      <c r="H258" s="144" t="str">
        <f>IF(OR(ISBLANK(I258),ISBLANK(AQ258))," ",IFERROR(VLOOKUP(CONCATENATE(I258,AQ258),Prestaciones!$E$1:$H$488,4,FALSE),IFERROR(VLOOKUP(CONCATENATE(LEFT(I258,6),AQ258),Prestaciones!$E$491:$H$836,4,FALSE),"La prestación no corresponde al grupo poblacional")))</f>
        <v xml:space="preserve"> </v>
      </c>
      <c r="I258" s="145"/>
      <c r="J258" s="145" t="str">
        <f>IF(OR(ISBLANK(I258),ISBLANK(AQ258))," ",IFERROR(VLOOKUP(CONCATENATE(I258,AQ258),Prestaciones!$E$1:$G$488,3,FALSE),IFERROR(VLOOKUP(CONCATENATE(LEFT(I258,6),AQ258),Prestaciones!$E$491:$H$836,3,FALSE),"La prestación no corresponde al grupo poblacional")))</f>
        <v xml:space="preserve"> </v>
      </c>
      <c r="K258" s="146"/>
      <c r="L258" s="146"/>
      <c r="M258" s="147"/>
      <c r="N258" s="148"/>
      <c r="O258" s="149"/>
      <c r="P258" s="150"/>
      <c r="Q258" s="151"/>
      <c r="R258" s="151"/>
      <c r="S258" s="151"/>
      <c r="T258" s="147"/>
      <c r="U258" s="147"/>
      <c r="V258" s="147"/>
      <c r="W258" s="149"/>
      <c r="X258" s="149"/>
      <c r="Y258" s="147"/>
      <c r="Z258" s="147"/>
      <c r="AA258" s="147"/>
      <c r="AB258" s="147"/>
      <c r="AC258" s="147"/>
      <c r="AD258" s="147"/>
      <c r="AE258" s="152"/>
      <c r="AF258" s="153" t="str">
        <f t="shared" si="14"/>
        <v xml:space="preserve"> </v>
      </c>
      <c r="AG258" s="154" t="str">
        <f t="shared" si="15"/>
        <v>Ingresar fuente de información</v>
      </c>
      <c r="AH258" s="134"/>
      <c r="AI258" s="155"/>
      <c r="AJ258" s="156"/>
      <c r="AK258" s="157"/>
      <c r="AM258" s="158"/>
      <c r="AN258" s="155" t="str">
        <f t="shared" si="13"/>
        <v xml:space="preserve"> </v>
      </c>
      <c r="AO258" s="156"/>
      <c r="AP258" s="157"/>
      <c r="AQ258" s="161"/>
      <c r="AR258" s="160" t="str">
        <f t="shared" si="16"/>
        <v xml:space="preserve"> </v>
      </c>
    </row>
    <row r="259" spans="1:44">
      <c r="A259" s="71"/>
      <c r="B259" s="142"/>
      <c r="C259" s="143"/>
      <c r="D259" s="143"/>
      <c r="E259" s="143"/>
      <c r="F259" s="144"/>
      <c r="G259" s="142"/>
      <c r="H259" s="144" t="str">
        <f>IF(OR(ISBLANK(I259),ISBLANK(AQ259))," ",IFERROR(VLOOKUP(CONCATENATE(I259,AQ259),Prestaciones!$E$1:$H$488,4,FALSE),IFERROR(VLOOKUP(CONCATENATE(LEFT(I259,6),AQ259),Prestaciones!$E$491:$H$836,4,FALSE),"La prestación no corresponde al grupo poblacional")))</f>
        <v xml:space="preserve"> </v>
      </c>
      <c r="I259" s="145"/>
      <c r="J259" s="145" t="str">
        <f>IF(OR(ISBLANK(I259),ISBLANK(AQ259))," ",IFERROR(VLOOKUP(CONCATENATE(I259,AQ259),Prestaciones!$E$1:$G$488,3,FALSE),IFERROR(VLOOKUP(CONCATENATE(LEFT(I259,6),AQ259),Prestaciones!$E$491:$H$836,3,FALSE),"La prestación no corresponde al grupo poblacional")))</f>
        <v xml:space="preserve"> </v>
      </c>
      <c r="K259" s="146"/>
      <c r="L259" s="146"/>
      <c r="M259" s="147"/>
      <c r="N259" s="148"/>
      <c r="O259" s="149"/>
      <c r="P259" s="150"/>
      <c r="Q259" s="151"/>
      <c r="R259" s="151"/>
      <c r="S259" s="151"/>
      <c r="T259" s="147"/>
      <c r="U259" s="147"/>
      <c r="V259" s="147"/>
      <c r="W259" s="149"/>
      <c r="X259" s="149"/>
      <c r="Y259" s="147"/>
      <c r="Z259" s="147"/>
      <c r="AA259" s="147"/>
      <c r="AB259" s="147"/>
      <c r="AC259" s="147"/>
      <c r="AD259" s="147"/>
      <c r="AE259" s="152"/>
      <c r="AF259" s="153" t="str">
        <f t="shared" si="14"/>
        <v xml:space="preserve"> </v>
      </c>
      <c r="AG259" s="154" t="str">
        <f t="shared" si="15"/>
        <v>Ingresar fuente de información</v>
      </c>
      <c r="AH259" s="134"/>
      <c r="AI259" s="155"/>
      <c r="AJ259" s="156"/>
      <c r="AK259" s="157"/>
      <c r="AM259" s="158"/>
      <c r="AN259" s="155" t="str">
        <f t="shared" si="13"/>
        <v xml:space="preserve"> </v>
      </c>
      <c r="AO259" s="156"/>
      <c r="AP259" s="157"/>
      <c r="AQ259" s="161"/>
      <c r="AR259" s="160" t="str">
        <f t="shared" si="16"/>
        <v xml:space="preserve"> </v>
      </c>
    </row>
    <row r="260" spans="1:44">
      <c r="A260" s="71"/>
      <c r="B260" s="142"/>
      <c r="C260" s="143"/>
      <c r="D260" s="143"/>
      <c r="E260" s="143"/>
      <c r="F260" s="144"/>
      <c r="G260" s="142"/>
      <c r="H260" s="144" t="str">
        <f>IF(OR(ISBLANK(I260),ISBLANK(AQ260))," ",IFERROR(VLOOKUP(CONCATENATE(I260,AQ260),Prestaciones!$E$1:$H$488,4,FALSE),IFERROR(VLOOKUP(CONCATENATE(LEFT(I260,6),AQ260),Prestaciones!$E$491:$H$836,4,FALSE),"La prestación no corresponde al grupo poblacional")))</f>
        <v xml:space="preserve"> </v>
      </c>
      <c r="I260" s="145"/>
      <c r="J260" s="145" t="str">
        <f>IF(OR(ISBLANK(I260),ISBLANK(AQ260))," ",IFERROR(VLOOKUP(CONCATENATE(I260,AQ260),Prestaciones!$E$1:$G$488,3,FALSE),IFERROR(VLOOKUP(CONCATENATE(LEFT(I260,6),AQ260),Prestaciones!$E$491:$H$836,3,FALSE),"La prestación no corresponde al grupo poblacional")))</f>
        <v xml:space="preserve"> </v>
      </c>
      <c r="K260" s="146"/>
      <c r="L260" s="146"/>
      <c r="M260" s="147"/>
      <c r="N260" s="148"/>
      <c r="O260" s="149"/>
      <c r="P260" s="150"/>
      <c r="Q260" s="151"/>
      <c r="R260" s="151"/>
      <c r="S260" s="151"/>
      <c r="T260" s="147"/>
      <c r="U260" s="147"/>
      <c r="V260" s="147"/>
      <c r="W260" s="149"/>
      <c r="X260" s="149"/>
      <c r="Y260" s="147"/>
      <c r="Z260" s="147"/>
      <c r="AA260" s="147"/>
      <c r="AB260" s="147"/>
      <c r="AC260" s="147"/>
      <c r="AD260" s="147"/>
      <c r="AE260" s="152"/>
      <c r="AF260" s="153" t="str">
        <f t="shared" si="14"/>
        <v xml:space="preserve"> </v>
      </c>
      <c r="AG260" s="154" t="str">
        <f t="shared" si="15"/>
        <v>Ingresar fuente de información</v>
      </c>
      <c r="AH260" s="134"/>
      <c r="AI260" s="155"/>
      <c r="AJ260" s="156"/>
      <c r="AK260" s="157"/>
      <c r="AM260" s="158"/>
      <c r="AN260" s="155" t="str">
        <f t="shared" si="13"/>
        <v xml:space="preserve"> </v>
      </c>
      <c r="AO260" s="156"/>
      <c r="AP260" s="157"/>
      <c r="AQ260" s="161"/>
      <c r="AR260" s="160" t="str">
        <f t="shared" si="16"/>
        <v xml:space="preserve"> </v>
      </c>
    </row>
    <row r="261" spans="1:44">
      <c r="A261" s="71"/>
      <c r="B261" s="142"/>
      <c r="C261" s="143"/>
      <c r="D261" s="143"/>
      <c r="E261" s="143"/>
      <c r="F261" s="144"/>
      <c r="G261" s="142"/>
      <c r="H261" s="144" t="str">
        <f>IF(OR(ISBLANK(I261),ISBLANK(AQ261))," ",IFERROR(VLOOKUP(CONCATENATE(I261,AQ261),Prestaciones!$E$1:$H$488,4,FALSE),IFERROR(VLOOKUP(CONCATENATE(LEFT(I261,6),AQ261),Prestaciones!$E$491:$H$836,4,FALSE),"La prestación no corresponde al grupo poblacional")))</f>
        <v xml:space="preserve"> </v>
      </c>
      <c r="I261" s="145"/>
      <c r="J261" s="145" t="str">
        <f>IF(OR(ISBLANK(I261),ISBLANK(AQ261))," ",IFERROR(VLOOKUP(CONCATENATE(I261,AQ261),Prestaciones!$E$1:$G$488,3,FALSE),IFERROR(VLOOKUP(CONCATENATE(LEFT(I261,6),AQ261),Prestaciones!$E$491:$H$836,3,FALSE),"La prestación no corresponde al grupo poblacional")))</f>
        <v xml:space="preserve"> </v>
      </c>
      <c r="K261" s="146"/>
      <c r="L261" s="146"/>
      <c r="M261" s="147"/>
      <c r="N261" s="148"/>
      <c r="O261" s="149"/>
      <c r="P261" s="150"/>
      <c r="Q261" s="151"/>
      <c r="R261" s="151"/>
      <c r="S261" s="151"/>
      <c r="T261" s="147"/>
      <c r="U261" s="147"/>
      <c r="V261" s="147"/>
      <c r="W261" s="149"/>
      <c r="X261" s="149"/>
      <c r="Y261" s="147"/>
      <c r="Z261" s="147"/>
      <c r="AA261" s="147"/>
      <c r="AB261" s="147"/>
      <c r="AC261" s="147"/>
      <c r="AD261" s="147"/>
      <c r="AE261" s="152"/>
      <c r="AF261" s="153" t="str">
        <f t="shared" si="14"/>
        <v xml:space="preserve"> </v>
      </c>
      <c r="AG261" s="154" t="str">
        <f t="shared" si="15"/>
        <v>Ingresar fuente de información</v>
      </c>
      <c r="AH261" s="134"/>
      <c r="AI261" s="155"/>
      <c r="AJ261" s="156"/>
      <c r="AK261" s="157"/>
      <c r="AM261" s="158"/>
      <c r="AN261" s="155" t="str">
        <f t="shared" si="13"/>
        <v xml:space="preserve"> </v>
      </c>
      <c r="AO261" s="156"/>
      <c r="AP261" s="157"/>
      <c r="AQ261" s="161"/>
      <c r="AR261" s="160" t="str">
        <f t="shared" si="16"/>
        <v xml:space="preserve"> </v>
      </c>
    </row>
    <row r="262" spans="1:44">
      <c r="A262" s="71"/>
      <c r="B262" s="142"/>
      <c r="C262" s="143"/>
      <c r="D262" s="143"/>
      <c r="E262" s="143"/>
      <c r="F262" s="144"/>
      <c r="G262" s="142"/>
      <c r="H262" s="144" t="str">
        <f>IF(OR(ISBLANK(I262),ISBLANK(AQ262))," ",IFERROR(VLOOKUP(CONCATENATE(I262,AQ262),Prestaciones!$E$1:$H$488,4,FALSE),IFERROR(VLOOKUP(CONCATENATE(LEFT(I262,6),AQ262),Prestaciones!$E$491:$H$836,4,FALSE),"La prestación no corresponde al grupo poblacional")))</f>
        <v xml:space="preserve"> </v>
      </c>
      <c r="I262" s="145"/>
      <c r="J262" s="145" t="str">
        <f>IF(OR(ISBLANK(I262),ISBLANK(AQ262))," ",IFERROR(VLOOKUP(CONCATENATE(I262,AQ262),Prestaciones!$E$1:$G$488,3,FALSE),IFERROR(VLOOKUP(CONCATENATE(LEFT(I262,6),AQ262),Prestaciones!$E$491:$H$836,3,FALSE),"La prestación no corresponde al grupo poblacional")))</f>
        <v xml:space="preserve"> </v>
      </c>
      <c r="K262" s="146"/>
      <c r="L262" s="146"/>
      <c r="M262" s="147"/>
      <c r="N262" s="148"/>
      <c r="O262" s="149"/>
      <c r="P262" s="150"/>
      <c r="Q262" s="151"/>
      <c r="R262" s="151"/>
      <c r="S262" s="151"/>
      <c r="T262" s="147"/>
      <c r="U262" s="147"/>
      <c r="V262" s="147"/>
      <c r="W262" s="149"/>
      <c r="X262" s="149"/>
      <c r="Y262" s="147"/>
      <c r="Z262" s="147"/>
      <c r="AA262" s="147"/>
      <c r="AB262" s="147"/>
      <c r="AC262" s="147"/>
      <c r="AD262" s="147"/>
      <c r="AE262" s="152"/>
      <c r="AF262" s="153" t="str">
        <f t="shared" si="14"/>
        <v xml:space="preserve"> </v>
      </c>
      <c r="AG262" s="154" t="str">
        <f t="shared" si="15"/>
        <v>Ingresar fuente de información</v>
      </c>
      <c r="AH262" s="134"/>
      <c r="AI262" s="155"/>
      <c r="AJ262" s="156"/>
      <c r="AK262" s="157"/>
      <c r="AM262" s="158"/>
      <c r="AN262" s="155" t="str">
        <f t="shared" si="13"/>
        <v xml:space="preserve"> </v>
      </c>
      <c r="AO262" s="156"/>
      <c r="AP262" s="157"/>
      <c r="AQ262" s="161"/>
      <c r="AR262" s="160" t="str">
        <f t="shared" si="16"/>
        <v xml:space="preserve"> </v>
      </c>
    </row>
    <row r="263" spans="1:44">
      <c r="A263" s="71"/>
      <c r="B263" s="142"/>
      <c r="C263" s="143"/>
      <c r="D263" s="143"/>
      <c r="E263" s="143"/>
      <c r="F263" s="144"/>
      <c r="G263" s="142"/>
      <c r="H263" s="144" t="str">
        <f>IF(OR(ISBLANK(I263),ISBLANK(AQ263))," ",IFERROR(VLOOKUP(CONCATENATE(I263,AQ263),Prestaciones!$E$1:$H$488,4,FALSE),IFERROR(VLOOKUP(CONCATENATE(LEFT(I263,6),AQ263),Prestaciones!$E$491:$H$836,4,FALSE),"La prestación no corresponde al grupo poblacional")))</f>
        <v xml:space="preserve"> </v>
      </c>
      <c r="I263" s="145"/>
      <c r="J263" s="145" t="str">
        <f>IF(OR(ISBLANK(I263),ISBLANK(AQ263))," ",IFERROR(VLOOKUP(CONCATENATE(I263,AQ263),Prestaciones!$E$1:$G$488,3,FALSE),IFERROR(VLOOKUP(CONCATENATE(LEFT(I263,6),AQ263),Prestaciones!$E$491:$H$836,3,FALSE),"La prestación no corresponde al grupo poblacional")))</f>
        <v xml:space="preserve"> </v>
      </c>
      <c r="K263" s="146"/>
      <c r="L263" s="146"/>
      <c r="M263" s="147"/>
      <c r="N263" s="148"/>
      <c r="O263" s="149"/>
      <c r="P263" s="150"/>
      <c r="Q263" s="151"/>
      <c r="R263" s="151"/>
      <c r="S263" s="151"/>
      <c r="T263" s="147"/>
      <c r="U263" s="147"/>
      <c r="V263" s="147"/>
      <c r="W263" s="149"/>
      <c r="X263" s="149"/>
      <c r="Y263" s="147"/>
      <c r="Z263" s="147"/>
      <c r="AA263" s="147"/>
      <c r="AB263" s="147"/>
      <c r="AC263" s="147"/>
      <c r="AD263" s="147"/>
      <c r="AE263" s="152"/>
      <c r="AF263" s="153" t="str">
        <f t="shared" si="14"/>
        <v xml:space="preserve"> </v>
      </c>
      <c r="AG263" s="154" t="str">
        <f t="shared" si="15"/>
        <v>Ingresar fuente de información</v>
      </c>
      <c r="AH263" s="134"/>
      <c r="AI263" s="155"/>
      <c r="AJ263" s="156"/>
      <c r="AK263" s="157"/>
      <c r="AM263" s="158"/>
      <c r="AN263" s="155" t="str">
        <f t="shared" si="13"/>
        <v xml:space="preserve"> </v>
      </c>
      <c r="AO263" s="156"/>
      <c r="AP263" s="157"/>
      <c r="AQ263" s="161"/>
      <c r="AR263" s="160" t="str">
        <f t="shared" si="16"/>
        <v xml:space="preserve"> </v>
      </c>
    </row>
    <row r="264" spans="1:44">
      <c r="A264" s="71"/>
      <c r="B264" s="142"/>
      <c r="C264" s="143"/>
      <c r="D264" s="143"/>
      <c r="E264" s="143"/>
      <c r="F264" s="144"/>
      <c r="G264" s="142"/>
      <c r="H264" s="144" t="str">
        <f>IF(OR(ISBLANK(I264),ISBLANK(AQ264))," ",IFERROR(VLOOKUP(CONCATENATE(I264,AQ264),Prestaciones!$E$1:$H$488,4,FALSE),IFERROR(VLOOKUP(CONCATENATE(LEFT(I264,6),AQ264),Prestaciones!$E$491:$H$836,4,FALSE),"La prestación no corresponde al grupo poblacional")))</f>
        <v xml:space="preserve"> </v>
      </c>
      <c r="I264" s="145"/>
      <c r="J264" s="145" t="str">
        <f>IF(OR(ISBLANK(I264),ISBLANK(AQ264))," ",IFERROR(VLOOKUP(CONCATENATE(I264,AQ264),Prestaciones!$E$1:$G$488,3,FALSE),IFERROR(VLOOKUP(CONCATENATE(LEFT(I264,6),AQ264),Prestaciones!$E$491:$H$836,3,FALSE),"La prestación no corresponde al grupo poblacional")))</f>
        <v xml:space="preserve"> </v>
      </c>
      <c r="K264" s="146"/>
      <c r="L264" s="146"/>
      <c r="M264" s="147"/>
      <c r="N264" s="148"/>
      <c r="O264" s="149"/>
      <c r="P264" s="150"/>
      <c r="Q264" s="151"/>
      <c r="R264" s="151"/>
      <c r="S264" s="151"/>
      <c r="T264" s="147"/>
      <c r="U264" s="147"/>
      <c r="V264" s="147"/>
      <c r="W264" s="149"/>
      <c r="X264" s="149"/>
      <c r="Y264" s="147"/>
      <c r="Z264" s="147"/>
      <c r="AA264" s="147"/>
      <c r="AB264" s="147"/>
      <c r="AC264" s="147"/>
      <c r="AD264" s="147"/>
      <c r="AE264" s="152"/>
      <c r="AF264" s="153" t="str">
        <f t="shared" si="14"/>
        <v xml:space="preserve"> </v>
      </c>
      <c r="AG264" s="154" t="str">
        <f t="shared" si="15"/>
        <v>Ingresar fuente de información</v>
      </c>
      <c r="AH264" s="134"/>
      <c r="AI264" s="155"/>
      <c r="AJ264" s="156"/>
      <c r="AK264" s="157"/>
      <c r="AM264" s="158"/>
      <c r="AN264" s="155" t="str">
        <f t="shared" si="13"/>
        <v xml:space="preserve"> </v>
      </c>
      <c r="AO264" s="156"/>
      <c r="AP264" s="157"/>
      <c r="AQ264" s="161"/>
      <c r="AR264" s="160" t="str">
        <f t="shared" si="16"/>
        <v xml:space="preserve"> </v>
      </c>
    </row>
    <row r="265" spans="1:44">
      <c r="A265" s="71"/>
      <c r="B265" s="142"/>
      <c r="C265" s="143"/>
      <c r="D265" s="143"/>
      <c r="E265" s="143"/>
      <c r="F265" s="144"/>
      <c r="G265" s="142"/>
      <c r="H265" s="144" t="str">
        <f>IF(OR(ISBLANK(I265),ISBLANK(AQ265))," ",IFERROR(VLOOKUP(CONCATENATE(I265,AQ265),Prestaciones!$E$1:$H$488,4,FALSE),IFERROR(VLOOKUP(CONCATENATE(LEFT(I265,6),AQ265),Prestaciones!$E$491:$H$836,4,FALSE),"La prestación no corresponde al grupo poblacional")))</f>
        <v xml:space="preserve"> </v>
      </c>
      <c r="I265" s="145"/>
      <c r="J265" s="145" t="str">
        <f>IF(OR(ISBLANK(I265),ISBLANK(AQ265))," ",IFERROR(VLOOKUP(CONCATENATE(I265,AQ265),Prestaciones!$E$1:$G$488,3,FALSE),IFERROR(VLOOKUP(CONCATENATE(LEFT(I265,6),AQ265),Prestaciones!$E$491:$H$836,3,FALSE),"La prestación no corresponde al grupo poblacional")))</f>
        <v xml:space="preserve"> </v>
      </c>
      <c r="K265" s="146"/>
      <c r="L265" s="146"/>
      <c r="M265" s="147"/>
      <c r="N265" s="148"/>
      <c r="O265" s="149"/>
      <c r="P265" s="150"/>
      <c r="Q265" s="151"/>
      <c r="R265" s="151"/>
      <c r="S265" s="151"/>
      <c r="T265" s="147"/>
      <c r="U265" s="147"/>
      <c r="V265" s="147"/>
      <c r="W265" s="149"/>
      <c r="X265" s="149"/>
      <c r="Y265" s="147"/>
      <c r="Z265" s="147"/>
      <c r="AA265" s="147"/>
      <c r="AB265" s="147"/>
      <c r="AC265" s="147"/>
      <c r="AD265" s="147"/>
      <c r="AE265" s="152"/>
      <c r="AF265" s="153" t="str">
        <f t="shared" si="14"/>
        <v xml:space="preserve"> </v>
      </c>
      <c r="AG265" s="154" t="str">
        <f t="shared" si="15"/>
        <v>Ingresar fuente de información</v>
      </c>
      <c r="AH265" s="134"/>
      <c r="AI265" s="155"/>
      <c r="AJ265" s="156"/>
      <c r="AK265" s="157"/>
      <c r="AM265" s="158"/>
      <c r="AN265" s="155" t="str">
        <f t="shared" si="13"/>
        <v xml:space="preserve"> </v>
      </c>
      <c r="AO265" s="156"/>
      <c r="AP265" s="157"/>
      <c r="AQ265" s="161"/>
      <c r="AR265" s="160" t="str">
        <f t="shared" si="16"/>
        <v xml:space="preserve"> </v>
      </c>
    </row>
    <row r="266" spans="1:44">
      <c r="A266" s="71"/>
      <c r="B266" s="142"/>
      <c r="C266" s="143"/>
      <c r="D266" s="143"/>
      <c r="E266" s="143"/>
      <c r="F266" s="144"/>
      <c r="G266" s="142"/>
      <c r="H266" s="144" t="str">
        <f>IF(OR(ISBLANK(I266),ISBLANK(AQ266))," ",IFERROR(VLOOKUP(CONCATENATE(I266,AQ266),Prestaciones!$E$1:$H$488,4,FALSE),IFERROR(VLOOKUP(CONCATENATE(LEFT(I266,6),AQ266),Prestaciones!$E$491:$H$836,4,FALSE),"La prestación no corresponde al grupo poblacional")))</f>
        <v xml:space="preserve"> </v>
      </c>
      <c r="I266" s="145"/>
      <c r="J266" s="145" t="str">
        <f>IF(OR(ISBLANK(I266),ISBLANK(AQ266))," ",IFERROR(VLOOKUP(CONCATENATE(I266,AQ266),Prestaciones!$E$1:$G$488,3,FALSE),IFERROR(VLOOKUP(CONCATENATE(LEFT(I266,6),AQ266),Prestaciones!$E$491:$H$836,3,FALSE),"La prestación no corresponde al grupo poblacional")))</f>
        <v xml:space="preserve"> </v>
      </c>
      <c r="K266" s="146"/>
      <c r="L266" s="146"/>
      <c r="M266" s="147"/>
      <c r="N266" s="148"/>
      <c r="O266" s="149"/>
      <c r="P266" s="150"/>
      <c r="Q266" s="151"/>
      <c r="R266" s="151"/>
      <c r="S266" s="151"/>
      <c r="T266" s="147"/>
      <c r="U266" s="147"/>
      <c r="V266" s="147"/>
      <c r="W266" s="149"/>
      <c r="X266" s="149"/>
      <c r="Y266" s="147"/>
      <c r="Z266" s="147"/>
      <c r="AA266" s="147"/>
      <c r="AB266" s="147"/>
      <c r="AC266" s="147"/>
      <c r="AD266" s="147"/>
      <c r="AE266" s="152"/>
      <c r="AF266" s="153" t="str">
        <f t="shared" si="14"/>
        <v xml:space="preserve"> </v>
      </c>
      <c r="AG266" s="154" t="str">
        <f t="shared" si="15"/>
        <v>Ingresar fuente de información</v>
      </c>
      <c r="AH266" s="134"/>
      <c r="AI266" s="155"/>
      <c r="AJ266" s="156"/>
      <c r="AK266" s="157"/>
      <c r="AM266" s="158"/>
      <c r="AN266" s="155" t="str">
        <f t="shared" si="13"/>
        <v xml:space="preserve"> </v>
      </c>
      <c r="AO266" s="156"/>
      <c r="AP266" s="157"/>
      <c r="AQ266" s="161"/>
      <c r="AR266" s="160" t="str">
        <f t="shared" si="16"/>
        <v xml:space="preserve"> </v>
      </c>
    </row>
    <row r="267" spans="1:44">
      <c r="A267" s="71"/>
      <c r="B267" s="142"/>
      <c r="C267" s="143"/>
      <c r="D267" s="143"/>
      <c r="E267" s="143"/>
      <c r="F267" s="144"/>
      <c r="G267" s="142"/>
      <c r="H267" s="144" t="str">
        <f>IF(OR(ISBLANK(I267),ISBLANK(AQ267))," ",IFERROR(VLOOKUP(CONCATENATE(I267,AQ267),Prestaciones!$E$1:$H$488,4,FALSE),IFERROR(VLOOKUP(CONCATENATE(LEFT(I267,6),AQ267),Prestaciones!$E$491:$H$836,4,FALSE),"La prestación no corresponde al grupo poblacional")))</f>
        <v xml:space="preserve"> </v>
      </c>
      <c r="I267" s="145"/>
      <c r="J267" s="145" t="str">
        <f>IF(OR(ISBLANK(I267),ISBLANK(AQ267))," ",IFERROR(VLOOKUP(CONCATENATE(I267,AQ267),Prestaciones!$E$1:$G$488,3,FALSE),IFERROR(VLOOKUP(CONCATENATE(LEFT(I267,6),AQ267),Prestaciones!$E$491:$H$836,3,FALSE),"La prestación no corresponde al grupo poblacional")))</f>
        <v xml:space="preserve"> </v>
      </c>
      <c r="K267" s="146"/>
      <c r="L267" s="146"/>
      <c r="M267" s="147"/>
      <c r="N267" s="148"/>
      <c r="O267" s="149"/>
      <c r="P267" s="150"/>
      <c r="Q267" s="151"/>
      <c r="R267" s="151"/>
      <c r="S267" s="151"/>
      <c r="T267" s="147"/>
      <c r="U267" s="147"/>
      <c r="V267" s="147"/>
      <c r="W267" s="149"/>
      <c r="X267" s="149"/>
      <c r="Y267" s="147"/>
      <c r="Z267" s="147"/>
      <c r="AA267" s="147"/>
      <c r="AB267" s="147"/>
      <c r="AC267" s="147"/>
      <c r="AD267" s="147"/>
      <c r="AE267" s="152"/>
      <c r="AF267" s="153" t="str">
        <f t="shared" si="14"/>
        <v xml:space="preserve"> </v>
      </c>
      <c r="AG267" s="154" t="str">
        <f t="shared" si="15"/>
        <v>Ingresar fuente de información</v>
      </c>
      <c r="AH267" s="134"/>
      <c r="AI267" s="155"/>
      <c r="AJ267" s="156"/>
      <c r="AK267" s="157"/>
      <c r="AM267" s="158"/>
      <c r="AN267" s="155" t="str">
        <f t="shared" si="13"/>
        <v xml:space="preserve"> </v>
      </c>
      <c r="AO267" s="156"/>
      <c r="AP267" s="157"/>
      <c r="AQ267" s="161"/>
      <c r="AR267" s="160" t="str">
        <f t="shared" si="16"/>
        <v xml:space="preserve"> </v>
      </c>
    </row>
    <row r="268" spans="1:44">
      <c r="A268" s="71"/>
      <c r="B268" s="142"/>
      <c r="C268" s="143"/>
      <c r="D268" s="143"/>
      <c r="E268" s="143"/>
      <c r="F268" s="144"/>
      <c r="G268" s="142"/>
      <c r="H268" s="144" t="str">
        <f>IF(OR(ISBLANK(I268),ISBLANK(AQ268))," ",IFERROR(VLOOKUP(CONCATENATE(I268,AQ268),Prestaciones!$E$1:$H$488,4,FALSE),IFERROR(VLOOKUP(CONCATENATE(LEFT(I268,6),AQ268),Prestaciones!$E$491:$H$836,4,FALSE),"La prestación no corresponde al grupo poblacional")))</f>
        <v xml:space="preserve"> </v>
      </c>
      <c r="I268" s="145"/>
      <c r="J268" s="145" t="str">
        <f>IF(OR(ISBLANK(I268),ISBLANK(AQ268))," ",IFERROR(VLOOKUP(CONCATENATE(I268,AQ268),Prestaciones!$E$1:$G$488,3,FALSE),IFERROR(VLOOKUP(CONCATENATE(LEFT(I268,6),AQ268),Prestaciones!$E$491:$H$836,3,FALSE),"La prestación no corresponde al grupo poblacional")))</f>
        <v xml:space="preserve"> </v>
      </c>
      <c r="K268" s="146"/>
      <c r="L268" s="146"/>
      <c r="M268" s="147"/>
      <c r="N268" s="148"/>
      <c r="O268" s="149"/>
      <c r="P268" s="150"/>
      <c r="Q268" s="151"/>
      <c r="R268" s="151"/>
      <c r="S268" s="151"/>
      <c r="T268" s="147"/>
      <c r="U268" s="147"/>
      <c r="V268" s="147"/>
      <c r="W268" s="149"/>
      <c r="X268" s="149"/>
      <c r="Y268" s="147"/>
      <c r="Z268" s="147"/>
      <c r="AA268" s="147"/>
      <c r="AB268" s="147"/>
      <c r="AC268" s="147"/>
      <c r="AD268" s="147"/>
      <c r="AE268" s="152"/>
      <c r="AF268" s="153" t="str">
        <f t="shared" si="14"/>
        <v xml:space="preserve"> </v>
      </c>
      <c r="AG268" s="154" t="str">
        <f t="shared" si="15"/>
        <v>Ingresar fuente de información</v>
      </c>
      <c r="AH268" s="134"/>
      <c r="AI268" s="155"/>
      <c r="AJ268" s="156"/>
      <c r="AK268" s="157"/>
      <c r="AM268" s="158"/>
      <c r="AN268" s="155" t="str">
        <f t="shared" ref="AN268:AN331" si="17">IF(ISBLANK(AM268)," ",IF(AM268=0,"Valido",IF(AM268=1,"No consta fuente de informacion valida",IF(AM268=2,"Prestación inexistente",IF(AM268=3,"Datos requeridos incompletos",IF(AM268=4,"Codificación erronea",IF(AM268=5,"Fuente invalida","Categoria invalida")))))))</f>
        <v xml:space="preserve"> </v>
      </c>
      <c r="AO268" s="156"/>
      <c r="AP268" s="157"/>
      <c r="AQ268" s="161"/>
      <c r="AR268" s="160" t="str">
        <f t="shared" si="16"/>
        <v xml:space="preserve"> </v>
      </c>
    </row>
    <row r="269" spans="1:44">
      <c r="A269" s="71"/>
      <c r="B269" s="142"/>
      <c r="C269" s="143"/>
      <c r="D269" s="143"/>
      <c r="E269" s="143"/>
      <c r="F269" s="144"/>
      <c r="G269" s="142"/>
      <c r="H269" s="144" t="str">
        <f>IF(OR(ISBLANK(I269),ISBLANK(AQ269))," ",IFERROR(VLOOKUP(CONCATENATE(I269,AQ269),Prestaciones!$E$1:$H$488,4,FALSE),IFERROR(VLOOKUP(CONCATENATE(LEFT(I269,6),AQ269),Prestaciones!$E$491:$H$836,4,FALSE),"La prestación no corresponde al grupo poblacional")))</f>
        <v xml:space="preserve"> </v>
      </c>
      <c r="I269" s="145"/>
      <c r="J269" s="145" t="str">
        <f>IF(OR(ISBLANK(I269),ISBLANK(AQ269))," ",IFERROR(VLOOKUP(CONCATENATE(I269,AQ269),Prestaciones!$E$1:$G$488,3,FALSE),IFERROR(VLOOKUP(CONCATENATE(LEFT(I269,6),AQ269),Prestaciones!$E$491:$H$836,3,FALSE),"La prestación no corresponde al grupo poblacional")))</f>
        <v xml:space="preserve"> </v>
      </c>
      <c r="K269" s="146"/>
      <c r="L269" s="146"/>
      <c r="M269" s="147"/>
      <c r="N269" s="148"/>
      <c r="O269" s="149"/>
      <c r="P269" s="150"/>
      <c r="Q269" s="151"/>
      <c r="R269" s="151"/>
      <c r="S269" s="151"/>
      <c r="T269" s="147"/>
      <c r="U269" s="147"/>
      <c r="V269" s="147"/>
      <c r="W269" s="149"/>
      <c r="X269" s="149"/>
      <c r="Y269" s="147"/>
      <c r="Z269" s="147"/>
      <c r="AA269" s="147"/>
      <c r="AB269" s="147"/>
      <c r="AC269" s="147"/>
      <c r="AD269" s="147"/>
      <c r="AE269" s="152"/>
      <c r="AF269" s="153" t="str">
        <f t="shared" si="14"/>
        <v xml:space="preserve"> </v>
      </c>
      <c r="AG269" s="154" t="str">
        <f t="shared" si="15"/>
        <v>Ingresar fuente de información</v>
      </c>
      <c r="AH269" s="134"/>
      <c r="AI269" s="155"/>
      <c r="AJ269" s="156"/>
      <c r="AK269" s="157"/>
      <c r="AM269" s="158"/>
      <c r="AN269" s="155" t="str">
        <f t="shared" si="17"/>
        <v xml:space="preserve"> </v>
      </c>
      <c r="AO269" s="156"/>
      <c r="AP269" s="157"/>
      <c r="AQ269" s="161"/>
      <c r="AR269" s="160" t="str">
        <f t="shared" si="16"/>
        <v xml:space="preserve"> </v>
      </c>
    </row>
    <row r="270" spans="1:44">
      <c r="A270" s="71"/>
      <c r="B270" s="142"/>
      <c r="C270" s="143"/>
      <c r="D270" s="143"/>
      <c r="E270" s="143"/>
      <c r="F270" s="144"/>
      <c r="G270" s="142"/>
      <c r="H270" s="144" t="str">
        <f>IF(OR(ISBLANK(I270),ISBLANK(AQ270))," ",IFERROR(VLOOKUP(CONCATENATE(I270,AQ270),Prestaciones!$E$1:$H$488,4,FALSE),IFERROR(VLOOKUP(CONCATENATE(LEFT(I270,6),AQ270),Prestaciones!$E$491:$H$836,4,FALSE),"La prestación no corresponde al grupo poblacional")))</f>
        <v xml:space="preserve"> </v>
      </c>
      <c r="I270" s="145"/>
      <c r="J270" s="145" t="str">
        <f>IF(OR(ISBLANK(I270),ISBLANK(AQ270))," ",IFERROR(VLOOKUP(CONCATENATE(I270,AQ270),Prestaciones!$E$1:$G$488,3,FALSE),IFERROR(VLOOKUP(CONCATENATE(LEFT(I270,6),AQ270),Prestaciones!$E$491:$H$836,3,FALSE),"La prestación no corresponde al grupo poblacional")))</f>
        <v xml:space="preserve"> </v>
      </c>
      <c r="K270" s="146"/>
      <c r="L270" s="146"/>
      <c r="M270" s="147"/>
      <c r="N270" s="148"/>
      <c r="O270" s="149"/>
      <c r="P270" s="150"/>
      <c r="Q270" s="151"/>
      <c r="R270" s="151"/>
      <c r="S270" s="151"/>
      <c r="T270" s="147"/>
      <c r="U270" s="147"/>
      <c r="V270" s="147"/>
      <c r="W270" s="149"/>
      <c r="X270" s="149"/>
      <c r="Y270" s="147"/>
      <c r="Z270" s="147"/>
      <c r="AA270" s="147"/>
      <c r="AB270" s="147"/>
      <c r="AC270" s="147"/>
      <c r="AD270" s="147"/>
      <c r="AE270" s="152"/>
      <c r="AF270" s="153" t="str">
        <f t="shared" si="14"/>
        <v xml:space="preserve"> </v>
      </c>
      <c r="AG270" s="154" t="str">
        <f t="shared" si="15"/>
        <v>Ingresar fuente de información</v>
      </c>
      <c r="AH270" s="134"/>
      <c r="AI270" s="155"/>
      <c r="AJ270" s="156"/>
      <c r="AK270" s="157"/>
      <c r="AM270" s="158"/>
      <c r="AN270" s="155" t="str">
        <f t="shared" si="17"/>
        <v xml:space="preserve"> </v>
      </c>
      <c r="AO270" s="156"/>
      <c r="AP270" s="157"/>
      <c r="AQ270" s="161"/>
      <c r="AR270" s="160" t="str">
        <f t="shared" si="16"/>
        <v xml:space="preserve"> </v>
      </c>
    </row>
    <row r="271" spans="1:44">
      <c r="A271" s="71"/>
      <c r="B271" s="142"/>
      <c r="C271" s="143"/>
      <c r="D271" s="143"/>
      <c r="E271" s="143"/>
      <c r="F271" s="144"/>
      <c r="G271" s="142"/>
      <c r="H271" s="144" t="str">
        <f>IF(OR(ISBLANK(I271),ISBLANK(AQ271))," ",IFERROR(VLOOKUP(CONCATENATE(I271,AQ271),Prestaciones!$E$1:$H$488,4,FALSE),IFERROR(VLOOKUP(CONCATENATE(LEFT(I271,6),AQ271),Prestaciones!$E$491:$H$836,4,FALSE),"La prestación no corresponde al grupo poblacional")))</f>
        <v xml:space="preserve"> </v>
      </c>
      <c r="I271" s="145"/>
      <c r="J271" s="145" t="str">
        <f>IF(OR(ISBLANK(I271),ISBLANK(AQ271))," ",IFERROR(VLOOKUP(CONCATENATE(I271,AQ271),Prestaciones!$E$1:$G$488,3,FALSE),IFERROR(VLOOKUP(CONCATENATE(LEFT(I271,6),AQ271),Prestaciones!$E$491:$H$836,3,FALSE),"La prestación no corresponde al grupo poblacional")))</f>
        <v xml:space="preserve"> </v>
      </c>
      <c r="K271" s="146"/>
      <c r="L271" s="146"/>
      <c r="M271" s="147"/>
      <c r="N271" s="148"/>
      <c r="O271" s="149"/>
      <c r="P271" s="150"/>
      <c r="Q271" s="151"/>
      <c r="R271" s="151"/>
      <c r="S271" s="151"/>
      <c r="T271" s="147"/>
      <c r="U271" s="147"/>
      <c r="V271" s="147"/>
      <c r="W271" s="149"/>
      <c r="X271" s="149"/>
      <c r="Y271" s="147"/>
      <c r="Z271" s="147"/>
      <c r="AA271" s="147"/>
      <c r="AB271" s="147"/>
      <c r="AC271" s="147"/>
      <c r="AD271" s="147"/>
      <c r="AE271" s="152"/>
      <c r="AF271" s="153" t="str">
        <f t="shared" si="14"/>
        <v xml:space="preserve"> </v>
      </c>
      <c r="AG271" s="154" t="str">
        <f t="shared" si="15"/>
        <v>Ingresar fuente de información</v>
      </c>
      <c r="AH271" s="134"/>
      <c r="AI271" s="155"/>
      <c r="AJ271" s="156"/>
      <c r="AK271" s="157"/>
      <c r="AM271" s="158"/>
      <c r="AN271" s="155" t="str">
        <f t="shared" si="17"/>
        <v xml:space="preserve"> </v>
      </c>
      <c r="AO271" s="156"/>
      <c r="AP271" s="157"/>
      <c r="AQ271" s="161"/>
      <c r="AR271" s="160" t="str">
        <f t="shared" si="16"/>
        <v xml:space="preserve"> </v>
      </c>
    </row>
    <row r="272" spans="1:44">
      <c r="A272" s="71"/>
      <c r="B272" s="142"/>
      <c r="C272" s="143"/>
      <c r="D272" s="143"/>
      <c r="E272" s="143"/>
      <c r="F272" s="144"/>
      <c r="G272" s="142"/>
      <c r="H272" s="144" t="str">
        <f>IF(OR(ISBLANK(I272),ISBLANK(AQ272))," ",IFERROR(VLOOKUP(CONCATENATE(I272,AQ272),Prestaciones!$E$1:$H$488,4,FALSE),IFERROR(VLOOKUP(CONCATENATE(LEFT(I272,6),AQ272),Prestaciones!$E$491:$H$836,4,FALSE),"La prestación no corresponde al grupo poblacional")))</f>
        <v xml:space="preserve"> </v>
      </c>
      <c r="I272" s="145"/>
      <c r="J272" s="145" t="str">
        <f>IF(OR(ISBLANK(I272),ISBLANK(AQ272))," ",IFERROR(VLOOKUP(CONCATENATE(I272,AQ272),Prestaciones!$E$1:$G$488,3,FALSE),IFERROR(VLOOKUP(CONCATENATE(LEFT(I272,6),AQ272),Prestaciones!$E$491:$H$836,3,FALSE),"La prestación no corresponde al grupo poblacional")))</f>
        <v xml:space="preserve"> </v>
      </c>
      <c r="K272" s="146"/>
      <c r="L272" s="146"/>
      <c r="M272" s="147"/>
      <c r="N272" s="148"/>
      <c r="O272" s="149"/>
      <c r="P272" s="150"/>
      <c r="Q272" s="151"/>
      <c r="R272" s="151"/>
      <c r="S272" s="151"/>
      <c r="T272" s="147"/>
      <c r="U272" s="147"/>
      <c r="V272" s="147"/>
      <c r="W272" s="149"/>
      <c r="X272" s="149"/>
      <c r="Y272" s="147"/>
      <c r="Z272" s="147"/>
      <c r="AA272" s="147"/>
      <c r="AB272" s="147"/>
      <c r="AC272" s="147"/>
      <c r="AD272" s="147"/>
      <c r="AE272" s="152"/>
      <c r="AF272" s="153" t="str">
        <f t="shared" si="14"/>
        <v xml:space="preserve"> </v>
      </c>
      <c r="AG272" s="154" t="str">
        <f t="shared" si="15"/>
        <v>Ingresar fuente de información</v>
      </c>
      <c r="AH272" s="134"/>
      <c r="AI272" s="155"/>
      <c r="AJ272" s="156"/>
      <c r="AK272" s="157"/>
      <c r="AM272" s="158"/>
      <c r="AN272" s="155" t="str">
        <f t="shared" si="17"/>
        <v xml:space="preserve"> </v>
      </c>
      <c r="AO272" s="156"/>
      <c r="AP272" s="157"/>
      <c r="AQ272" s="161"/>
      <c r="AR272" s="160" t="str">
        <f t="shared" si="16"/>
        <v xml:space="preserve"> </v>
      </c>
    </row>
    <row r="273" spans="1:44">
      <c r="A273" s="71"/>
      <c r="B273" s="142"/>
      <c r="C273" s="143"/>
      <c r="D273" s="143"/>
      <c r="E273" s="143"/>
      <c r="F273" s="144"/>
      <c r="G273" s="142"/>
      <c r="H273" s="144" t="str">
        <f>IF(OR(ISBLANK(I273),ISBLANK(AQ273))," ",IFERROR(VLOOKUP(CONCATENATE(I273,AQ273),Prestaciones!$E$1:$H$488,4,FALSE),IFERROR(VLOOKUP(CONCATENATE(LEFT(I273,6),AQ273),Prestaciones!$E$491:$H$836,4,FALSE),"La prestación no corresponde al grupo poblacional")))</f>
        <v xml:space="preserve"> </v>
      </c>
      <c r="I273" s="145"/>
      <c r="J273" s="145" t="str">
        <f>IF(OR(ISBLANK(I273),ISBLANK(AQ273))," ",IFERROR(VLOOKUP(CONCATENATE(I273,AQ273),Prestaciones!$E$1:$G$488,3,FALSE),IFERROR(VLOOKUP(CONCATENATE(LEFT(I273,6),AQ273),Prestaciones!$E$491:$H$836,3,FALSE),"La prestación no corresponde al grupo poblacional")))</f>
        <v xml:space="preserve"> </v>
      </c>
      <c r="K273" s="146"/>
      <c r="L273" s="146"/>
      <c r="M273" s="147"/>
      <c r="N273" s="148"/>
      <c r="O273" s="149"/>
      <c r="P273" s="150"/>
      <c r="Q273" s="151"/>
      <c r="R273" s="151"/>
      <c r="S273" s="151"/>
      <c r="T273" s="147"/>
      <c r="U273" s="147"/>
      <c r="V273" s="147"/>
      <c r="W273" s="149"/>
      <c r="X273" s="149"/>
      <c r="Y273" s="147"/>
      <c r="Z273" s="147"/>
      <c r="AA273" s="147"/>
      <c r="AB273" s="147"/>
      <c r="AC273" s="147"/>
      <c r="AD273" s="147"/>
      <c r="AE273" s="152"/>
      <c r="AF273" s="153" t="str">
        <f t="shared" si="14"/>
        <v xml:space="preserve"> </v>
      </c>
      <c r="AG273" s="154" t="str">
        <f t="shared" si="15"/>
        <v>Ingresar fuente de información</v>
      </c>
      <c r="AH273" s="134"/>
      <c r="AI273" s="155"/>
      <c r="AJ273" s="156"/>
      <c r="AK273" s="157"/>
      <c r="AM273" s="158"/>
      <c r="AN273" s="155" t="str">
        <f t="shared" si="17"/>
        <v xml:space="preserve"> </v>
      </c>
      <c r="AO273" s="156"/>
      <c r="AP273" s="157"/>
      <c r="AQ273" s="161"/>
      <c r="AR273" s="160" t="str">
        <f t="shared" si="16"/>
        <v xml:space="preserve"> </v>
      </c>
    </row>
    <row r="274" spans="1:44">
      <c r="A274" s="71"/>
      <c r="B274" s="142"/>
      <c r="C274" s="143"/>
      <c r="D274" s="143"/>
      <c r="E274" s="143"/>
      <c r="F274" s="144"/>
      <c r="G274" s="142"/>
      <c r="H274" s="144" t="str">
        <f>IF(OR(ISBLANK(I274),ISBLANK(AQ274))," ",IFERROR(VLOOKUP(CONCATENATE(I274,AQ274),Prestaciones!$E$1:$H$488,4,FALSE),IFERROR(VLOOKUP(CONCATENATE(LEFT(I274,6),AQ274),Prestaciones!$E$491:$H$836,4,FALSE),"La prestación no corresponde al grupo poblacional")))</f>
        <v xml:space="preserve"> </v>
      </c>
      <c r="I274" s="145"/>
      <c r="J274" s="145" t="str">
        <f>IF(OR(ISBLANK(I274),ISBLANK(AQ274))," ",IFERROR(VLOOKUP(CONCATENATE(I274,AQ274),Prestaciones!$E$1:$G$488,3,FALSE),IFERROR(VLOOKUP(CONCATENATE(LEFT(I274,6),AQ274),Prestaciones!$E$491:$H$836,3,FALSE),"La prestación no corresponde al grupo poblacional")))</f>
        <v xml:space="preserve"> </v>
      </c>
      <c r="K274" s="146"/>
      <c r="L274" s="146"/>
      <c r="M274" s="147"/>
      <c r="N274" s="148"/>
      <c r="O274" s="149"/>
      <c r="P274" s="150"/>
      <c r="Q274" s="151"/>
      <c r="R274" s="151"/>
      <c r="S274" s="151"/>
      <c r="T274" s="147"/>
      <c r="U274" s="147"/>
      <c r="V274" s="147"/>
      <c r="W274" s="149"/>
      <c r="X274" s="149"/>
      <c r="Y274" s="147"/>
      <c r="Z274" s="147"/>
      <c r="AA274" s="147"/>
      <c r="AB274" s="147"/>
      <c r="AC274" s="147"/>
      <c r="AD274" s="147"/>
      <c r="AE274" s="152"/>
      <c r="AF274" s="153" t="str">
        <f t="shared" si="14"/>
        <v xml:space="preserve"> </v>
      </c>
      <c r="AG274" s="154" t="str">
        <f t="shared" si="15"/>
        <v>Ingresar fuente de información</v>
      </c>
      <c r="AH274" s="134"/>
      <c r="AI274" s="155"/>
      <c r="AJ274" s="156"/>
      <c r="AK274" s="157"/>
      <c r="AM274" s="158"/>
      <c r="AN274" s="155" t="str">
        <f t="shared" si="17"/>
        <v xml:space="preserve"> </v>
      </c>
      <c r="AO274" s="156"/>
      <c r="AP274" s="157"/>
      <c r="AQ274" s="161"/>
      <c r="AR274" s="160" t="str">
        <f t="shared" si="16"/>
        <v xml:space="preserve"> </v>
      </c>
    </row>
    <row r="275" spans="1:44">
      <c r="A275" s="71"/>
      <c r="B275" s="142"/>
      <c r="C275" s="143"/>
      <c r="D275" s="143"/>
      <c r="E275" s="143"/>
      <c r="F275" s="144"/>
      <c r="G275" s="142"/>
      <c r="H275" s="144" t="str">
        <f>IF(OR(ISBLANK(I275),ISBLANK(AQ275))," ",IFERROR(VLOOKUP(CONCATENATE(I275,AQ275),Prestaciones!$E$1:$H$488,4,FALSE),IFERROR(VLOOKUP(CONCATENATE(LEFT(I275,6),AQ275),Prestaciones!$E$491:$H$836,4,FALSE),"La prestación no corresponde al grupo poblacional")))</f>
        <v xml:space="preserve"> </v>
      </c>
      <c r="I275" s="145"/>
      <c r="J275" s="145" t="str">
        <f>IF(OR(ISBLANK(I275),ISBLANK(AQ275))," ",IFERROR(VLOOKUP(CONCATENATE(I275,AQ275),Prestaciones!$E$1:$G$488,3,FALSE),IFERROR(VLOOKUP(CONCATENATE(LEFT(I275,6),AQ275),Prestaciones!$E$491:$H$836,3,FALSE),"La prestación no corresponde al grupo poblacional")))</f>
        <v xml:space="preserve"> </v>
      </c>
      <c r="K275" s="146"/>
      <c r="L275" s="146"/>
      <c r="M275" s="147"/>
      <c r="N275" s="148"/>
      <c r="O275" s="149"/>
      <c r="P275" s="150"/>
      <c r="Q275" s="151"/>
      <c r="R275" s="151"/>
      <c r="S275" s="151"/>
      <c r="T275" s="147"/>
      <c r="U275" s="147"/>
      <c r="V275" s="147"/>
      <c r="W275" s="149"/>
      <c r="X275" s="149"/>
      <c r="Y275" s="147"/>
      <c r="Z275" s="147"/>
      <c r="AA275" s="147"/>
      <c r="AB275" s="147"/>
      <c r="AC275" s="147"/>
      <c r="AD275" s="147"/>
      <c r="AE275" s="152"/>
      <c r="AF275" s="153" t="str">
        <f t="shared" si="14"/>
        <v xml:space="preserve"> </v>
      </c>
      <c r="AG275" s="154" t="str">
        <f t="shared" si="15"/>
        <v>Ingresar fuente de información</v>
      </c>
      <c r="AH275" s="134"/>
      <c r="AI275" s="155"/>
      <c r="AJ275" s="156"/>
      <c r="AK275" s="157"/>
      <c r="AM275" s="158"/>
      <c r="AN275" s="155" t="str">
        <f t="shared" si="17"/>
        <v xml:space="preserve"> </v>
      </c>
      <c r="AO275" s="156"/>
      <c r="AP275" s="157"/>
      <c r="AQ275" s="161"/>
      <c r="AR275" s="160" t="str">
        <f t="shared" si="16"/>
        <v xml:space="preserve"> </v>
      </c>
    </row>
    <row r="276" spans="1:44">
      <c r="A276" s="71"/>
      <c r="B276" s="142"/>
      <c r="C276" s="143"/>
      <c r="D276" s="143"/>
      <c r="E276" s="143"/>
      <c r="F276" s="144"/>
      <c r="G276" s="142"/>
      <c r="H276" s="144" t="str">
        <f>IF(OR(ISBLANK(I276),ISBLANK(AQ276))," ",IFERROR(VLOOKUP(CONCATENATE(I276,AQ276),Prestaciones!$E$1:$H$488,4,FALSE),IFERROR(VLOOKUP(CONCATENATE(LEFT(I276,6),AQ276),Prestaciones!$E$491:$H$836,4,FALSE),"La prestación no corresponde al grupo poblacional")))</f>
        <v xml:space="preserve"> </v>
      </c>
      <c r="I276" s="145"/>
      <c r="J276" s="145" t="str">
        <f>IF(OR(ISBLANK(I276),ISBLANK(AQ276))," ",IFERROR(VLOOKUP(CONCATENATE(I276,AQ276),Prestaciones!$E$1:$G$488,3,FALSE),IFERROR(VLOOKUP(CONCATENATE(LEFT(I276,6),AQ276),Prestaciones!$E$491:$H$836,3,FALSE),"La prestación no corresponde al grupo poblacional")))</f>
        <v xml:space="preserve"> </v>
      </c>
      <c r="K276" s="146"/>
      <c r="L276" s="146"/>
      <c r="M276" s="147"/>
      <c r="N276" s="148"/>
      <c r="O276" s="149"/>
      <c r="P276" s="150"/>
      <c r="Q276" s="151"/>
      <c r="R276" s="151"/>
      <c r="S276" s="151"/>
      <c r="T276" s="147"/>
      <c r="U276" s="147"/>
      <c r="V276" s="147"/>
      <c r="W276" s="149"/>
      <c r="X276" s="149"/>
      <c r="Y276" s="147"/>
      <c r="Z276" s="147"/>
      <c r="AA276" s="147"/>
      <c r="AB276" s="147"/>
      <c r="AC276" s="147"/>
      <c r="AD276" s="147"/>
      <c r="AE276" s="152"/>
      <c r="AF276" s="153" t="str">
        <f t="shared" si="14"/>
        <v xml:space="preserve"> </v>
      </c>
      <c r="AG276" s="154" t="str">
        <f t="shared" si="15"/>
        <v>Ingresar fuente de información</v>
      </c>
      <c r="AH276" s="134"/>
      <c r="AI276" s="155"/>
      <c r="AJ276" s="156"/>
      <c r="AK276" s="157"/>
      <c r="AM276" s="158"/>
      <c r="AN276" s="155" t="str">
        <f t="shared" si="17"/>
        <v xml:space="preserve"> </v>
      </c>
      <c r="AO276" s="156"/>
      <c r="AP276" s="157"/>
      <c r="AQ276" s="161"/>
      <c r="AR276" s="160" t="str">
        <f t="shared" si="16"/>
        <v xml:space="preserve"> </v>
      </c>
    </row>
    <row r="277" spans="1:44">
      <c r="A277" s="71"/>
      <c r="B277" s="142"/>
      <c r="C277" s="143"/>
      <c r="D277" s="143"/>
      <c r="E277" s="143"/>
      <c r="F277" s="144"/>
      <c r="G277" s="142"/>
      <c r="H277" s="144" t="str">
        <f>IF(OR(ISBLANK(I277),ISBLANK(AQ277))," ",IFERROR(VLOOKUP(CONCATENATE(I277,AQ277),Prestaciones!$E$1:$H$488,4,FALSE),IFERROR(VLOOKUP(CONCATENATE(LEFT(I277,6),AQ277),Prestaciones!$E$491:$H$836,4,FALSE),"La prestación no corresponde al grupo poblacional")))</f>
        <v xml:space="preserve"> </v>
      </c>
      <c r="I277" s="145"/>
      <c r="J277" s="145" t="str">
        <f>IF(OR(ISBLANK(I277),ISBLANK(AQ277))," ",IFERROR(VLOOKUP(CONCATENATE(I277,AQ277),Prestaciones!$E$1:$G$488,3,FALSE),IFERROR(VLOOKUP(CONCATENATE(LEFT(I277,6),AQ277),Prestaciones!$E$491:$H$836,3,FALSE),"La prestación no corresponde al grupo poblacional")))</f>
        <v xml:space="preserve"> </v>
      </c>
      <c r="K277" s="146"/>
      <c r="L277" s="146"/>
      <c r="M277" s="147"/>
      <c r="N277" s="148"/>
      <c r="O277" s="149"/>
      <c r="P277" s="150"/>
      <c r="Q277" s="151"/>
      <c r="R277" s="151"/>
      <c r="S277" s="151"/>
      <c r="T277" s="147"/>
      <c r="U277" s="147"/>
      <c r="V277" s="147"/>
      <c r="W277" s="149"/>
      <c r="X277" s="149"/>
      <c r="Y277" s="147"/>
      <c r="Z277" s="147"/>
      <c r="AA277" s="147"/>
      <c r="AB277" s="147"/>
      <c r="AC277" s="147"/>
      <c r="AD277" s="147"/>
      <c r="AE277" s="152"/>
      <c r="AF277" s="153" t="str">
        <f t="shared" si="14"/>
        <v xml:space="preserve"> </v>
      </c>
      <c r="AG277" s="154" t="str">
        <f t="shared" si="15"/>
        <v>Ingresar fuente de información</v>
      </c>
      <c r="AH277" s="134"/>
      <c r="AI277" s="155"/>
      <c r="AJ277" s="156"/>
      <c r="AK277" s="157"/>
      <c r="AM277" s="158"/>
      <c r="AN277" s="155" t="str">
        <f t="shared" si="17"/>
        <v xml:space="preserve"> </v>
      </c>
      <c r="AO277" s="156"/>
      <c r="AP277" s="157"/>
      <c r="AQ277" s="161"/>
      <c r="AR277" s="160" t="str">
        <f t="shared" si="16"/>
        <v xml:space="preserve"> </v>
      </c>
    </row>
    <row r="278" spans="1:44">
      <c r="A278" s="71"/>
      <c r="B278" s="142"/>
      <c r="C278" s="143"/>
      <c r="D278" s="143"/>
      <c r="E278" s="143"/>
      <c r="F278" s="144"/>
      <c r="G278" s="142"/>
      <c r="H278" s="144" t="str">
        <f>IF(OR(ISBLANK(I278),ISBLANK(AQ278))," ",IFERROR(VLOOKUP(CONCATENATE(I278,AQ278),Prestaciones!$E$1:$H$488,4,FALSE),IFERROR(VLOOKUP(CONCATENATE(LEFT(I278,6),AQ278),Prestaciones!$E$491:$H$836,4,FALSE),"La prestación no corresponde al grupo poblacional")))</f>
        <v xml:space="preserve"> </v>
      </c>
      <c r="I278" s="145"/>
      <c r="J278" s="145" t="str">
        <f>IF(OR(ISBLANK(I278),ISBLANK(AQ278))," ",IFERROR(VLOOKUP(CONCATENATE(I278,AQ278),Prestaciones!$E$1:$G$488,3,FALSE),IFERROR(VLOOKUP(CONCATENATE(LEFT(I278,6),AQ278),Prestaciones!$E$491:$H$836,3,FALSE),"La prestación no corresponde al grupo poblacional")))</f>
        <v xml:space="preserve"> </v>
      </c>
      <c r="K278" s="146"/>
      <c r="L278" s="146"/>
      <c r="M278" s="147"/>
      <c r="N278" s="148"/>
      <c r="O278" s="149"/>
      <c r="P278" s="150"/>
      <c r="Q278" s="151"/>
      <c r="R278" s="151"/>
      <c r="S278" s="151"/>
      <c r="T278" s="147"/>
      <c r="U278" s="147"/>
      <c r="V278" s="147"/>
      <c r="W278" s="149"/>
      <c r="X278" s="149"/>
      <c r="Y278" s="147"/>
      <c r="Z278" s="147"/>
      <c r="AA278" s="147"/>
      <c r="AB278" s="147"/>
      <c r="AC278" s="147"/>
      <c r="AD278" s="147"/>
      <c r="AE278" s="152"/>
      <c r="AF278" s="153" t="str">
        <f t="shared" si="14"/>
        <v xml:space="preserve"> </v>
      </c>
      <c r="AG278" s="154" t="str">
        <f t="shared" si="15"/>
        <v>Ingresar fuente de información</v>
      </c>
      <c r="AH278" s="134"/>
      <c r="AI278" s="155"/>
      <c r="AJ278" s="156"/>
      <c r="AK278" s="157"/>
      <c r="AM278" s="158"/>
      <c r="AN278" s="155" t="str">
        <f t="shared" si="17"/>
        <v xml:space="preserve"> </v>
      </c>
      <c r="AO278" s="156"/>
      <c r="AP278" s="157"/>
      <c r="AQ278" s="161"/>
      <c r="AR278" s="160" t="str">
        <f t="shared" si="16"/>
        <v xml:space="preserve"> </v>
      </c>
    </row>
    <row r="279" spans="1:44">
      <c r="A279" s="71"/>
      <c r="B279" s="142"/>
      <c r="C279" s="143"/>
      <c r="D279" s="143"/>
      <c r="E279" s="143"/>
      <c r="F279" s="144"/>
      <c r="G279" s="142"/>
      <c r="H279" s="144" t="str">
        <f>IF(OR(ISBLANK(I279),ISBLANK(AQ279))," ",IFERROR(VLOOKUP(CONCATENATE(I279,AQ279),Prestaciones!$E$1:$H$488,4,FALSE),IFERROR(VLOOKUP(CONCATENATE(LEFT(I279,6),AQ279),Prestaciones!$E$491:$H$836,4,FALSE),"La prestación no corresponde al grupo poblacional")))</f>
        <v xml:space="preserve"> </v>
      </c>
      <c r="I279" s="145"/>
      <c r="J279" s="145" t="str">
        <f>IF(OR(ISBLANK(I279),ISBLANK(AQ279))," ",IFERROR(VLOOKUP(CONCATENATE(I279,AQ279),Prestaciones!$E$1:$G$488,3,FALSE),IFERROR(VLOOKUP(CONCATENATE(LEFT(I279,6),AQ279),Prestaciones!$E$491:$H$836,3,FALSE),"La prestación no corresponde al grupo poblacional")))</f>
        <v xml:space="preserve"> </v>
      </c>
      <c r="K279" s="146"/>
      <c r="L279" s="146"/>
      <c r="M279" s="147"/>
      <c r="N279" s="148"/>
      <c r="O279" s="149"/>
      <c r="P279" s="150"/>
      <c r="Q279" s="151"/>
      <c r="R279" s="151"/>
      <c r="S279" s="151"/>
      <c r="T279" s="147"/>
      <c r="U279" s="147"/>
      <c r="V279" s="147"/>
      <c r="W279" s="149"/>
      <c r="X279" s="149"/>
      <c r="Y279" s="147"/>
      <c r="Z279" s="147"/>
      <c r="AA279" s="147"/>
      <c r="AB279" s="147"/>
      <c r="AC279" s="147"/>
      <c r="AD279" s="147"/>
      <c r="AE279" s="152"/>
      <c r="AF279" s="153" t="str">
        <f t="shared" si="14"/>
        <v xml:space="preserve"> </v>
      </c>
      <c r="AG279" s="154" t="str">
        <f t="shared" si="15"/>
        <v>Ingresar fuente de información</v>
      </c>
      <c r="AH279" s="134"/>
      <c r="AI279" s="155"/>
      <c r="AJ279" s="156"/>
      <c r="AK279" s="157"/>
      <c r="AM279" s="158"/>
      <c r="AN279" s="155" t="str">
        <f t="shared" si="17"/>
        <v xml:space="preserve"> </v>
      </c>
      <c r="AO279" s="156"/>
      <c r="AP279" s="157"/>
      <c r="AQ279" s="161"/>
      <c r="AR279" s="160" t="str">
        <f t="shared" si="16"/>
        <v xml:space="preserve"> </v>
      </c>
    </row>
    <row r="280" spans="1:44">
      <c r="A280" s="71"/>
      <c r="B280" s="142"/>
      <c r="C280" s="143"/>
      <c r="D280" s="143"/>
      <c r="E280" s="143"/>
      <c r="F280" s="144"/>
      <c r="G280" s="142"/>
      <c r="H280" s="144" t="str">
        <f>IF(OR(ISBLANK(I280),ISBLANK(AQ280))," ",IFERROR(VLOOKUP(CONCATENATE(I280,AQ280),Prestaciones!$E$1:$H$488,4,FALSE),IFERROR(VLOOKUP(CONCATENATE(LEFT(I280,6),AQ280),Prestaciones!$E$491:$H$836,4,FALSE),"La prestación no corresponde al grupo poblacional")))</f>
        <v xml:space="preserve"> </v>
      </c>
      <c r="I280" s="145"/>
      <c r="J280" s="145" t="str">
        <f>IF(OR(ISBLANK(I280),ISBLANK(AQ280))," ",IFERROR(VLOOKUP(CONCATENATE(I280,AQ280),Prestaciones!$E$1:$G$488,3,FALSE),IFERROR(VLOOKUP(CONCATENATE(LEFT(I280,6),AQ280),Prestaciones!$E$491:$H$836,3,FALSE),"La prestación no corresponde al grupo poblacional")))</f>
        <v xml:space="preserve"> </v>
      </c>
      <c r="K280" s="146"/>
      <c r="L280" s="146"/>
      <c r="M280" s="147"/>
      <c r="N280" s="148"/>
      <c r="O280" s="149"/>
      <c r="P280" s="150"/>
      <c r="Q280" s="151"/>
      <c r="R280" s="151"/>
      <c r="S280" s="151"/>
      <c r="T280" s="147"/>
      <c r="U280" s="147"/>
      <c r="V280" s="147"/>
      <c r="W280" s="149"/>
      <c r="X280" s="149"/>
      <c r="Y280" s="147"/>
      <c r="Z280" s="147"/>
      <c r="AA280" s="147"/>
      <c r="AB280" s="147"/>
      <c r="AC280" s="147"/>
      <c r="AD280" s="147"/>
      <c r="AE280" s="152"/>
      <c r="AF280" s="153" t="str">
        <f t="shared" si="14"/>
        <v xml:space="preserve"> </v>
      </c>
      <c r="AG280" s="154" t="str">
        <f t="shared" si="15"/>
        <v>Ingresar fuente de información</v>
      </c>
      <c r="AH280" s="134"/>
      <c r="AI280" s="155"/>
      <c r="AJ280" s="156"/>
      <c r="AK280" s="157"/>
      <c r="AM280" s="158"/>
      <c r="AN280" s="155" t="str">
        <f t="shared" si="17"/>
        <v xml:space="preserve"> </v>
      </c>
      <c r="AO280" s="156"/>
      <c r="AP280" s="157"/>
      <c r="AQ280" s="161"/>
      <c r="AR280" s="160" t="str">
        <f t="shared" si="16"/>
        <v xml:space="preserve"> </v>
      </c>
    </row>
    <row r="281" spans="1:44">
      <c r="A281" s="71"/>
      <c r="B281" s="142"/>
      <c r="C281" s="143"/>
      <c r="D281" s="143"/>
      <c r="E281" s="143"/>
      <c r="F281" s="144"/>
      <c r="G281" s="142"/>
      <c r="H281" s="144" t="str">
        <f>IF(OR(ISBLANK(I281),ISBLANK(AQ281))," ",IFERROR(VLOOKUP(CONCATENATE(I281,AQ281),Prestaciones!$E$1:$H$488,4,FALSE),IFERROR(VLOOKUP(CONCATENATE(LEFT(I281,6),AQ281),Prestaciones!$E$491:$H$836,4,FALSE),"La prestación no corresponde al grupo poblacional")))</f>
        <v xml:space="preserve"> </v>
      </c>
      <c r="I281" s="145"/>
      <c r="J281" s="145" t="str">
        <f>IF(OR(ISBLANK(I281),ISBLANK(AQ281))," ",IFERROR(VLOOKUP(CONCATENATE(I281,AQ281),Prestaciones!$E$1:$G$488,3,FALSE),IFERROR(VLOOKUP(CONCATENATE(LEFT(I281,6),AQ281),Prestaciones!$E$491:$H$836,3,FALSE),"La prestación no corresponde al grupo poblacional")))</f>
        <v xml:space="preserve"> </v>
      </c>
      <c r="K281" s="146"/>
      <c r="L281" s="146"/>
      <c r="M281" s="147"/>
      <c r="N281" s="148"/>
      <c r="O281" s="149"/>
      <c r="P281" s="150"/>
      <c r="Q281" s="151"/>
      <c r="R281" s="151"/>
      <c r="S281" s="151"/>
      <c r="T281" s="147"/>
      <c r="U281" s="147"/>
      <c r="V281" s="147"/>
      <c r="W281" s="149"/>
      <c r="X281" s="149"/>
      <c r="Y281" s="147"/>
      <c r="Z281" s="147"/>
      <c r="AA281" s="147"/>
      <c r="AB281" s="147"/>
      <c r="AC281" s="147"/>
      <c r="AD281" s="147"/>
      <c r="AE281" s="152"/>
      <c r="AF281" s="153" t="str">
        <f t="shared" si="14"/>
        <v xml:space="preserve"> </v>
      </c>
      <c r="AG281" s="154" t="str">
        <f t="shared" si="15"/>
        <v>Ingresar fuente de información</v>
      </c>
      <c r="AH281" s="134"/>
      <c r="AI281" s="155"/>
      <c r="AJ281" s="156"/>
      <c r="AK281" s="157"/>
      <c r="AM281" s="158"/>
      <c r="AN281" s="155" t="str">
        <f t="shared" si="17"/>
        <v xml:space="preserve"> </v>
      </c>
      <c r="AO281" s="156"/>
      <c r="AP281" s="157"/>
      <c r="AQ281" s="161"/>
      <c r="AR281" s="160" t="str">
        <f t="shared" si="16"/>
        <v xml:space="preserve"> </v>
      </c>
    </row>
    <row r="282" spans="1:44">
      <c r="A282" s="71"/>
      <c r="B282" s="142"/>
      <c r="C282" s="143"/>
      <c r="D282" s="143"/>
      <c r="E282" s="143"/>
      <c r="F282" s="144"/>
      <c r="G282" s="142"/>
      <c r="H282" s="144" t="str">
        <f>IF(OR(ISBLANK(I282),ISBLANK(AQ282))," ",IFERROR(VLOOKUP(CONCATENATE(I282,AQ282),Prestaciones!$E$1:$H$488,4,FALSE),IFERROR(VLOOKUP(CONCATENATE(LEFT(I282,6),AQ282),Prestaciones!$E$491:$H$836,4,FALSE),"La prestación no corresponde al grupo poblacional")))</f>
        <v xml:space="preserve"> </v>
      </c>
      <c r="I282" s="145"/>
      <c r="J282" s="145" t="str">
        <f>IF(OR(ISBLANK(I282),ISBLANK(AQ282))," ",IFERROR(VLOOKUP(CONCATENATE(I282,AQ282),Prestaciones!$E$1:$G$488,3,FALSE),IFERROR(VLOOKUP(CONCATENATE(LEFT(I282,6),AQ282),Prestaciones!$E$491:$H$836,3,FALSE),"La prestación no corresponde al grupo poblacional")))</f>
        <v xml:space="preserve"> </v>
      </c>
      <c r="K282" s="146"/>
      <c r="L282" s="146"/>
      <c r="M282" s="147"/>
      <c r="N282" s="148"/>
      <c r="O282" s="149"/>
      <c r="P282" s="150"/>
      <c r="Q282" s="151"/>
      <c r="R282" s="151"/>
      <c r="S282" s="151"/>
      <c r="T282" s="147"/>
      <c r="U282" s="147"/>
      <c r="V282" s="147"/>
      <c r="W282" s="149"/>
      <c r="X282" s="149"/>
      <c r="Y282" s="147"/>
      <c r="Z282" s="147"/>
      <c r="AA282" s="147"/>
      <c r="AB282" s="147"/>
      <c r="AC282" s="147"/>
      <c r="AD282" s="147"/>
      <c r="AE282" s="152"/>
      <c r="AF282" s="153" t="str">
        <f t="shared" si="14"/>
        <v xml:space="preserve"> </v>
      </c>
      <c r="AG282" s="154" t="str">
        <f t="shared" si="15"/>
        <v>Ingresar fuente de información</v>
      </c>
      <c r="AH282" s="134"/>
      <c r="AI282" s="155"/>
      <c r="AJ282" s="156"/>
      <c r="AK282" s="157"/>
      <c r="AM282" s="158"/>
      <c r="AN282" s="155" t="str">
        <f t="shared" si="17"/>
        <v xml:space="preserve"> </v>
      </c>
      <c r="AO282" s="156"/>
      <c r="AP282" s="157"/>
      <c r="AQ282" s="161"/>
      <c r="AR282" s="160" t="str">
        <f t="shared" si="16"/>
        <v xml:space="preserve"> </v>
      </c>
    </row>
    <row r="283" spans="1:44">
      <c r="A283" s="71"/>
      <c r="B283" s="142"/>
      <c r="C283" s="143"/>
      <c r="D283" s="143"/>
      <c r="E283" s="143"/>
      <c r="F283" s="144"/>
      <c r="G283" s="142"/>
      <c r="H283" s="144" t="str">
        <f>IF(OR(ISBLANK(I283),ISBLANK(AQ283))," ",IFERROR(VLOOKUP(CONCATENATE(I283,AQ283),Prestaciones!$E$1:$H$488,4,FALSE),IFERROR(VLOOKUP(CONCATENATE(LEFT(I283,6),AQ283),Prestaciones!$E$491:$H$836,4,FALSE),"La prestación no corresponde al grupo poblacional")))</f>
        <v xml:space="preserve"> </v>
      </c>
      <c r="I283" s="145"/>
      <c r="J283" s="145" t="str">
        <f>IF(OR(ISBLANK(I283),ISBLANK(AQ283))," ",IFERROR(VLOOKUP(CONCATENATE(I283,AQ283),Prestaciones!$E$1:$G$488,3,FALSE),IFERROR(VLOOKUP(CONCATENATE(LEFT(I283,6),AQ283),Prestaciones!$E$491:$H$836,3,FALSE),"La prestación no corresponde al grupo poblacional")))</f>
        <v xml:space="preserve"> </v>
      </c>
      <c r="K283" s="146"/>
      <c r="L283" s="146"/>
      <c r="M283" s="147"/>
      <c r="N283" s="148"/>
      <c r="O283" s="149"/>
      <c r="P283" s="150"/>
      <c r="Q283" s="151"/>
      <c r="R283" s="151"/>
      <c r="S283" s="151"/>
      <c r="T283" s="147"/>
      <c r="U283" s="147"/>
      <c r="V283" s="147"/>
      <c r="W283" s="149"/>
      <c r="X283" s="149"/>
      <c r="Y283" s="147"/>
      <c r="Z283" s="147"/>
      <c r="AA283" s="147"/>
      <c r="AB283" s="147"/>
      <c r="AC283" s="147"/>
      <c r="AD283" s="147"/>
      <c r="AE283" s="152"/>
      <c r="AF283" s="153" t="str">
        <f t="shared" si="14"/>
        <v xml:space="preserve"> </v>
      </c>
      <c r="AG283" s="154" t="str">
        <f t="shared" si="15"/>
        <v>Ingresar fuente de información</v>
      </c>
      <c r="AH283" s="134"/>
      <c r="AI283" s="155"/>
      <c r="AJ283" s="156"/>
      <c r="AK283" s="157"/>
      <c r="AM283" s="158"/>
      <c r="AN283" s="155" t="str">
        <f t="shared" si="17"/>
        <v xml:space="preserve"> </v>
      </c>
      <c r="AO283" s="156"/>
      <c r="AP283" s="157"/>
      <c r="AQ283" s="161"/>
      <c r="AR283" s="160" t="str">
        <f t="shared" si="16"/>
        <v xml:space="preserve"> </v>
      </c>
    </row>
    <row r="284" spans="1:44">
      <c r="A284" s="71"/>
      <c r="B284" s="142"/>
      <c r="C284" s="143"/>
      <c r="D284" s="143"/>
      <c r="E284" s="143"/>
      <c r="F284" s="144"/>
      <c r="G284" s="142"/>
      <c r="H284" s="144" t="str">
        <f>IF(OR(ISBLANK(I284),ISBLANK(AQ284))," ",IFERROR(VLOOKUP(CONCATENATE(I284,AQ284),Prestaciones!$E$1:$H$488,4,FALSE),IFERROR(VLOOKUP(CONCATENATE(LEFT(I284,6),AQ284),Prestaciones!$E$491:$H$836,4,FALSE),"La prestación no corresponde al grupo poblacional")))</f>
        <v xml:space="preserve"> </v>
      </c>
      <c r="I284" s="145"/>
      <c r="J284" s="145" t="str">
        <f>IF(OR(ISBLANK(I284),ISBLANK(AQ284))," ",IFERROR(VLOOKUP(CONCATENATE(I284,AQ284),Prestaciones!$E$1:$G$488,3,FALSE),IFERROR(VLOOKUP(CONCATENATE(LEFT(I284,6),AQ284),Prestaciones!$E$491:$H$836,3,FALSE),"La prestación no corresponde al grupo poblacional")))</f>
        <v xml:space="preserve"> </v>
      </c>
      <c r="K284" s="146"/>
      <c r="L284" s="146"/>
      <c r="M284" s="147"/>
      <c r="N284" s="148"/>
      <c r="O284" s="149"/>
      <c r="P284" s="150"/>
      <c r="Q284" s="151"/>
      <c r="R284" s="151"/>
      <c r="S284" s="151"/>
      <c r="T284" s="147"/>
      <c r="U284" s="147"/>
      <c r="V284" s="147"/>
      <c r="W284" s="149"/>
      <c r="X284" s="149"/>
      <c r="Y284" s="147"/>
      <c r="Z284" s="147"/>
      <c r="AA284" s="147"/>
      <c r="AB284" s="147"/>
      <c r="AC284" s="147"/>
      <c r="AD284" s="147"/>
      <c r="AE284" s="152"/>
      <c r="AF284" s="153" t="str">
        <f t="shared" si="14"/>
        <v xml:space="preserve"> </v>
      </c>
      <c r="AG284" s="154" t="str">
        <f t="shared" si="15"/>
        <v>Ingresar fuente de información</v>
      </c>
      <c r="AH284" s="134"/>
      <c r="AI284" s="155"/>
      <c r="AJ284" s="156"/>
      <c r="AK284" s="157"/>
      <c r="AM284" s="158"/>
      <c r="AN284" s="155" t="str">
        <f t="shared" si="17"/>
        <v xml:space="preserve"> </v>
      </c>
      <c r="AO284" s="156"/>
      <c r="AP284" s="157"/>
      <c r="AQ284" s="161"/>
      <c r="AR284" s="160" t="str">
        <f t="shared" si="16"/>
        <v xml:space="preserve"> </v>
      </c>
    </row>
    <row r="285" spans="1:44">
      <c r="A285" s="71"/>
      <c r="B285" s="142"/>
      <c r="C285" s="143"/>
      <c r="D285" s="143"/>
      <c r="E285" s="143"/>
      <c r="F285" s="144"/>
      <c r="G285" s="142"/>
      <c r="H285" s="144" t="str">
        <f>IF(OR(ISBLANK(I285),ISBLANK(AQ285))," ",IFERROR(VLOOKUP(CONCATENATE(I285,AQ285),Prestaciones!$E$1:$H$488,4,FALSE),IFERROR(VLOOKUP(CONCATENATE(LEFT(I285,6),AQ285),Prestaciones!$E$491:$H$836,4,FALSE),"La prestación no corresponde al grupo poblacional")))</f>
        <v xml:space="preserve"> </v>
      </c>
      <c r="I285" s="145"/>
      <c r="J285" s="145" t="str">
        <f>IF(OR(ISBLANK(I285),ISBLANK(AQ285))," ",IFERROR(VLOOKUP(CONCATENATE(I285,AQ285),Prestaciones!$E$1:$G$488,3,FALSE),IFERROR(VLOOKUP(CONCATENATE(LEFT(I285,6),AQ285),Prestaciones!$E$491:$H$836,3,FALSE),"La prestación no corresponde al grupo poblacional")))</f>
        <v xml:space="preserve"> </v>
      </c>
      <c r="K285" s="146"/>
      <c r="L285" s="146"/>
      <c r="M285" s="147"/>
      <c r="N285" s="148"/>
      <c r="O285" s="149"/>
      <c r="P285" s="150"/>
      <c r="Q285" s="151"/>
      <c r="R285" s="151"/>
      <c r="S285" s="151"/>
      <c r="T285" s="147"/>
      <c r="U285" s="147"/>
      <c r="V285" s="147"/>
      <c r="W285" s="149"/>
      <c r="X285" s="149"/>
      <c r="Y285" s="147"/>
      <c r="Z285" s="147"/>
      <c r="AA285" s="147"/>
      <c r="AB285" s="147"/>
      <c r="AC285" s="147"/>
      <c r="AD285" s="147"/>
      <c r="AE285" s="152"/>
      <c r="AF285" s="153" t="str">
        <f t="shared" si="14"/>
        <v xml:space="preserve"> </v>
      </c>
      <c r="AG285" s="154" t="str">
        <f t="shared" si="15"/>
        <v>Ingresar fuente de información</v>
      </c>
      <c r="AH285" s="134"/>
      <c r="AI285" s="155"/>
      <c r="AJ285" s="156"/>
      <c r="AK285" s="157"/>
      <c r="AM285" s="158"/>
      <c r="AN285" s="155" t="str">
        <f t="shared" si="17"/>
        <v xml:space="preserve"> </v>
      </c>
      <c r="AO285" s="156"/>
      <c r="AP285" s="157"/>
      <c r="AQ285" s="161"/>
      <c r="AR285" s="160" t="str">
        <f t="shared" si="16"/>
        <v xml:space="preserve"> </v>
      </c>
    </row>
    <row r="286" spans="1:44">
      <c r="A286" s="71"/>
      <c r="B286" s="142"/>
      <c r="C286" s="143"/>
      <c r="D286" s="143"/>
      <c r="E286" s="143"/>
      <c r="F286" s="144"/>
      <c r="G286" s="142"/>
      <c r="H286" s="144" t="str">
        <f>IF(OR(ISBLANK(I286),ISBLANK(AQ286))," ",IFERROR(VLOOKUP(CONCATENATE(I286,AQ286),Prestaciones!$E$1:$H$488,4,FALSE),IFERROR(VLOOKUP(CONCATENATE(LEFT(I286,6),AQ286),Prestaciones!$E$491:$H$836,4,FALSE),"La prestación no corresponde al grupo poblacional")))</f>
        <v xml:space="preserve"> </v>
      </c>
      <c r="I286" s="145"/>
      <c r="J286" s="145" t="str">
        <f>IF(OR(ISBLANK(I286),ISBLANK(AQ286))," ",IFERROR(VLOOKUP(CONCATENATE(I286,AQ286),Prestaciones!$E$1:$G$488,3,FALSE),IFERROR(VLOOKUP(CONCATENATE(LEFT(I286,6),AQ286),Prestaciones!$E$491:$H$836,3,FALSE),"La prestación no corresponde al grupo poblacional")))</f>
        <v xml:space="preserve"> </v>
      </c>
      <c r="K286" s="146"/>
      <c r="L286" s="146"/>
      <c r="M286" s="147"/>
      <c r="N286" s="148"/>
      <c r="O286" s="149"/>
      <c r="P286" s="150"/>
      <c r="Q286" s="151"/>
      <c r="R286" s="151"/>
      <c r="S286" s="151"/>
      <c r="T286" s="147"/>
      <c r="U286" s="147"/>
      <c r="V286" s="147"/>
      <c r="W286" s="149"/>
      <c r="X286" s="149"/>
      <c r="Y286" s="147"/>
      <c r="Z286" s="147"/>
      <c r="AA286" s="147"/>
      <c r="AB286" s="147"/>
      <c r="AC286" s="147"/>
      <c r="AD286" s="147"/>
      <c r="AE286" s="152"/>
      <c r="AF286" s="153" t="str">
        <f t="shared" si="14"/>
        <v xml:space="preserve"> </v>
      </c>
      <c r="AG286" s="154" t="str">
        <f>IF(M286="No consta fuente de información","Se debe labrar acta",IF(M286="Prestación inexistente","Se debe labrar acta e indicar el tipo de fuente de información en observaciones",IF(M286="","Ingresar fuente de información",IF(AND(OR(M286="HC",M286="Ficha odontológica",M286="Libro de enfermería",M286="SIP",M286="Registro vacunatorio",M286="HCPB",M286="Ficha médica",M286="Libro del servicio de imágenes",M286="Registro del servicio de anatomía patológica",M286="Sistema informático",M286="Caso duplicado"),(OR(ISBLANK(O286),ISBLANK(Q286),ISBLANK(R286),ISBLANK(S286),ISBLANK(T286),ISBLANK(U286),ISBLANK(V286),ISBLANK(W286),ISBLANK(X286),ISBLANK(Y286),ISBLANK(Z286),ISBLANK(AA286),ISBLANK(AB286),ISBLANK(AC286),ISBLANK(AD286)))),"Completar todos los campos","OK"))))</f>
        <v>Ingresar fuente de información</v>
      </c>
      <c r="AH286" s="134"/>
      <c r="AI286" s="155"/>
      <c r="AJ286" s="156"/>
      <c r="AK286" s="157"/>
      <c r="AM286" s="158"/>
      <c r="AN286" s="155" t="str">
        <f t="shared" si="17"/>
        <v xml:space="preserve"> </v>
      </c>
      <c r="AO286" s="156"/>
      <c r="AP286" s="157"/>
      <c r="AQ286" s="161"/>
      <c r="AR286" s="160" t="str">
        <f t="shared" si="16"/>
        <v xml:space="preserve"> </v>
      </c>
    </row>
    <row r="287" spans="1:44">
      <c r="A287" s="71"/>
      <c r="B287" s="142"/>
      <c r="C287" s="143"/>
      <c r="D287" s="143"/>
      <c r="E287" s="143"/>
      <c r="F287" s="144"/>
      <c r="G287" s="142"/>
      <c r="H287" s="144" t="str">
        <f>IF(OR(ISBLANK(I287),ISBLANK(AQ287))," ",IFERROR(VLOOKUP(CONCATENATE(I287,AQ287),Prestaciones!$E$1:$H$488,4,FALSE),IFERROR(VLOOKUP(CONCATENATE(LEFT(I287,6),AQ287),Prestaciones!$E$491:$H$836,4,FALSE),"La prestación no corresponde al grupo poblacional")))</f>
        <v xml:space="preserve"> </v>
      </c>
      <c r="I287" s="145"/>
      <c r="J287" s="145" t="str">
        <f>IF(OR(ISBLANK(I287),ISBLANK(AQ287))," ",IFERROR(VLOOKUP(CONCATENATE(I287,AQ287),Prestaciones!$E$1:$G$488,3,FALSE),IFERROR(VLOOKUP(CONCATENATE(LEFT(I287,6),AQ287),Prestaciones!$E$491:$H$836,3,FALSE),"La prestación no corresponde al grupo poblacional")))</f>
        <v xml:space="preserve"> </v>
      </c>
      <c r="K287" s="146"/>
      <c r="L287" s="146"/>
      <c r="M287" s="147"/>
      <c r="N287" s="148"/>
      <c r="O287" s="149"/>
      <c r="P287" s="150"/>
      <c r="Q287" s="151"/>
      <c r="R287" s="151"/>
      <c r="S287" s="151"/>
      <c r="T287" s="147"/>
      <c r="U287" s="147"/>
      <c r="V287" s="147"/>
      <c r="W287" s="149"/>
      <c r="X287" s="149"/>
      <c r="Y287" s="147"/>
      <c r="Z287" s="147"/>
      <c r="AA287" s="147"/>
      <c r="AB287" s="147"/>
      <c r="AC287" s="147"/>
      <c r="AD287" s="147"/>
      <c r="AE287" s="152"/>
      <c r="AF287" s="153" t="str">
        <f t="shared" ref="AF287:AF350" si="18">IF(ISBLANK(P287)," ",(K287-P287)/365)</f>
        <v xml:space="preserve"> </v>
      </c>
      <c r="AG287" s="154" t="str">
        <f t="shared" ref="AG287:AG350" si="19">IF(M287="No consta fuente de información","Se debe labrar acta",IF(M287="Prestación inexistente","Se debe labrar acta e indicar el tipo de fuente de información en observaciones",IF(M287="","Ingresar fuente de información",IF(AND(OR(M287="HC",M287="Ficha odontológica",M287="Libro de enfermería",M287="SIP",M287="Registro vacunatorio",M287="HCPB",M287="Ficha médica",M287="Libro del servicio de imágenes",M287="Registro del servicio de anatomía patológica",M287="Sistema informático",M287="Caso duplicado"),(OR(ISBLANK(O287),ISBLANK(Q287),ISBLANK(R287),ISBLANK(S287),ISBLANK(T287),ISBLANK(U287),ISBLANK(V287),ISBLANK(W287),ISBLANK(X287),ISBLANK(Y287),ISBLANK(Z287),ISBLANK(AA287),ISBLANK(AB287),ISBLANK(AC287),ISBLANK(AD287)))),"Completar todos los campos","OK"))))</f>
        <v>Ingresar fuente de información</v>
      </c>
      <c r="AH287" s="134"/>
      <c r="AI287" s="155"/>
      <c r="AJ287" s="156"/>
      <c r="AK287" s="157"/>
      <c r="AM287" s="158"/>
      <c r="AN287" s="155" t="str">
        <f t="shared" si="17"/>
        <v xml:space="preserve"> </v>
      </c>
      <c r="AO287" s="156"/>
      <c r="AP287" s="157"/>
      <c r="AQ287" s="161"/>
      <c r="AR287" s="160" t="str">
        <f t="shared" si="16"/>
        <v xml:space="preserve"> </v>
      </c>
    </row>
    <row r="288" spans="1:44">
      <c r="A288" s="71"/>
      <c r="B288" s="142"/>
      <c r="C288" s="143"/>
      <c r="D288" s="143"/>
      <c r="E288" s="143"/>
      <c r="F288" s="144"/>
      <c r="G288" s="142"/>
      <c r="H288" s="144" t="str">
        <f>IF(OR(ISBLANK(I288),ISBLANK(AQ288))," ",IFERROR(VLOOKUP(CONCATENATE(I288,AQ288),Prestaciones!$E$1:$H$488,4,FALSE),IFERROR(VLOOKUP(CONCATENATE(LEFT(I288,6),AQ288),Prestaciones!$E$491:$H$836,4,FALSE),"La prestación no corresponde al grupo poblacional")))</f>
        <v xml:space="preserve"> </v>
      </c>
      <c r="I288" s="145"/>
      <c r="J288" s="145" t="str">
        <f>IF(OR(ISBLANK(I288),ISBLANK(AQ288))," ",IFERROR(VLOOKUP(CONCATENATE(I288,AQ288),Prestaciones!$E$1:$G$488,3,FALSE),IFERROR(VLOOKUP(CONCATENATE(LEFT(I288,6),AQ288),Prestaciones!$E$491:$H$836,3,FALSE),"La prestación no corresponde al grupo poblacional")))</f>
        <v xml:space="preserve"> </v>
      </c>
      <c r="K288" s="146"/>
      <c r="L288" s="146"/>
      <c r="M288" s="147"/>
      <c r="N288" s="148"/>
      <c r="O288" s="149"/>
      <c r="P288" s="150"/>
      <c r="Q288" s="151"/>
      <c r="R288" s="151"/>
      <c r="S288" s="151"/>
      <c r="T288" s="147"/>
      <c r="U288" s="147"/>
      <c r="V288" s="147"/>
      <c r="W288" s="149"/>
      <c r="X288" s="149"/>
      <c r="Y288" s="147"/>
      <c r="Z288" s="147"/>
      <c r="AA288" s="147"/>
      <c r="AB288" s="147"/>
      <c r="AC288" s="147"/>
      <c r="AD288" s="147"/>
      <c r="AE288" s="152"/>
      <c r="AF288" s="153" t="str">
        <f t="shared" si="18"/>
        <v xml:space="preserve"> </v>
      </c>
      <c r="AG288" s="154" t="str">
        <f t="shared" si="19"/>
        <v>Ingresar fuente de información</v>
      </c>
      <c r="AH288" s="134"/>
      <c r="AI288" s="155"/>
      <c r="AJ288" s="156"/>
      <c r="AK288" s="157"/>
      <c r="AM288" s="158"/>
      <c r="AN288" s="155" t="str">
        <f t="shared" si="17"/>
        <v xml:space="preserve"> </v>
      </c>
      <c r="AO288" s="156"/>
      <c r="AP288" s="157"/>
      <c r="AQ288" s="161"/>
      <c r="AR288" s="160" t="str">
        <f t="shared" ref="AR288:AR351" si="20">IF(ISBLANK(P288)," ",IF(AND(AF288&lt;10),"Niños",IF(AND(AF288&gt;=10,AF288&lt;20),"Adolescentes",IF(AND(AF288&gt;=20,AF288&lt;65),"Adultos","No valido"))))</f>
        <v xml:space="preserve"> </v>
      </c>
    </row>
    <row r="289" spans="1:44">
      <c r="A289" s="71"/>
      <c r="B289" s="142"/>
      <c r="C289" s="143"/>
      <c r="D289" s="143"/>
      <c r="E289" s="143"/>
      <c r="F289" s="144"/>
      <c r="G289" s="142"/>
      <c r="H289" s="144" t="str">
        <f>IF(OR(ISBLANK(I289),ISBLANK(AQ289))," ",IFERROR(VLOOKUP(CONCATENATE(I289,AQ289),Prestaciones!$E$1:$H$488,4,FALSE),IFERROR(VLOOKUP(CONCATENATE(LEFT(I289,6),AQ289),Prestaciones!$E$491:$H$836,4,FALSE),"La prestación no corresponde al grupo poblacional")))</f>
        <v xml:space="preserve"> </v>
      </c>
      <c r="I289" s="145"/>
      <c r="J289" s="145" t="str">
        <f>IF(OR(ISBLANK(I289),ISBLANK(AQ289))," ",IFERROR(VLOOKUP(CONCATENATE(I289,AQ289),Prestaciones!$E$1:$G$488,3,FALSE),IFERROR(VLOOKUP(CONCATENATE(LEFT(I289,6),AQ289),Prestaciones!$E$491:$H$836,3,FALSE),"La prestación no corresponde al grupo poblacional")))</f>
        <v xml:space="preserve"> </v>
      </c>
      <c r="K289" s="146"/>
      <c r="L289" s="146"/>
      <c r="M289" s="147"/>
      <c r="N289" s="148"/>
      <c r="O289" s="149"/>
      <c r="P289" s="150"/>
      <c r="Q289" s="151"/>
      <c r="R289" s="151"/>
      <c r="S289" s="151"/>
      <c r="T289" s="147"/>
      <c r="U289" s="147"/>
      <c r="V289" s="147"/>
      <c r="W289" s="149"/>
      <c r="X289" s="149"/>
      <c r="Y289" s="147"/>
      <c r="Z289" s="147"/>
      <c r="AA289" s="147"/>
      <c r="AB289" s="147"/>
      <c r="AC289" s="147"/>
      <c r="AD289" s="147"/>
      <c r="AE289" s="152"/>
      <c r="AF289" s="153" t="str">
        <f t="shared" si="18"/>
        <v xml:space="preserve"> </v>
      </c>
      <c r="AG289" s="154" t="str">
        <f t="shared" si="19"/>
        <v>Ingresar fuente de información</v>
      </c>
      <c r="AH289" s="134"/>
      <c r="AI289" s="155"/>
      <c r="AJ289" s="156"/>
      <c r="AK289" s="157"/>
      <c r="AM289" s="158"/>
      <c r="AN289" s="155" t="str">
        <f t="shared" si="17"/>
        <v xml:space="preserve"> </v>
      </c>
      <c r="AO289" s="156"/>
      <c r="AP289" s="157"/>
      <c r="AQ289" s="161"/>
      <c r="AR289" s="160" t="str">
        <f t="shared" si="20"/>
        <v xml:space="preserve"> </v>
      </c>
    </row>
    <row r="290" spans="1:44">
      <c r="A290" s="71"/>
      <c r="B290" s="142"/>
      <c r="C290" s="143"/>
      <c r="D290" s="143"/>
      <c r="E290" s="143"/>
      <c r="F290" s="144"/>
      <c r="G290" s="142"/>
      <c r="H290" s="144" t="str">
        <f>IF(OR(ISBLANK(I290),ISBLANK(AQ290))," ",IFERROR(VLOOKUP(CONCATENATE(I290,AQ290),Prestaciones!$E$1:$H$488,4,FALSE),IFERROR(VLOOKUP(CONCATENATE(LEFT(I290,6),AQ290),Prestaciones!$E$491:$H$836,4,FALSE),"La prestación no corresponde al grupo poblacional")))</f>
        <v xml:space="preserve"> </v>
      </c>
      <c r="I290" s="145"/>
      <c r="J290" s="145" t="str">
        <f>IF(OR(ISBLANK(I290),ISBLANK(AQ290))," ",IFERROR(VLOOKUP(CONCATENATE(I290,AQ290),Prestaciones!$E$1:$G$488,3,FALSE),IFERROR(VLOOKUP(CONCATENATE(LEFT(I290,6),AQ290),Prestaciones!$E$491:$H$836,3,FALSE),"La prestación no corresponde al grupo poblacional")))</f>
        <v xml:space="preserve"> </v>
      </c>
      <c r="K290" s="146"/>
      <c r="L290" s="146"/>
      <c r="M290" s="147"/>
      <c r="N290" s="148"/>
      <c r="O290" s="149"/>
      <c r="P290" s="150"/>
      <c r="Q290" s="151"/>
      <c r="R290" s="151"/>
      <c r="S290" s="151"/>
      <c r="T290" s="147"/>
      <c r="U290" s="147"/>
      <c r="V290" s="147"/>
      <c r="W290" s="149"/>
      <c r="X290" s="149"/>
      <c r="Y290" s="147"/>
      <c r="Z290" s="147"/>
      <c r="AA290" s="147"/>
      <c r="AB290" s="147"/>
      <c r="AC290" s="147"/>
      <c r="AD290" s="147"/>
      <c r="AE290" s="152"/>
      <c r="AF290" s="153" t="str">
        <f t="shared" si="18"/>
        <v xml:space="preserve"> </v>
      </c>
      <c r="AG290" s="154" t="str">
        <f t="shared" si="19"/>
        <v>Ingresar fuente de información</v>
      </c>
      <c r="AH290" s="134"/>
      <c r="AI290" s="155"/>
      <c r="AJ290" s="156"/>
      <c r="AK290" s="157"/>
      <c r="AM290" s="158"/>
      <c r="AN290" s="155" t="str">
        <f t="shared" si="17"/>
        <v xml:space="preserve"> </v>
      </c>
      <c r="AO290" s="156"/>
      <c r="AP290" s="157"/>
      <c r="AQ290" s="161"/>
      <c r="AR290" s="160" t="str">
        <f t="shared" si="20"/>
        <v xml:space="preserve"> </v>
      </c>
    </row>
    <row r="291" spans="1:44">
      <c r="A291" s="71"/>
      <c r="B291" s="142"/>
      <c r="C291" s="143"/>
      <c r="D291" s="143"/>
      <c r="E291" s="143"/>
      <c r="F291" s="144"/>
      <c r="G291" s="142"/>
      <c r="H291" s="144" t="str">
        <f>IF(OR(ISBLANK(I291),ISBLANK(AQ291))," ",IFERROR(VLOOKUP(CONCATENATE(I291,AQ291),Prestaciones!$E$1:$H$488,4,FALSE),IFERROR(VLOOKUP(CONCATENATE(LEFT(I291,6),AQ291),Prestaciones!$E$491:$H$836,4,FALSE),"La prestación no corresponde al grupo poblacional")))</f>
        <v xml:space="preserve"> </v>
      </c>
      <c r="I291" s="145"/>
      <c r="J291" s="145" t="str">
        <f>IF(OR(ISBLANK(I291),ISBLANK(AQ291))," ",IFERROR(VLOOKUP(CONCATENATE(I291,AQ291),Prestaciones!$E$1:$G$488,3,FALSE),IFERROR(VLOOKUP(CONCATENATE(LEFT(I291,6),AQ291),Prestaciones!$E$491:$H$836,3,FALSE),"La prestación no corresponde al grupo poblacional")))</f>
        <v xml:space="preserve"> </v>
      </c>
      <c r="K291" s="146"/>
      <c r="L291" s="146"/>
      <c r="M291" s="147"/>
      <c r="N291" s="148"/>
      <c r="O291" s="149"/>
      <c r="P291" s="150"/>
      <c r="Q291" s="151"/>
      <c r="R291" s="151"/>
      <c r="S291" s="151"/>
      <c r="T291" s="147"/>
      <c r="U291" s="147"/>
      <c r="V291" s="147"/>
      <c r="W291" s="149"/>
      <c r="X291" s="149"/>
      <c r="Y291" s="147"/>
      <c r="Z291" s="147"/>
      <c r="AA291" s="147"/>
      <c r="AB291" s="147"/>
      <c r="AC291" s="147"/>
      <c r="AD291" s="147"/>
      <c r="AE291" s="152"/>
      <c r="AF291" s="153" t="str">
        <f t="shared" si="18"/>
        <v xml:space="preserve"> </v>
      </c>
      <c r="AG291" s="154" t="str">
        <f t="shared" si="19"/>
        <v>Ingresar fuente de información</v>
      </c>
      <c r="AH291" s="134"/>
      <c r="AI291" s="155"/>
      <c r="AJ291" s="156"/>
      <c r="AK291" s="157"/>
      <c r="AM291" s="158"/>
      <c r="AN291" s="155" t="str">
        <f t="shared" si="17"/>
        <v xml:space="preserve"> </v>
      </c>
      <c r="AO291" s="156"/>
      <c r="AP291" s="157"/>
      <c r="AQ291" s="161"/>
      <c r="AR291" s="160" t="str">
        <f t="shared" si="20"/>
        <v xml:space="preserve"> </v>
      </c>
    </row>
    <row r="292" spans="1:44">
      <c r="A292" s="71"/>
      <c r="B292" s="142"/>
      <c r="C292" s="143"/>
      <c r="D292" s="143"/>
      <c r="E292" s="143"/>
      <c r="F292" s="144"/>
      <c r="G292" s="142"/>
      <c r="H292" s="144" t="str">
        <f>IF(OR(ISBLANK(I292),ISBLANK(AQ292))," ",IFERROR(VLOOKUP(CONCATENATE(I292,AQ292),Prestaciones!$E$1:$H$488,4,FALSE),IFERROR(VLOOKUP(CONCATENATE(LEFT(I292,6),AQ292),Prestaciones!$E$491:$H$836,4,FALSE),"La prestación no corresponde al grupo poblacional")))</f>
        <v xml:space="preserve"> </v>
      </c>
      <c r="I292" s="145"/>
      <c r="J292" s="145" t="str">
        <f>IF(OR(ISBLANK(I292),ISBLANK(AQ292))," ",IFERROR(VLOOKUP(CONCATENATE(I292,AQ292),Prestaciones!$E$1:$G$488,3,FALSE),IFERROR(VLOOKUP(CONCATENATE(LEFT(I292,6),AQ292),Prestaciones!$E$491:$H$836,3,FALSE),"La prestación no corresponde al grupo poblacional")))</f>
        <v xml:space="preserve"> </v>
      </c>
      <c r="K292" s="146"/>
      <c r="L292" s="146"/>
      <c r="M292" s="147"/>
      <c r="N292" s="148"/>
      <c r="O292" s="149"/>
      <c r="P292" s="150"/>
      <c r="Q292" s="151"/>
      <c r="R292" s="151"/>
      <c r="S292" s="151"/>
      <c r="T292" s="147"/>
      <c r="U292" s="147"/>
      <c r="V292" s="147"/>
      <c r="W292" s="149"/>
      <c r="X292" s="149"/>
      <c r="Y292" s="147"/>
      <c r="Z292" s="147"/>
      <c r="AA292" s="147"/>
      <c r="AB292" s="147"/>
      <c r="AC292" s="147"/>
      <c r="AD292" s="147"/>
      <c r="AE292" s="152"/>
      <c r="AF292" s="153" t="str">
        <f t="shared" si="18"/>
        <v xml:space="preserve"> </v>
      </c>
      <c r="AG292" s="154" t="str">
        <f t="shared" si="19"/>
        <v>Ingresar fuente de información</v>
      </c>
      <c r="AH292" s="134"/>
      <c r="AI292" s="155"/>
      <c r="AJ292" s="156"/>
      <c r="AK292" s="157"/>
      <c r="AM292" s="158"/>
      <c r="AN292" s="155" t="str">
        <f t="shared" si="17"/>
        <v xml:space="preserve"> </v>
      </c>
      <c r="AO292" s="156"/>
      <c r="AP292" s="157"/>
      <c r="AQ292" s="161"/>
      <c r="AR292" s="160" t="str">
        <f t="shared" si="20"/>
        <v xml:space="preserve"> </v>
      </c>
    </row>
    <row r="293" spans="1:44">
      <c r="A293" s="71"/>
      <c r="B293" s="142"/>
      <c r="C293" s="143"/>
      <c r="D293" s="143"/>
      <c r="E293" s="143"/>
      <c r="F293" s="144"/>
      <c r="G293" s="142"/>
      <c r="H293" s="144" t="str">
        <f>IF(OR(ISBLANK(I293),ISBLANK(AQ293))," ",IFERROR(VLOOKUP(CONCATENATE(I293,AQ293),Prestaciones!$E$1:$H$488,4,FALSE),IFERROR(VLOOKUP(CONCATENATE(LEFT(I293,6),AQ293),Prestaciones!$E$491:$H$836,4,FALSE),"La prestación no corresponde al grupo poblacional")))</f>
        <v xml:space="preserve"> </v>
      </c>
      <c r="I293" s="145"/>
      <c r="J293" s="145" t="str">
        <f>IF(OR(ISBLANK(I293),ISBLANK(AQ293))," ",IFERROR(VLOOKUP(CONCATENATE(I293,AQ293),Prestaciones!$E$1:$G$488,3,FALSE),IFERROR(VLOOKUP(CONCATENATE(LEFT(I293,6),AQ293),Prestaciones!$E$491:$H$836,3,FALSE),"La prestación no corresponde al grupo poblacional")))</f>
        <v xml:space="preserve"> </v>
      </c>
      <c r="K293" s="146"/>
      <c r="L293" s="146"/>
      <c r="M293" s="147"/>
      <c r="N293" s="148"/>
      <c r="O293" s="149"/>
      <c r="P293" s="150"/>
      <c r="Q293" s="151"/>
      <c r="R293" s="151"/>
      <c r="S293" s="151"/>
      <c r="T293" s="147"/>
      <c r="U293" s="147"/>
      <c r="V293" s="147"/>
      <c r="W293" s="149"/>
      <c r="X293" s="149"/>
      <c r="Y293" s="147"/>
      <c r="Z293" s="147"/>
      <c r="AA293" s="147"/>
      <c r="AB293" s="147"/>
      <c r="AC293" s="147"/>
      <c r="AD293" s="147"/>
      <c r="AE293" s="152"/>
      <c r="AF293" s="153" t="str">
        <f t="shared" si="18"/>
        <v xml:space="preserve"> </v>
      </c>
      <c r="AG293" s="154" t="str">
        <f t="shared" si="19"/>
        <v>Ingresar fuente de información</v>
      </c>
      <c r="AH293" s="134"/>
      <c r="AI293" s="155"/>
      <c r="AJ293" s="156"/>
      <c r="AK293" s="157"/>
      <c r="AM293" s="158"/>
      <c r="AN293" s="155" t="str">
        <f t="shared" si="17"/>
        <v xml:space="preserve"> </v>
      </c>
      <c r="AO293" s="156"/>
      <c r="AP293" s="157"/>
      <c r="AQ293" s="161"/>
      <c r="AR293" s="160" t="str">
        <f t="shared" si="20"/>
        <v xml:space="preserve"> </v>
      </c>
    </row>
    <row r="294" spans="1:44">
      <c r="A294" s="71"/>
      <c r="B294" s="142"/>
      <c r="C294" s="143"/>
      <c r="D294" s="143"/>
      <c r="E294" s="143"/>
      <c r="F294" s="144"/>
      <c r="G294" s="142"/>
      <c r="H294" s="144" t="str">
        <f>IF(OR(ISBLANK(I294),ISBLANK(AQ294))," ",IFERROR(VLOOKUP(CONCATENATE(I294,AQ294),Prestaciones!$E$1:$H$488,4,FALSE),IFERROR(VLOOKUP(CONCATENATE(LEFT(I294,6),AQ294),Prestaciones!$E$491:$H$836,4,FALSE),"La prestación no corresponde al grupo poblacional")))</f>
        <v xml:space="preserve"> </v>
      </c>
      <c r="I294" s="145"/>
      <c r="J294" s="145" t="str">
        <f>IF(OR(ISBLANK(I294),ISBLANK(AQ294))," ",IFERROR(VLOOKUP(CONCATENATE(I294,AQ294),Prestaciones!$E$1:$G$488,3,FALSE),IFERROR(VLOOKUP(CONCATENATE(LEFT(I294,6),AQ294),Prestaciones!$E$491:$H$836,3,FALSE),"La prestación no corresponde al grupo poblacional")))</f>
        <v xml:space="preserve"> </v>
      </c>
      <c r="K294" s="146"/>
      <c r="L294" s="146"/>
      <c r="M294" s="147"/>
      <c r="N294" s="148"/>
      <c r="O294" s="149"/>
      <c r="P294" s="150"/>
      <c r="Q294" s="151"/>
      <c r="R294" s="151"/>
      <c r="S294" s="151"/>
      <c r="T294" s="147"/>
      <c r="U294" s="147"/>
      <c r="V294" s="147"/>
      <c r="W294" s="149"/>
      <c r="X294" s="149"/>
      <c r="Y294" s="147"/>
      <c r="Z294" s="147"/>
      <c r="AA294" s="147"/>
      <c r="AB294" s="147"/>
      <c r="AC294" s="147"/>
      <c r="AD294" s="147"/>
      <c r="AE294" s="152"/>
      <c r="AF294" s="153" t="str">
        <f t="shared" si="18"/>
        <v xml:space="preserve"> </v>
      </c>
      <c r="AG294" s="154" t="str">
        <f t="shared" si="19"/>
        <v>Ingresar fuente de información</v>
      </c>
      <c r="AH294" s="134"/>
      <c r="AI294" s="155"/>
      <c r="AJ294" s="156"/>
      <c r="AK294" s="157"/>
      <c r="AM294" s="158"/>
      <c r="AN294" s="155" t="str">
        <f t="shared" si="17"/>
        <v xml:space="preserve"> </v>
      </c>
      <c r="AO294" s="156"/>
      <c r="AP294" s="157"/>
      <c r="AQ294" s="161"/>
      <c r="AR294" s="160" t="str">
        <f t="shared" si="20"/>
        <v xml:space="preserve"> </v>
      </c>
    </row>
    <row r="295" spans="1:44">
      <c r="A295" s="71"/>
      <c r="B295" s="142"/>
      <c r="C295" s="143"/>
      <c r="D295" s="143"/>
      <c r="E295" s="143"/>
      <c r="F295" s="144"/>
      <c r="G295" s="142"/>
      <c r="H295" s="144" t="str">
        <f>IF(OR(ISBLANK(I295),ISBLANK(AQ295))," ",IFERROR(VLOOKUP(CONCATENATE(I295,AQ295),Prestaciones!$E$1:$H$488,4,FALSE),IFERROR(VLOOKUP(CONCATENATE(LEFT(I295,6),AQ295),Prestaciones!$E$491:$H$836,4,FALSE),"La prestación no corresponde al grupo poblacional")))</f>
        <v xml:space="preserve"> </v>
      </c>
      <c r="I295" s="145"/>
      <c r="J295" s="145" t="str">
        <f>IF(OR(ISBLANK(I295),ISBLANK(AQ295))," ",IFERROR(VLOOKUP(CONCATENATE(I295,AQ295),Prestaciones!$E$1:$G$488,3,FALSE),IFERROR(VLOOKUP(CONCATENATE(LEFT(I295,6),AQ295),Prestaciones!$E$491:$H$836,3,FALSE),"La prestación no corresponde al grupo poblacional")))</f>
        <v xml:space="preserve"> </v>
      </c>
      <c r="K295" s="146"/>
      <c r="L295" s="146"/>
      <c r="M295" s="147"/>
      <c r="N295" s="148"/>
      <c r="O295" s="149"/>
      <c r="P295" s="150"/>
      <c r="Q295" s="151"/>
      <c r="R295" s="151"/>
      <c r="S295" s="151"/>
      <c r="T295" s="147"/>
      <c r="U295" s="147"/>
      <c r="V295" s="147"/>
      <c r="W295" s="149"/>
      <c r="X295" s="149"/>
      <c r="Y295" s="147"/>
      <c r="Z295" s="147"/>
      <c r="AA295" s="147"/>
      <c r="AB295" s="147"/>
      <c r="AC295" s="147"/>
      <c r="AD295" s="147"/>
      <c r="AE295" s="152"/>
      <c r="AF295" s="153" t="str">
        <f t="shared" si="18"/>
        <v xml:space="preserve"> </v>
      </c>
      <c r="AG295" s="154" t="str">
        <f t="shared" si="19"/>
        <v>Ingresar fuente de información</v>
      </c>
      <c r="AH295" s="134"/>
      <c r="AI295" s="155"/>
      <c r="AJ295" s="156"/>
      <c r="AK295" s="157"/>
      <c r="AM295" s="158"/>
      <c r="AN295" s="155" t="str">
        <f t="shared" si="17"/>
        <v xml:space="preserve"> </v>
      </c>
      <c r="AO295" s="156"/>
      <c r="AP295" s="157"/>
      <c r="AQ295" s="161"/>
      <c r="AR295" s="160" t="str">
        <f t="shared" si="20"/>
        <v xml:space="preserve"> </v>
      </c>
    </row>
    <row r="296" spans="1:44">
      <c r="A296" s="71"/>
      <c r="B296" s="142"/>
      <c r="C296" s="143"/>
      <c r="D296" s="143"/>
      <c r="E296" s="143"/>
      <c r="F296" s="144"/>
      <c r="G296" s="142"/>
      <c r="H296" s="144" t="str">
        <f>IF(OR(ISBLANK(I296),ISBLANK(AQ296))," ",IFERROR(VLOOKUP(CONCATENATE(I296,AQ296),Prestaciones!$E$1:$H$488,4,FALSE),IFERROR(VLOOKUP(CONCATENATE(LEFT(I296,6),AQ296),Prestaciones!$E$491:$H$836,4,FALSE),"La prestación no corresponde al grupo poblacional")))</f>
        <v xml:space="preserve"> </v>
      </c>
      <c r="I296" s="145"/>
      <c r="J296" s="145" t="str">
        <f>IF(OR(ISBLANK(I296),ISBLANK(AQ296))," ",IFERROR(VLOOKUP(CONCATENATE(I296,AQ296),Prestaciones!$E$1:$G$488,3,FALSE),IFERROR(VLOOKUP(CONCATENATE(LEFT(I296,6),AQ296),Prestaciones!$E$491:$H$836,3,FALSE),"La prestación no corresponde al grupo poblacional")))</f>
        <v xml:space="preserve"> </v>
      </c>
      <c r="K296" s="146"/>
      <c r="L296" s="146"/>
      <c r="M296" s="147"/>
      <c r="N296" s="148"/>
      <c r="O296" s="149"/>
      <c r="P296" s="150"/>
      <c r="Q296" s="151"/>
      <c r="R296" s="151"/>
      <c r="S296" s="151"/>
      <c r="T296" s="147"/>
      <c r="U296" s="147"/>
      <c r="V296" s="147"/>
      <c r="W296" s="149"/>
      <c r="X296" s="149"/>
      <c r="Y296" s="147"/>
      <c r="Z296" s="147"/>
      <c r="AA296" s="147"/>
      <c r="AB296" s="147"/>
      <c r="AC296" s="147"/>
      <c r="AD296" s="147"/>
      <c r="AE296" s="152"/>
      <c r="AF296" s="153" t="str">
        <f t="shared" si="18"/>
        <v xml:space="preserve"> </v>
      </c>
      <c r="AG296" s="154" t="str">
        <f t="shared" si="19"/>
        <v>Ingresar fuente de información</v>
      </c>
      <c r="AH296" s="134"/>
      <c r="AI296" s="155"/>
      <c r="AJ296" s="156"/>
      <c r="AK296" s="157"/>
      <c r="AM296" s="158"/>
      <c r="AN296" s="155" t="str">
        <f t="shared" si="17"/>
        <v xml:space="preserve"> </v>
      </c>
      <c r="AO296" s="156"/>
      <c r="AP296" s="157"/>
      <c r="AQ296" s="161"/>
      <c r="AR296" s="160" t="str">
        <f t="shared" si="20"/>
        <v xml:space="preserve"> </v>
      </c>
    </row>
    <row r="297" spans="1:44">
      <c r="A297" s="71"/>
      <c r="B297" s="142"/>
      <c r="C297" s="143"/>
      <c r="D297" s="143"/>
      <c r="E297" s="143"/>
      <c r="F297" s="144"/>
      <c r="G297" s="142"/>
      <c r="H297" s="144" t="str">
        <f>IF(OR(ISBLANK(I297),ISBLANK(AQ297))," ",IFERROR(VLOOKUP(CONCATENATE(I297,AQ297),Prestaciones!$E$1:$H$488,4,FALSE),IFERROR(VLOOKUP(CONCATENATE(LEFT(I297,6),AQ297),Prestaciones!$E$491:$H$836,4,FALSE),"La prestación no corresponde al grupo poblacional")))</f>
        <v xml:space="preserve"> </v>
      </c>
      <c r="I297" s="145"/>
      <c r="J297" s="145" t="str">
        <f>IF(OR(ISBLANK(I297),ISBLANK(AQ297))," ",IFERROR(VLOOKUP(CONCATENATE(I297,AQ297),Prestaciones!$E$1:$G$488,3,FALSE),IFERROR(VLOOKUP(CONCATENATE(LEFT(I297,6),AQ297),Prestaciones!$E$491:$H$836,3,FALSE),"La prestación no corresponde al grupo poblacional")))</f>
        <v xml:space="preserve"> </v>
      </c>
      <c r="K297" s="146"/>
      <c r="L297" s="146"/>
      <c r="M297" s="147"/>
      <c r="N297" s="148"/>
      <c r="O297" s="149"/>
      <c r="P297" s="150"/>
      <c r="Q297" s="151"/>
      <c r="R297" s="151"/>
      <c r="S297" s="151"/>
      <c r="T297" s="147"/>
      <c r="U297" s="147"/>
      <c r="V297" s="147"/>
      <c r="W297" s="149"/>
      <c r="X297" s="149"/>
      <c r="Y297" s="147"/>
      <c r="Z297" s="147"/>
      <c r="AA297" s="147"/>
      <c r="AB297" s="147"/>
      <c r="AC297" s="147"/>
      <c r="AD297" s="147"/>
      <c r="AE297" s="152"/>
      <c r="AF297" s="153" t="str">
        <f t="shared" si="18"/>
        <v xml:space="preserve"> </v>
      </c>
      <c r="AG297" s="154" t="str">
        <f t="shared" si="19"/>
        <v>Ingresar fuente de información</v>
      </c>
      <c r="AH297" s="134"/>
      <c r="AI297" s="155"/>
      <c r="AJ297" s="156"/>
      <c r="AK297" s="157"/>
      <c r="AM297" s="158"/>
      <c r="AN297" s="155" t="str">
        <f t="shared" si="17"/>
        <v xml:space="preserve"> </v>
      </c>
      <c r="AO297" s="156"/>
      <c r="AP297" s="157"/>
      <c r="AQ297" s="161"/>
      <c r="AR297" s="160" t="str">
        <f t="shared" si="20"/>
        <v xml:space="preserve"> </v>
      </c>
    </row>
    <row r="298" spans="1:44">
      <c r="A298" s="71"/>
      <c r="B298" s="142"/>
      <c r="C298" s="143"/>
      <c r="D298" s="143"/>
      <c r="E298" s="143"/>
      <c r="F298" s="144"/>
      <c r="G298" s="142"/>
      <c r="H298" s="144" t="str">
        <f>IF(OR(ISBLANK(I298),ISBLANK(AQ298))," ",IFERROR(VLOOKUP(CONCATENATE(I298,AQ298),Prestaciones!$E$1:$H$488,4,FALSE),IFERROR(VLOOKUP(CONCATENATE(LEFT(I298,6),AQ298),Prestaciones!$E$491:$H$836,4,FALSE),"La prestación no corresponde al grupo poblacional")))</f>
        <v xml:space="preserve"> </v>
      </c>
      <c r="I298" s="145"/>
      <c r="J298" s="145" t="str">
        <f>IF(OR(ISBLANK(I298),ISBLANK(AQ298))," ",IFERROR(VLOOKUP(CONCATENATE(I298,AQ298),Prestaciones!$E$1:$G$488,3,FALSE),IFERROR(VLOOKUP(CONCATENATE(LEFT(I298,6),AQ298),Prestaciones!$E$491:$H$836,3,FALSE),"La prestación no corresponde al grupo poblacional")))</f>
        <v xml:space="preserve"> </v>
      </c>
      <c r="K298" s="146"/>
      <c r="L298" s="146"/>
      <c r="M298" s="147"/>
      <c r="N298" s="148"/>
      <c r="O298" s="149"/>
      <c r="P298" s="150"/>
      <c r="Q298" s="151"/>
      <c r="R298" s="151"/>
      <c r="S298" s="151"/>
      <c r="T298" s="147"/>
      <c r="U298" s="147"/>
      <c r="V298" s="147"/>
      <c r="W298" s="149"/>
      <c r="X298" s="149"/>
      <c r="Y298" s="147"/>
      <c r="Z298" s="147"/>
      <c r="AA298" s="147"/>
      <c r="AB298" s="147"/>
      <c r="AC298" s="147"/>
      <c r="AD298" s="147"/>
      <c r="AE298" s="152"/>
      <c r="AF298" s="153" t="str">
        <f t="shared" si="18"/>
        <v xml:space="preserve"> </v>
      </c>
      <c r="AG298" s="154" t="str">
        <f t="shared" si="19"/>
        <v>Ingresar fuente de información</v>
      </c>
      <c r="AH298" s="134"/>
      <c r="AI298" s="155"/>
      <c r="AJ298" s="156"/>
      <c r="AK298" s="157"/>
      <c r="AM298" s="158"/>
      <c r="AN298" s="155" t="str">
        <f t="shared" si="17"/>
        <v xml:space="preserve"> </v>
      </c>
      <c r="AO298" s="156"/>
      <c r="AP298" s="157"/>
      <c r="AQ298" s="161"/>
      <c r="AR298" s="160" t="str">
        <f t="shared" si="20"/>
        <v xml:space="preserve"> </v>
      </c>
    </row>
    <row r="299" spans="1:44">
      <c r="A299" s="71"/>
      <c r="B299" s="142"/>
      <c r="C299" s="143"/>
      <c r="D299" s="143"/>
      <c r="E299" s="143"/>
      <c r="F299" s="144"/>
      <c r="G299" s="142"/>
      <c r="H299" s="144" t="str">
        <f>IF(OR(ISBLANK(I299),ISBLANK(AQ299))," ",IFERROR(VLOOKUP(CONCATENATE(I299,AQ299),Prestaciones!$E$1:$H$488,4,FALSE),IFERROR(VLOOKUP(CONCATENATE(LEFT(I299,6),AQ299),Prestaciones!$E$491:$H$836,4,FALSE),"La prestación no corresponde al grupo poblacional")))</f>
        <v xml:space="preserve"> </v>
      </c>
      <c r="I299" s="145"/>
      <c r="J299" s="145" t="str">
        <f>IF(OR(ISBLANK(I299),ISBLANK(AQ299))," ",IFERROR(VLOOKUP(CONCATENATE(I299,AQ299),Prestaciones!$E$1:$G$488,3,FALSE),IFERROR(VLOOKUP(CONCATENATE(LEFT(I299,6),AQ299),Prestaciones!$E$491:$H$836,3,FALSE),"La prestación no corresponde al grupo poblacional")))</f>
        <v xml:space="preserve"> </v>
      </c>
      <c r="K299" s="146"/>
      <c r="L299" s="146"/>
      <c r="M299" s="147"/>
      <c r="N299" s="148"/>
      <c r="O299" s="149"/>
      <c r="P299" s="150"/>
      <c r="Q299" s="151"/>
      <c r="R299" s="151"/>
      <c r="S299" s="151"/>
      <c r="T299" s="147"/>
      <c r="U299" s="147"/>
      <c r="V299" s="147"/>
      <c r="W299" s="149"/>
      <c r="X299" s="149"/>
      <c r="Y299" s="147"/>
      <c r="Z299" s="147"/>
      <c r="AA299" s="147"/>
      <c r="AB299" s="147"/>
      <c r="AC299" s="147"/>
      <c r="AD299" s="147"/>
      <c r="AE299" s="152"/>
      <c r="AF299" s="153" t="str">
        <f t="shared" si="18"/>
        <v xml:space="preserve"> </v>
      </c>
      <c r="AG299" s="154" t="str">
        <f t="shared" si="19"/>
        <v>Ingresar fuente de información</v>
      </c>
      <c r="AH299" s="134"/>
      <c r="AI299" s="155"/>
      <c r="AJ299" s="156"/>
      <c r="AK299" s="157"/>
      <c r="AM299" s="158"/>
      <c r="AN299" s="155" t="str">
        <f t="shared" si="17"/>
        <v xml:space="preserve"> </v>
      </c>
      <c r="AO299" s="156"/>
      <c r="AP299" s="157"/>
      <c r="AQ299" s="161"/>
      <c r="AR299" s="160" t="str">
        <f t="shared" si="20"/>
        <v xml:space="preserve"> </v>
      </c>
    </row>
    <row r="300" spans="1:44">
      <c r="A300" s="71"/>
      <c r="B300" s="142"/>
      <c r="C300" s="143"/>
      <c r="D300" s="143"/>
      <c r="E300" s="143"/>
      <c r="F300" s="144"/>
      <c r="G300" s="142"/>
      <c r="H300" s="144" t="str">
        <f>IF(OR(ISBLANK(I300),ISBLANK(AQ300))," ",IFERROR(VLOOKUP(CONCATENATE(I300,AQ300),Prestaciones!$E$1:$H$488,4,FALSE),IFERROR(VLOOKUP(CONCATENATE(LEFT(I300,6),AQ300),Prestaciones!$E$491:$H$836,4,FALSE),"La prestación no corresponde al grupo poblacional")))</f>
        <v xml:space="preserve"> </v>
      </c>
      <c r="I300" s="145"/>
      <c r="J300" s="145" t="str">
        <f>IF(OR(ISBLANK(I300),ISBLANK(AQ300))," ",IFERROR(VLOOKUP(CONCATENATE(I300,AQ300),Prestaciones!$E$1:$G$488,3,FALSE),IFERROR(VLOOKUP(CONCATENATE(LEFT(I300,6),AQ300),Prestaciones!$E$491:$H$836,3,FALSE),"La prestación no corresponde al grupo poblacional")))</f>
        <v xml:space="preserve"> </v>
      </c>
      <c r="K300" s="146"/>
      <c r="L300" s="146"/>
      <c r="M300" s="147"/>
      <c r="N300" s="148"/>
      <c r="O300" s="149"/>
      <c r="P300" s="150"/>
      <c r="Q300" s="151"/>
      <c r="R300" s="151"/>
      <c r="S300" s="151"/>
      <c r="T300" s="147"/>
      <c r="U300" s="147"/>
      <c r="V300" s="147"/>
      <c r="W300" s="149"/>
      <c r="X300" s="149"/>
      <c r="Y300" s="147"/>
      <c r="Z300" s="147"/>
      <c r="AA300" s="147"/>
      <c r="AB300" s="147"/>
      <c r="AC300" s="147"/>
      <c r="AD300" s="147"/>
      <c r="AE300" s="152"/>
      <c r="AF300" s="153" t="str">
        <f t="shared" si="18"/>
        <v xml:space="preserve"> </v>
      </c>
      <c r="AG300" s="154" t="str">
        <f t="shared" si="19"/>
        <v>Ingresar fuente de información</v>
      </c>
      <c r="AH300" s="134"/>
      <c r="AI300" s="155"/>
      <c r="AJ300" s="156"/>
      <c r="AK300" s="157"/>
      <c r="AM300" s="158"/>
      <c r="AN300" s="155" t="str">
        <f t="shared" si="17"/>
        <v xml:space="preserve"> </v>
      </c>
      <c r="AO300" s="156"/>
      <c r="AP300" s="157"/>
      <c r="AQ300" s="161"/>
      <c r="AR300" s="160" t="str">
        <f t="shared" si="20"/>
        <v xml:space="preserve"> </v>
      </c>
    </row>
    <row r="301" spans="1:44">
      <c r="A301" s="71"/>
      <c r="B301" s="142"/>
      <c r="C301" s="143"/>
      <c r="D301" s="143"/>
      <c r="E301" s="143"/>
      <c r="F301" s="144"/>
      <c r="G301" s="142"/>
      <c r="H301" s="144" t="str">
        <f>IF(OR(ISBLANK(I301),ISBLANK(AQ301))," ",IFERROR(VLOOKUP(CONCATENATE(I301,AQ301),Prestaciones!$E$1:$H$488,4,FALSE),IFERROR(VLOOKUP(CONCATENATE(LEFT(I301,6),AQ301),Prestaciones!$E$491:$H$836,4,FALSE),"La prestación no corresponde al grupo poblacional")))</f>
        <v xml:space="preserve"> </v>
      </c>
      <c r="I301" s="145"/>
      <c r="J301" s="145" t="str">
        <f>IF(OR(ISBLANK(I301),ISBLANK(AQ301))," ",IFERROR(VLOOKUP(CONCATENATE(I301,AQ301),Prestaciones!$E$1:$G$488,3,FALSE),IFERROR(VLOOKUP(CONCATENATE(LEFT(I301,6),AQ301),Prestaciones!$E$491:$H$836,3,FALSE),"La prestación no corresponde al grupo poblacional")))</f>
        <v xml:space="preserve"> </v>
      </c>
      <c r="K301" s="146"/>
      <c r="L301" s="146"/>
      <c r="M301" s="147"/>
      <c r="N301" s="148"/>
      <c r="O301" s="149"/>
      <c r="P301" s="150"/>
      <c r="Q301" s="151"/>
      <c r="R301" s="151"/>
      <c r="S301" s="151"/>
      <c r="T301" s="147"/>
      <c r="U301" s="147"/>
      <c r="V301" s="147"/>
      <c r="W301" s="149"/>
      <c r="X301" s="149"/>
      <c r="Y301" s="147"/>
      <c r="Z301" s="147"/>
      <c r="AA301" s="147"/>
      <c r="AB301" s="147"/>
      <c r="AC301" s="147"/>
      <c r="AD301" s="147"/>
      <c r="AE301" s="152"/>
      <c r="AF301" s="153" t="str">
        <f t="shared" si="18"/>
        <v xml:space="preserve"> </v>
      </c>
      <c r="AG301" s="154" t="str">
        <f t="shared" si="19"/>
        <v>Ingresar fuente de información</v>
      </c>
      <c r="AH301" s="134"/>
      <c r="AI301" s="155"/>
      <c r="AJ301" s="156"/>
      <c r="AK301" s="157"/>
      <c r="AM301" s="158"/>
      <c r="AN301" s="155" t="str">
        <f t="shared" si="17"/>
        <v xml:space="preserve"> </v>
      </c>
      <c r="AO301" s="156"/>
      <c r="AP301" s="157"/>
      <c r="AQ301" s="161"/>
      <c r="AR301" s="160" t="str">
        <f t="shared" si="20"/>
        <v xml:space="preserve"> </v>
      </c>
    </row>
    <row r="302" spans="1:44">
      <c r="A302" s="71"/>
      <c r="B302" s="142"/>
      <c r="C302" s="143"/>
      <c r="D302" s="143"/>
      <c r="E302" s="143"/>
      <c r="F302" s="144"/>
      <c r="G302" s="142"/>
      <c r="H302" s="144" t="str">
        <f>IF(OR(ISBLANK(I302),ISBLANK(AQ302))," ",IFERROR(VLOOKUP(CONCATENATE(I302,AQ302),Prestaciones!$E$1:$H$488,4,FALSE),IFERROR(VLOOKUP(CONCATENATE(LEFT(I302,6),AQ302),Prestaciones!$E$491:$H$836,4,FALSE),"La prestación no corresponde al grupo poblacional")))</f>
        <v xml:space="preserve"> </v>
      </c>
      <c r="I302" s="145"/>
      <c r="J302" s="145" t="str">
        <f>IF(OR(ISBLANK(I302),ISBLANK(AQ302))," ",IFERROR(VLOOKUP(CONCATENATE(I302,AQ302),Prestaciones!$E$1:$G$488,3,FALSE),IFERROR(VLOOKUP(CONCATENATE(LEFT(I302,6),AQ302),Prestaciones!$E$491:$H$836,3,FALSE),"La prestación no corresponde al grupo poblacional")))</f>
        <v xml:space="preserve"> </v>
      </c>
      <c r="K302" s="146"/>
      <c r="L302" s="146"/>
      <c r="M302" s="147"/>
      <c r="N302" s="148"/>
      <c r="O302" s="149"/>
      <c r="P302" s="150"/>
      <c r="Q302" s="151"/>
      <c r="R302" s="151"/>
      <c r="S302" s="151"/>
      <c r="T302" s="147"/>
      <c r="U302" s="147"/>
      <c r="V302" s="147"/>
      <c r="W302" s="149"/>
      <c r="X302" s="149"/>
      <c r="Y302" s="147"/>
      <c r="Z302" s="147"/>
      <c r="AA302" s="147"/>
      <c r="AB302" s="147"/>
      <c r="AC302" s="147"/>
      <c r="AD302" s="147"/>
      <c r="AE302" s="152"/>
      <c r="AF302" s="153" t="str">
        <f t="shared" si="18"/>
        <v xml:space="preserve"> </v>
      </c>
      <c r="AG302" s="154" t="str">
        <f t="shared" si="19"/>
        <v>Ingresar fuente de información</v>
      </c>
      <c r="AH302" s="134"/>
      <c r="AI302" s="155"/>
      <c r="AJ302" s="156"/>
      <c r="AK302" s="157"/>
      <c r="AM302" s="158"/>
      <c r="AN302" s="155" t="str">
        <f t="shared" si="17"/>
        <v xml:space="preserve"> </v>
      </c>
      <c r="AO302" s="156"/>
      <c r="AP302" s="157"/>
      <c r="AQ302" s="161"/>
      <c r="AR302" s="160" t="str">
        <f t="shared" si="20"/>
        <v xml:space="preserve"> </v>
      </c>
    </row>
    <row r="303" spans="1:44">
      <c r="A303" s="71"/>
      <c r="B303" s="142"/>
      <c r="C303" s="143"/>
      <c r="D303" s="143"/>
      <c r="E303" s="143"/>
      <c r="F303" s="144"/>
      <c r="G303" s="142"/>
      <c r="H303" s="144" t="str">
        <f>IF(OR(ISBLANK(I303),ISBLANK(AQ303))," ",IFERROR(VLOOKUP(CONCATENATE(I303,AQ303),Prestaciones!$E$1:$H$488,4,FALSE),IFERROR(VLOOKUP(CONCATENATE(LEFT(I303,6),AQ303),Prestaciones!$E$491:$H$836,4,FALSE),"La prestación no corresponde al grupo poblacional")))</f>
        <v xml:space="preserve"> </v>
      </c>
      <c r="I303" s="145"/>
      <c r="J303" s="145" t="str">
        <f>IF(OR(ISBLANK(I303),ISBLANK(AQ303))," ",IFERROR(VLOOKUP(CONCATENATE(I303,AQ303),Prestaciones!$E$1:$G$488,3,FALSE),IFERROR(VLOOKUP(CONCATENATE(LEFT(I303,6),AQ303),Prestaciones!$E$491:$H$836,3,FALSE),"La prestación no corresponde al grupo poblacional")))</f>
        <v xml:space="preserve"> </v>
      </c>
      <c r="K303" s="146"/>
      <c r="L303" s="146"/>
      <c r="M303" s="147"/>
      <c r="N303" s="148"/>
      <c r="O303" s="149"/>
      <c r="P303" s="150"/>
      <c r="Q303" s="151"/>
      <c r="R303" s="151"/>
      <c r="S303" s="151"/>
      <c r="T303" s="147"/>
      <c r="U303" s="147"/>
      <c r="V303" s="147"/>
      <c r="W303" s="149"/>
      <c r="X303" s="149"/>
      <c r="Y303" s="147"/>
      <c r="Z303" s="147"/>
      <c r="AA303" s="147"/>
      <c r="AB303" s="147"/>
      <c r="AC303" s="147"/>
      <c r="AD303" s="147"/>
      <c r="AE303" s="152"/>
      <c r="AF303" s="153" t="str">
        <f t="shared" si="18"/>
        <v xml:space="preserve"> </v>
      </c>
      <c r="AG303" s="154" t="str">
        <f t="shared" si="19"/>
        <v>Ingresar fuente de información</v>
      </c>
      <c r="AH303" s="134"/>
      <c r="AI303" s="155"/>
      <c r="AJ303" s="156"/>
      <c r="AK303" s="157"/>
      <c r="AM303" s="158"/>
      <c r="AN303" s="155" t="str">
        <f t="shared" si="17"/>
        <v xml:space="preserve"> </v>
      </c>
      <c r="AO303" s="156"/>
      <c r="AP303" s="157"/>
      <c r="AQ303" s="161"/>
      <c r="AR303" s="160" t="str">
        <f t="shared" si="20"/>
        <v xml:space="preserve"> </v>
      </c>
    </row>
    <row r="304" spans="1:44">
      <c r="A304" s="71"/>
      <c r="B304" s="142"/>
      <c r="C304" s="143"/>
      <c r="D304" s="143"/>
      <c r="E304" s="143"/>
      <c r="F304" s="144"/>
      <c r="G304" s="142"/>
      <c r="H304" s="144" t="str">
        <f>IF(OR(ISBLANK(I304),ISBLANK(AQ304))," ",IFERROR(VLOOKUP(CONCATENATE(I304,AQ304),Prestaciones!$E$1:$H$488,4,FALSE),IFERROR(VLOOKUP(CONCATENATE(LEFT(I304,6),AQ304),Prestaciones!$E$491:$H$836,4,FALSE),"La prestación no corresponde al grupo poblacional")))</f>
        <v xml:space="preserve"> </v>
      </c>
      <c r="I304" s="145"/>
      <c r="J304" s="145" t="str">
        <f>IF(OR(ISBLANK(I304),ISBLANK(AQ304))," ",IFERROR(VLOOKUP(CONCATENATE(I304,AQ304),Prestaciones!$E$1:$G$488,3,FALSE),IFERROR(VLOOKUP(CONCATENATE(LEFT(I304,6),AQ304),Prestaciones!$E$491:$H$836,3,FALSE),"La prestación no corresponde al grupo poblacional")))</f>
        <v xml:space="preserve"> </v>
      </c>
      <c r="K304" s="146"/>
      <c r="L304" s="146"/>
      <c r="M304" s="147"/>
      <c r="N304" s="148"/>
      <c r="O304" s="149"/>
      <c r="P304" s="150"/>
      <c r="Q304" s="151"/>
      <c r="R304" s="151"/>
      <c r="S304" s="151"/>
      <c r="T304" s="147"/>
      <c r="U304" s="147"/>
      <c r="V304" s="147"/>
      <c r="W304" s="149"/>
      <c r="X304" s="149"/>
      <c r="Y304" s="147"/>
      <c r="Z304" s="147"/>
      <c r="AA304" s="147"/>
      <c r="AB304" s="147"/>
      <c r="AC304" s="147"/>
      <c r="AD304" s="147"/>
      <c r="AE304" s="152"/>
      <c r="AF304" s="153" t="str">
        <f t="shared" si="18"/>
        <v xml:space="preserve"> </v>
      </c>
      <c r="AG304" s="154" t="str">
        <f t="shared" si="19"/>
        <v>Ingresar fuente de información</v>
      </c>
      <c r="AH304" s="134"/>
      <c r="AI304" s="155"/>
      <c r="AJ304" s="156"/>
      <c r="AK304" s="157"/>
      <c r="AM304" s="158"/>
      <c r="AN304" s="155" t="str">
        <f t="shared" si="17"/>
        <v xml:space="preserve"> </v>
      </c>
      <c r="AO304" s="156"/>
      <c r="AP304" s="157"/>
      <c r="AQ304" s="161"/>
      <c r="AR304" s="160" t="str">
        <f t="shared" si="20"/>
        <v xml:space="preserve"> </v>
      </c>
    </row>
    <row r="305" spans="1:44">
      <c r="A305" s="71"/>
      <c r="B305" s="142"/>
      <c r="C305" s="143"/>
      <c r="D305" s="143"/>
      <c r="E305" s="143"/>
      <c r="F305" s="144"/>
      <c r="G305" s="142"/>
      <c r="H305" s="144" t="str">
        <f>IF(OR(ISBLANK(I305),ISBLANK(AQ305))," ",IFERROR(VLOOKUP(CONCATENATE(I305,AQ305),Prestaciones!$E$1:$H$488,4,FALSE),IFERROR(VLOOKUP(CONCATENATE(LEFT(I305,6),AQ305),Prestaciones!$E$491:$H$836,4,FALSE),"La prestación no corresponde al grupo poblacional")))</f>
        <v xml:space="preserve"> </v>
      </c>
      <c r="I305" s="145"/>
      <c r="J305" s="145" t="str">
        <f>IF(OR(ISBLANK(I305),ISBLANK(AQ305))," ",IFERROR(VLOOKUP(CONCATENATE(I305,AQ305),Prestaciones!$E$1:$G$488,3,FALSE),IFERROR(VLOOKUP(CONCATENATE(LEFT(I305,6),AQ305),Prestaciones!$E$491:$H$836,3,FALSE),"La prestación no corresponde al grupo poblacional")))</f>
        <v xml:space="preserve"> </v>
      </c>
      <c r="K305" s="146"/>
      <c r="L305" s="146"/>
      <c r="M305" s="147"/>
      <c r="N305" s="148"/>
      <c r="O305" s="149"/>
      <c r="P305" s="150"/>
      <c r="Q305" s="151"/>
      <c r="R305" s="151"/>
      <c r="S305" s="151"/>
      <c r="T305" s="147"/>
      <c r="U305" s="147"/>
      <c r="V305" s="147"/>
      <c r="W305" s="149"/>
      <c r="X305" s="149"/>
      <c r="Y305" s="147"/>
      <c r="Z305" s="147"/>
      <c r="AA305" s="147"/>
      <c r="AB305" s="147"/>
      <c r="AC305" s="147"/>
      <c r="AD305" s="147"/>
      <c r="AE305" s="152"/>
      <c r="AF305" s="153" t="str">
        <f t="shared" si="18"/>
        <v xml:space="preserve"> </v>
      </c>
      <c r="AG305" s="154" t="str">
        <f t="shared" si="19"/>
        <v>Ingresar fuente de información</v>
      </c>
      <c r="AH305" s="134"/>
      <c r="AI305" s="155"/>
      <c r="AJ305" s="156"/>
      <c r="AK305" s="157"/>
      <c r="AM305" s="158"/>
      <c r="AN305" s="155" t="str">
        <f t="shared" si="17"/>
        <v xml:space="preserve"> </v>
      </c>
      <c r="AO305" s="156"/>
      <c r="AP305" s="157"/>
      <c r="AQ305" s="161"/>
      <c r="AR305" s="160" t="str">
        <f t="shared" si="20"/>
        <v xml:space="preserve"> </v>
      </c>
    </row>
    <row r="306" spans="1:44">
      <c r="A306" s="71"/>
      <c r="B306" s="142"/>
      <c r="C306" s="143"/>
      <c r="D306" s="143"/>
      <c r="E306" s="143"/>
      <c r="F306" s="144"/>
      <c r="G306" s="142"/>
      <c r="H306" s="144" t="str">
        <f>IF(OR(ISBLANK(I306),ISBLANK(AQ306))," ",IFERROR(VLOOKUP(CONCATENATE(I306,AQ306),Prestaciones!$E$1:$H$488,4,FALSE),IFERROR(VLOOKUP(CONCATENATE(LEFT(I306,6),AQ306),Prestaciones!$E$491:$H$836,4,FALSE),"La prestación no corresponde al grupo poblacional")))</f>
        <v xml:space="preserve"> </v>
      </c>
      <c r="I306" s="145"/>
      <c r="J306" s="145" t="str">
        <f>IF(OR(ISBLANK(I306),ISBLANK(AQ306))," ",IFERROR(VLOOKUP(CONCATENATE(I306,AQ306),Prestaciones!$E$1:$G$488,3,FALSE),IFERROR(VLOOKUP(CONCATENATE(LEFT(I306,6),AQ306),Prestaciones!$E$491:$H$836,3,FALSE),"La prestación no corresponde al grupo poblacional")))</f>
        <v xml:space="preserve"> </v>
      </c>
      <c r="K306" s="146"/>
      <c r="L306" s="146"/>
      <c r="M306" s="147"/>
      <c r="N306" s="148"/>
      <c r="O306" s="149"/>
      <c r="P306" s="150"/>
      <c r="Q306" s="151"/>
      <c r="R306" s="151"/>
      <c r="S306" s="151"/>
      <c r="T306" s="147"/>
      <c r="U306" s="147"/>
      <c r="V306" s="147"/>
      <c r="W306" s="149"/>
      <c r="X306" s="149"/>
      <c r="Y306" s="147"/>
      <c r="Z306" s="147"/>
      <c r="AA306" s="147"/>
      <c r="AB306" s="147"/>
      <c r="AC306" s="147"/>
      <c r="AD306" s="147"/>
      <c r="AE306" s="152"/>
      <c r="AF306" s="153" t="str">
        <f t="shared" si="18"/>
        <v xml:space="preserve"> </v>
      </c>
      <c r="AG306" s="154" t="str">
        <f t="shared" si="19"/>
        <v>Ingresar fuente de información</v>
      </c>
      <c r="AH306" s="134"/>
      <c r="AI306" s="155"/>
      <c r="AJ306" s="156"/>
      <c r="AK306" s="157"/>
      <c r="AM306" s="158"/>
      <c r="AN306" s="155" t="str">
        <f t="shared" si="17"/>
        <v xml:space="preserve"> </v>
      </c>
      <c r="AO306" s="156"/>
      <c r="AP306" s="157"/>
      <c r="AQ306" s="161"/>
      <c r="AR306" s="160" t="str">
        <f t="shared" si="20"/>
        <v xml:space="preserve"> </v>
      </c>
    </row>
    <row r="307" spans="1:44">
      <c r="A307" s="71"/>
      <c r="B307" s="142"/>
      <c r="C307" s="143"/>
      <c r="D307" s="143"/>
      <c r="E307" s="143"/>
      <c r="F307" s="144"/>
      <c r="G307" s="142"/>
      <c r="H307" s="144" t="str">
        <f>IF(OR(ISBLANK(I307),ISBLANK(AQ307))," ",IFERROR(VLOOKUP(CONCATENATE(I307,AQ307),Prestaciones!$E$1:$H$488,4,FALSE),IFERROR(VLOOKUP(CONCATENATE(LEFT(I307,6),AQ307),Prestaciones!$E$491:$H$836,4,FALSE),"La prestación no corresponde al grupo poblacional")))</f>
        <v xml:space="preserve"> </v>
      </c>
      <c r="I307" s="145"/>
      <c r="J307" s="145" t="str">
        <f>IF(OR(ISBLANK(I307),ISBLANK(AQ307))," ",IFERROR(VLOOKUP(CONCATENATE(I307,AQ307),Prestaciones!$E$1:$G$488,3,FALSE),IFERROR(VLOOKUP(CONCATENATE(LEFT(I307,6),AQ307),Prestaciones!$E$491:$H$836,3,FALSE),"La prestación no corresponde al grupo poblacional")))</f>
        <v xml:space="preserve"> </v>
      </c>
      <c r="K307" s="146"/>
      <c r="L307" s="146"/>
      <c r="M307" s="147"/>
      <c r="N307" s="148"/>
      <c r="O307" s="149"/>
      <c r="P307" s="150"/>
      <c r="Q307" s="151"/>
      <c r="R307" s="151"/>
      <c r="S307" s="151"/>
      <c r="T307" s="147"/>
      <c r="U307" s="147"/>
      <c r="V307" s="147"/>
      <c r="W307" s="149"/>
      <c r="X307" s="149"/>
      <c r="Y307" s="147"/>
      <c r="Z307" s="147"/>
      <c r="AA307" s="147"/>
      <c r="AB307" s="147"/>
      <c r="AC307" s="147"/>
      <c r="AD307" s="147"/>
      <c r="AE307" s="152"/>
      <c r="AF307" s="153" t="str">
        <f t="shared" si="18"/>
        <v xml:space="preserve"> </v>
      </c>
      <c r="AG307" s="154" t="str">
        <f t="shared" si="19"/>
        <v>Ingresar fuente de información</v>
      </c>
      <c r="AH307" s="134"/>
      <c r="AI307" s="155"/>
      <c r="AJ307" s="156"/>
      <c r="AK307" s="157"/>
      <c r="AM307" s="158"/>
      <c r="AN307" s="155" t="str">
        <f t="shared" si="17"/>
        <v xml:space="preserve"> </v>
      </c>
      <c r="AO307" s="156"/>
      <c r="AP307" s="157"/>
      <c r="AQ307" s="161"/>
      <c r="AR307" s="160" t="str">
        <f t="shared" si="20"/>
        <v xml:space="preserve"> </v>
      </c>
    </row>
    <row r="308" spans="1:44">
      <c r="A308" s="71"/>
      <c r="B308" s="142"/>
      <c r="C308" s="143"/>
      <c r="D308" s="143"/>
      <c r="E308" s="143"/>
      <c r="F308" s="144"/>
      <c r="G308" s="142"/>
      <c r="H308" s="144" t="str">
        <f>IF(OR(ISBLANK(I308),ISBLANK(AQ308))," ",IFERROR(VLOOKUP(CONCATENATE(I308,AQ308),Prestaciones!$E$1:$H$488,4,FALSE),IFERROR(VLOOKUP(CONCATENATE(LEFT(I308,6),AQ308),Prestaciones!$E$491:$H$836,4,FALSE),"La prestación no corresponde al grupo poblacional")))</f>
        <v xml:space="preserve"> </v>
      </c>
      <c r="I308" s="145"/>
      <c r="J308" s="145" t="str">
        <f>IF(OR(ISBLANK(I308),ISBLANK(AQ308))," ",IFERROR(VLOOKUP(CONCATENATE(I308,AQ308),Prestaciones!$E$1:$G$488,3,FALSE),IFERROR(VLOOKUP(CONCATENATE(LEFT(I308,6),AQ308),Prestaciones!$E$491:$H$836,3,FALSE),"La prestación no corresponde al grupo poblacional")))</f>
        <v xml:space="preserve"> </v>
      </c>
      <c r="K308" s="146"/>
      <c r="L308" s="146"/>
      <c r="M308" s="147"/>
      <c r="N308" s="148"/>
      <c r="O308" s="149"/>
      <c r="P308" s="150"/>
      <c r="Q308" s="151"/>
      <c r="R308" s="151"/>
      <c r="S308" s="151"/>
      <c r="T308" s="147"/>
      <c r="U308" s="147"/>
      <c r="V308" s="147"/>
      <c r="W308" s="149"/>
      <c r="X308" s="149"/>
      <c r="Y308" s="147"/>
      <c r="Z308" s="147"/>
      <c r="AA308" s="147"/>
      <c r="AB308" s="147"/>
      <c r="AC308" s="147"/>
      <c r="AD308" s="147"/>
      <c r="AE308" s="152"/>
      <c r="AF308" s="153" t="str">
        <f t="shared" si="18"/>
        <v xml:space="preserve"> </v>
      </c>
      <c r="AG308" s="154" t="str">
        <f t="shared" si="19"/>
        <v>Ingresar fuente de información</v>
      </c>
      <c r="AH308" s="134"/>
      <c r="AI308" s="155"/>
      <c r="AJ308" s="156"/>
      <c r="AK308" s="157"/>
      <c r="AM308" s="158"/>
      <c r="AN308" s="155" t="str">
        <f t="shared" si="17"/>
        <v xml:space="preserve"> </v>
      </c>
      <c r="AO308" s="156"/>
      <c r="AP308" s="157"/>
      <c r="AQ308" s="161"/>
      <c r="AR308" s="160" t="str">
        <f t="shared" si="20"/>
        <v xml:space="preserve"> </v>
      </c>
    </row>
    <row r="309" spans="1:44">
      <c r="A309" s="71"/>
      <c r="B309" s="142"/>
      <c r="C309" s="143"/>
      <c r="D309" s="143"/>
      <c r="E309" s="143"/>
      <c r="F309" s="144"/>
      <c r="G309" s="142"/>
      <c r="H309" s="144" t="str">
        <f>IF(OR(ISBLANK(I309),ISBLANK(AQ309))," ",IFERROR(VLOOKUP(CONCATENATE(I309,AQ309),Prestaciones!$E$1:$H$488,4,FALSE),IFERROR(VLOOKUP(CONCATENATE(LEFT(I309,6),AQ309),Prestaciones!$E$491:$H$836,4,FALSE),"La prestación no corresponde al grupo poblacional")))</f>
        <v xml:space="preserve"> </v>
      </c>
      <c r="I309" s="145"/>
      <c r="J309" s="145" t="str">
        <f>IF(OR(ISBLANK(I309),ISBLANK(AQ309))," ",IFERROR(VLOOKUP(CONCATENATE(I309,AQ309),Prestaciones!$E$1:$G$488,3,FALSE),IFERROR(VLOOKUP(CONCATENATE(LEFT(I309,6),AQ309),Prestaciones!$E$491:$H$836,3,FALSE),"La prestación no corresponde al grupo poblacional")))</f>
        <v xml:space="preserve"> </v>
      </c>
      <c r="K309" s="146"/>
      <c r="L309" s="146"/>
      <c r="M309" s="147"/>
      <c r="N309" s="148"/>
      <c r="O309" s="149"/>
      <c r="P309" s="150"/>
      <c r="Q309" s="151"/>
      <c r="R309" s="151"/>
      <c r="S309" s="151"/>
      <c r="T309" s="147"/>
      <c r="U309" s="147"/>
      <c r="V309" s="147"/>
      <c r="W309" s="149"/>
      <c r="X309" s="149"/>
      <c r="Y309" s="147"/>
      <c r="Z309" s="147"/>
      <c r="AA309" s="147"/>
      <c r="AB309" s="147"/>
      <c r="AC309" s="147"/>
      <c r="AD309" s="147"/>
      <c r="AE309" s="152"/>
      <c r="AF309" s="153" t="str">
        <f t="shared" si="18"/>
        <v xml:space="preserve"> </v>
      </c>
      <c r="AG309" s="154" t="str">
        <f t="shared" si="19"/>
        <v>Ingresar fuente de información</v>
      </c>
      <c r="AH309" s="134"/>
      <c r="AI309" s="155"/>
      <c r="AJ309" s="156"/>
      <c r="AK309" s="157"/>
      <c r="AM309" s="158"/>
      <c r="AN309" s="155" t="str">
        <f t="shared" si="17"/>
        <v xml:space="preserve"> </v>
      </c>
      <c r="AO309" s="156"/>
      <c r="AP309" s="157"/>
      <c r="AQ309" s="161"/>
      <c r="AR309" s="160" t="str">
        <f t="shared" si="20"/>
        <v xml:space="preserve"> </v>
      </c>
    </row>
    <row r="310" spans="1:44">
      <c r="A310" s="71"/>
      <c r="B310" s="142"/>
      <c r="C310" s="143"/>
      <c r="D310" s="143"/>
      <c r="E310" s="143"/>
      <c r="F310" s="144"/>
      <c r="G310" s="142"/>
      <c r="H310" s="144" t="str">
        <f>IF(OR(ISBLANK(I310),ISBLANK(AQ310))," ",IFERROR(VLOOKUP(CONCATENATE(I310,AQ310),Prestaciones!$E$1:$H$488,4,FALSE),IFERROR(VLOOKUP(CONCATENATE(LEFT(I310,6),AQ310),Prestaciones!$E$491:$H$836,4,FALSE),"La prestación no corresponde al grupo poblacional")))</f>
        <v xml:space="preserve"> </v>
      </c>
      <c r="I310" s="145"/>
      <c r="J310" s="145" t="str">
        <f>IF(OR(ISBLANK(I310),ISBLANK(AQ310))," ",IFERROR(VLOOKUP(CONCATENATE(I310,AQ310),Prestaciones!$E$1:$G$488,3,FALSE),IFERROR(VLOOKUP(CONCATENATE(LEFT(I310,6),AQ310),Prestaciones!$E$491:$H$836,3,FALSE),"La prestación no corresponde al grupo poblacional")))</f>
        <v xml:space="preserve"> </v>
      </c>
      <c r="K310" s="146"/>
      <c r="L310" s="146"/>
      <c r="M310" s="147"/>
      <c r="N310" s="148"/>
      <c r="O310" s="149"/>
      <c r="P310" s="150"/>
      <c r="Q310" s="151"/>
      <c r="R310" s="151"/>
      <c r="S310" s="151"/>
      <c r="T310" s="147"/>
      <c r="U310" s="147"/>
      <c r="V310" s="147"/>
      <c r="W310" s="149"/>
      <c r="X310" s="149"/>
      <c r="Y310" s="147"/>
      <c r="Z310" s="147"/>
      <c r="AA310" s="147"/>
      <c r="AB310" s="147"/>
      <c r="AC310" s="147"/>
      <c r="AD310" s="147"/>
      <c r="AE310" s="152"/>
      <c r="AF310" s="153" t="str">
        <f t="shared" si="18"/>
        <v xml:space="preserve"> </v>
      </c>
      <c r="AG310" s="154" t="str">
        <f t="shared" si="19"/>
        <v>Ingresar fuente de información</v>
      </c>
      <c r="AH310" s="134"/>
      <c r="AI310" s="155"/>
      <c r="AJ310" s="156"/>
      <c r="AK310" s="157"/>
      <c r="AM310" s="158"/>
      <c r="AN310" s="155" t="str">
        <f t="shared" si="17"/>
        <v xml:space="preserve"> </v>
      </c>
      <c r="AO310" s="156"/>
      <c r="AP310" s="157"/>
      <c r="AQ310" s="161"/>
      <c r="AR310" s="160" t="str">
        <f t="shared" si="20"/>
        <v xml:space="preserve"> </v>
      </c>
    </row>
    <row r="311" spans="1:44">
      <c r="A311" s="71"/>
      <c r="B311" s="142"/>
      <c r="C311" s="143"/>
      <c r="D311" s="143"/>
      <c r="E311" s="143"/>
      <c r="F311" s="144"/>
      <c r="G311" s="142"/>
      <c r="H311" s="144" t="str">
        <f>IF(OR(ISBLANK(I311),ISBLANK(AQ311))," ",IFERROR(VLOOKUP(CONCATENATE(I311,AQ311),Prestaciones!$E$1:$H$488,4,FALSE),IFERROR(VLOOKUP(CONCATENATE(LEFT(I311,6),AQ311),Prestaciones!$E$491:$H$836,4,FALSE),"La prestación no corresponde al grupo poblacional")))</f>
        <v xml:space="preserve"> </v>
      </c>
      <c r="I311" s="145"/>
      <c r="J311" s="145" t="str">
        <f>IF(OR(ISBLANK(I311),ISBLANK(AQ311))," ",IFERROR(VLOOKUP(CONCATENATE(I311,AQ311),Prestaciones!$E$1:$G$488,3,FALSE),IFERROR(VLOOKUP(CONCATENATE(LEFT(I311,6),AQ311),Prestaciones!$E$491:$H$836,3,FALSE),"La prestación no corresponde al grupo poblacional")))</f>
        <v xml:space="preserve"> </v>
      </c>
      <c r="K311" s="146"/>
      <c r="L311" s="146"/>
      <c r="M311" s="147"/>
      <c r="N311" s="148"/>
      <c r="O311" s="149"/>
      <c r="P311" s="150"/>
      <c r="Q311" s="151"/>
      <c r="R311" s="151"/>
      <c r="S311" s="151"/>
      <c r="T311" s="147"/>
      <c r="U311" s="147"/>
      <c r="V311" s="147"/>
      <c r="W311" s="149"/>
      <c r="X311" s="149"/>
      <c r="Y311" s="147"/>
      <c r="Z311" s="147"/>
      <c r="AA311" s="147"/>
      <c r="AB311" s="147"/>
      <c r="AC311" s="147"/>
      <c r="AD311" s="147"/>
      <c r="AE311" s="152"/>
      <c r="AF311" s="153" t="str">
        <f t="shared" si="18"/>
        <v xml:space="preserve"> </v>
      </c>
      <c r="AG311" s="154" t="str">
        <f t="shared" si="19"/>
        <v>Ingresar fuente de información</v>
      </c>
      <c r="AH311" s="134"/>
      <c r="AI311" s="155"/>
      <c r="AJ311" s="156"/>
      <c r="AK311" s="157"/>
      <c r="AM311" s="158"/>
      <c r="AN311" s="155" t="str">
        <f t="shared" si="17"/>
        <v xml:space="preserve"> </v>
      </c>
      <c r="AO311" s="156"/>
      <c r="AP311" s="157"/>
      <c r="AQ311" s="161"/>
      <c r="AR311" s="160" t="str">
        <f t="shared" si="20"/>
        <v xml:space="preserve"> </v>
      </c>
    </row>
    <row r="312" spans="1:44">
      <c r="A312" s="71"/>
      <c r="B312" s="142"/>
      <c r="C312" s="143"/>
      <c r="D312" s="143"/>
      <c r="E312" s="143"/>
      <c r="F312" s="144"/>
      <c r="G312" s="142"/>
      <c r="H312" s="144" t="str">
        <f>IF(OR(ISBLANK(I312),ISBLANK(AQ312))," ",IFERROR(VLOOKUP(CONCATENATE(I312,AQ312),Prestaciones!$E$1:$H$488,4,FALSE),IFERROR(VLOOKUP(CONCATENATE(LEFT(I312,6),AQ312),Prestaciones!$E$491:$H$836,4,FALSE),"La prestación no corresponde al grupo poblacional")))</f>
        <v xml:space="preserve"> </v>
      </c>
      <c r="I312" s="145"/>
      <c r="J312" s="145" t="str">
        <f>IF(OR(ISBLANK(I312),ISBLANK(AQ312))," ",IFERROR(VLOOKUP(CONCATENATE(I312,AQ312),Prestaciones!$E$1:$G$488,3,FALSE),IFERROR(VLOOKUP(CONCATENATE(LEFT(I312,6),AQ312),Prestaciones!$E$491:$H$836,3,FALSE),"La prestación no corresponde al grupo poblacional")))</f>
        <v xml:space="preserve"> </v>
      </c>
      <c r="K312" s="146"/>
      <c r="L312" s="146"/>
      <c r="M312" s="147"/>
      <c r="N312" s="148"/>
      <c r="O312" s="149"/>
      <c r="P312" s="150"/>
      <c r="Q312" s="151"/>
      <c r="R312" s="151"/>
      <c r="S312" s="151"/>
      <c r="T312" s="147"/>
      <c r="U312" s="147"/>
      <c r="V312" s="147"/>
      <c r="W312" s="149"/>
      <c r="X312" s="149"/>
      <c r="Y312" s="147"/>
      <c r="Z312" s="147"/>
      <c r="AA312" s="147"/>
      <c r="AB312" s="147"/>
      <c r="AC312" s="147"/>
      <c r="AD312" s="147"/>
      <c r="AE312" s="152"/>
      <c r="AF312" s="153" t="str">
        <f t="shared" si="18"/>
        <v xml:space="preserve"> </v>
      </c>
      <c r="AG312" s="154" t="str">
        <f t="shared" si="19"/>
        <v>Ingresar fuente de información</v>
      </c>
      <c r="AH312" s="134"/>
      <c r="AI312" s="155"/>
      <c r="AJ312" s="156"/>
      <c r="AK312" s="157"/>
      <c r="AM312" s="158"/>
      <c r="AN312" s="155" t="str">
        <f t="shared" si="17"/>
        <v xml:space="preserve"> </v>
      </c>
      <c r="AO312" s="156"/>
      <c r="AP312" s="157"/>
      <c r="AQ312" s="161"/>
      <c r="AR312" s="160" t="str">
        <f t="shared" si="20"/>
        <v xml:space="preserve"> </v>
      </c>
    </row>
    <row r="313" spans="1:44">
      <c r="A313" s="71"/>
      <c r="B313" s="142"/>
      <c r="C313" s="143"/>
      <c r="D313" s="143"/>
      <c r="E313" s="143"/>
      <c r="F313" s="144"/>
      <c r="G313" s="142"/>
      <c r="H313" s="144" t="str">
        <f>IF(OR(ISBLANK(I313),ISBLANK(AQ313))," ",IFERROR(VLOOKUP(CONCATENATE(I313,AQ313),Prestaciones!$E$1:$H$488,4,FALSE),IFERROR(VLOOKUP(CONCATENATE(LEFT(I313,6),AQ313),Prestaciones!$E$491:$H$836,4,FALSE),"La prestación no corresponde al grupo poblacional")))</f>
        <v xml:space="preserve"> </v>
      </c>
      <c r="I313" s="145"/>
      <c r="J313" s="145" t="str">
        <f>IF(OR(ISBLANK(I313),ISBLANK(AQ313))," ",IFERROR(VLOOKUP(CONCATENATE(I313,AQ313),Prestaciones!$E$1:$G$488,3,FALSE),IFERROR(VLOOKUP(CONCATENATE(LEFT(I313,6),AQ313),Prestaciones!$E$491:$H$836,3,FALSE),"La prestación no corresponde al grupo poblacional")))</f>
        <v xml:space="preserve"> </v>
      </c>
      <c r="K313" s="146"/>
      <c r="L313" s="146"/>
      <c r="M313" s="147"/>
      <c r="N313" s="148"/>
      <c r="O313" s="149"/>
      <c r="P313" s="150"/>
      <c r="Q313" s="151"/>
      <c r="R313" s="151"/>
      <c r="S313" s="151"/>
      <c r="T313" s="147"/>
      <c r="U313" s="147"/>
      <c r="V313" s="147"/>
      <c r="W313" s="149"/>
      <c r="X313" s="149"/>
      <c r="Y313" s="147"/>
      <c r="Z313" s="147"/>
      <c r="AA313" s="147"/>
      <c r="AB313" s="147"/>
      <c r="AC313" s="147"/>
      <c r="AD313" s="147"/>
      <c r="AE313" s="152"/>
      <c r="AF313" s="153" t="str">
        <f t="shared" si="18"/>
        <v xml:space="preserve"> </v>
      </c>
      <c r="AG313" s="154" t="str">
        <f t="shared" si="19"/>
        <v>Ingresar fuente de información</v>
      </c>
      <c r="AH313" s="134"/>
      <c r="AI313" s="155"/>
      <c r="AJ313" s="156"/>
      <c r="AK313" s="157"/>
      <c r="AM313" s="158"/>
      <c r="AN313" s="155" t="str">
        <f t="shared" si="17"/>
        <v xml:space="preserve"> </v>
      </c>
      <c r="AO313" s="156"/>
      <c r="AP313" s="157"/>
      <c r="AQ313" s="161"/>
      <c r="AR313" s="160" t="str">
        <f t="shared" si="20"/>
        <v xml:space="preserve"> </v>
      </c>
    </row>
    <row r="314" spans="1:44">
      <c r="A314" s="71"/>
      <c r="B314" s="142"/>
      <c r="C314" s="143"/>
      <c r="D314" s="143"/>
      <c r="E314" s="143"/>
      <c r="F314" s="144"/>
      <c r="G314" s="142"/>
      <c r="H314" s="144" t="str">
        <f>IF(OR(ISBLANK(I314),ISBLANK(AQ314))," ",IFERROR(VLOOKUP(CONCATENATE(I314,AQ314),Prestaciones!$E$1:$H$488,4,FALSE),IFERROR(VLOOKUP(CONCATENATE(LEFT(I314,6),AQ314),Prestaciones!$E$491:$H$836,4,FALSE),"La prestación no corresponde al grupo poblacional")))</f>
        <v xml:space="preserve"> </v>
      </c>
      <c r="I314" s="145"/>
      <c r="J314" s="145" t="str">
        <f>IF(OR(ISBLANK(I314),ISBLANK(AQ314))," ",IFERROR(VLOOKUP(CONCATENATE(I314,AQ314),Prestaciones!$E$1:$G$488,3,FALSE),IFERROR(VLOOKUP(CONCATENATE(LEFT(I314,6),AQ314),Prestaciones!$E$491:$H$836,3,FALSE),"La prestación no corresponde al grupo poblacional")))</f>
        <v xml:space="preserve"> </v>
      </c>
      <c r="K314" s="146"/>
      <c r="L314" s="146"/>
      <c r="M314" s="147"/>
      <c r="N314" s="148"/>
      <c r="O314" s="149"/>
      <c r="P314" s="150"/>
      <c r="Q314" s="151"/>
      <c r="R314" s="151"/>
      <c r="S314" s="151"/>
      <c r="T314" s="147"/>
      <c r="U314" s="147"/>
      <c r="V314" s="147"/>
      <c r="W314" s="149"/>
      <c r="X314" s="149"/>
      <c r="Y314" s="147"/>
      <c r="Z314" s="147"/>
      <c r="AA314" s="147"/>
      <c r="AB314" s="147"/>
      <c r="AC314" s="147"/>
      <c r="AD314" s="147"/>
      <c r="AE314" s="152"/>
      <c r="AF314" s="153" t="str">
        <f t="shared" si="18"/>
        <v xml:space="preserve"> </v>
      </c>
      <c r="AG314" s="154" t="str">
        <f t="shared" si="19"/>
        <v>Ingresar fuente de información</v>
      </c>
      <c r="AH314" s="134"/>
      <c r="AI314" s="155"/>
      <c r="AJ314" s="156"/>
      <c r="AK314" s="157"/>
      <c r="AM314" s="158"/>
      <c r="AN314" s="155" t="str">
        <f t="shared" si="17"/>
        <v xml:space="preserve"> </v>
      </c>
      <c r="AO314" s="156"/>
      <c r="AP314" s="157"/>
      <c r="AQ314" s="161"/>
      <c r="AR314" s="160" t="str">
        <f t="shared" si="20"/>
        <v xml:space="preserve"> </v>
      </c>
    </row>
    <row r="315" spans="1:44">
      <c r="A315" s="71"/>
      <c r="B315" s="142"/>
      <c r="C315" s="143"/>
      <c r="D315" s="143"/>
      <c r="E315" s="143"/>
      <c r="F315" s="144"/>
      <c r="G315" s="142"/>
      <c r="H315" s="144" t="str">
        <f>IF(OR(ISBLANK(I315),ISBLANK(AQ315))," ",IFERROR(VLOOKUP(CONCATENATE(I315,AQ315),Prestaciones!$E$1:$H$488,4,FALSE),IFERROR(VLOOKUP(CONCATENATE(LEFT(I315,6),AQ315),Prestaciones!$E$491:$H$836,4,FALSE),"La prestación no corresponde al grupo poblacional")))</f>
        <v xml:space="preserve"> </v>
      </c>
      <c r="I315" s="145"/>
      <c r="J315" s="145" t="str">
        <f>IF(OR(ISBLANK(I315),ISBLANK(AQ315))," ",IFERROR(VLOOKUP(CONCATENATE(I315,AQ315),Prestaciones!$E$1:$G$488,3,FALSE),IFERROR(VLOOKUP(CONCATENATE(LEFT(I315,6),AQ315),Prestaciones!$E$491:$H$836,3,FALSE),"La prestación no corresponde al grupo poblacional")))</f>
        <v xml:space="preserve"> </v>
      </c>
      <c r="K315" s="146"/>
      <c r="L315" s="146"/>
      <c r="M315" s="147"/>
      <c r="N315" s="148"/>
      <c r="O315" s="149"/>
      <c r="P315" s="150"/>
      <c r="Q315" s="151"/>
      <c r="R315" s="151"/>
      <c r="S315" s="151"/>
      <c r="T315" s="147"/>
      <c r="U315" s="147"/>
      <c r="V315" s="147"/>
      <c r="W315" s="149"/>
      <c r="X315" s="149"/>
      <c r="Y315" s="147"/>
      <c r="Z315" s="147"/>
      <c r="AA315" s="147"/>
      <c r="AB315" s="147"/>
      <c r="AC315" s="147"/>
      <c r="AD315" s="147"/>
      <c r="AE315" s="152"/>
      <c r="AF315" s="153" t="str">
        <f t="shared" si="18"/>
        <v xml:space="preserve"> </v>
      </c>
      <c r="AG315" s="154" t="str">
        <f t="shared" si="19"/>
        <v>Ingresar fuente de información</v>
      </c>
      <c r="AH315" s="134"/>
      <c r="AI315" s="155"/>
      <c r="AJ315" s="156"/>
      <c r="AK315" s="157"/>
      <c r="AM315" s="158"/>
      <c r="AN315" s="155" t="str">
        <f t="shared" si="17"/>
        <v xml:space="preserve"> </v>
      </c>
      <c r="AO315" s="156"/>
      <c r="AP315" s="157"/>
      <c r="AQ315" s="161"/>
      <c r="AR315" s="160" t="str">
        <f t="shared" si="20"/>
        <v xml:space="preserve"> </v>
      </c>
    </row>
    <row r="316" spans="1:44">
      <c r="A316" s="71"/>
      <c r="B316" s="142"/>
      <c r="C316" s="143"/>
      <c r="D316" s="143"/>
      <c r="E316" s="143"/>
      <c r="F316" s="144"/>
      <c r="G316" s="142"/>
      <c r="H316" s="144" t="str">
        <f>IF(OR(ISBLANK(I316),ISBLANK(AQ316))," ",IFERROR(VLOOKUP(CONCATENATE(I316,AQ316),Prestaciones!$E$1:$H$488,4,FALSE),IFERROR(VLOOKUP(CONCATENATE(LEFT(I316,6),AQ316),Prestaciones!$E$491:$H$836,4,FALSE),"La prestación no corresponde al grupo poblacional")))</f>
        <v xml:space="preserve"> </v>
      </c>
      <c r="I316" s="145"/>
      <c r="J316" s="145" t="str">
        <f>IF(OR(ISBLANK(I316),ISBLANK(AQ316))," ",IFERROR(VLOOKUP(CONCATENATE(I316,AQ316),Prestaciones!$E$1:$G$488,3,FALSE),IFERROR(VLOOKUP(CONCATENATE(LEFT(I316,6),AQ316),Prestaciones!$E$491:$H$836,3,FALSE),"La prestación no corresponde al grupo poblacional")))</f>
        <v xml:space="preserve"> </v>
      </c>
      <c r="K316" s="146"/>
      <c r="L316" s="146"/>
      <c r="M316" s="147"/>
      <c r="N316" s="148"/>
      <c r="O316" s="149"/>
      <c r="P316" s="150"/>
      <c r="Q316" s="151"/>
      <c r="R316" s="151"/>
      <c r="S316" s="151"/>
      <c r="T316" s="147"/>
      <c r="U316" s="147"/>
      <c r="V316" s="147"/>
      <c r="W316" s="149"/>
      <c r="X316" s="149"/>
      <c r="Y316" s="147"/>
      <c r="Z316" s="147"/>
      <c r="AA316" s="147"/>
      <c r="AB316" s="147"/>
      <c r="AC316" s="147"/>
      <c r="AD316" s="147"/>
      <c r="AE316" s="152"/>
      <c r="AF316" s="153" t="str">
        <f t="shared" si="18"/>
        <v xml:space="preserve"> </v>
      </c>
      <c r="AG316" s="154" t="str">
        <f t="shared" si="19"/>
        <v>Ingresar fuente de información</v>
      </c>
      <c r="AH316" s="134"/>
      <c r="AI316" s="155"/>
      <c r="AJ316" s="156"/>
      <c r="AK316" s="157"/>
      <c r="AM316" s="158"/>
      <c r="AN316" s="155" t="str">
        <f t="shared" si="17"/>
        <v xml:space="preserve"> </v>
      </c>
      <c r="AO316" s="156"/>
      <c r="AP316" s="157"/>
      <c r="AQ316" s="161"/>
      <c r="AR316" s="160" t="str">
        <f t="shared" si="20"/>
        <v xml:space="preserve"> </v>
      </c>
    </row>
    <row r="317" spans="1:44">
      <c r="A317" s="71"/>
      <c r="B317" s="142"/>
      <c r="C317" s="143"/>
      <c r="D317" s="143"/>
      <c r="E317" s="143"/>
      <c r="F317" s="144"/>
      <c r="G317" s="142"/>
      <c r="H317" s="144" t="str">
        <f>IF(OR(ISBLANK(I317),ISBLANK(AQ317))," ",IFERROR(VLOOKUP(CONCATENATE(I317,AQ317),Prestaciones!$E$1:$H$488,4,FALSE),IFERROR(VLOOKUP(CONCATENATE(LEFT(I317,6),AQ317),Prestaciones!$E$491:$H$836,4,FALSE),"La prestación no corresponde al grupo poblacional")))</f>
        <v xml:space="preserve"> </v>
      </c>
      <c r="I317" s="145"/>
      <c r="J317" s="145" t="str">
        <f>IF(OR(ISBLANK(I317),ISBLANK(AQ317))," ",IFERROR(VLOOKUP(CONCATENATE(I317,AQ317),Prestaciones!$E$1:$G$488,3,FALSE),IFERROR(VLOOKUP(CONCATENATE(LEFT(I317,6),AQ317),Prestaciones!$E$491:$H$836,3,FALSE),"La prestación no corresponde al grupo poblacional")))</f>
        <v xml:space="preserve"> </v>
      </c>
      <c r="K317" s="146"/>
      <c r="L317" s="146"/>
      <c r="M317" s="147"/>
      <c r="N317" s="148"/>
      <c r="O317" s="149"/>
      <c r="P317" s="150"/>
      <c r="Q317" s="151"/>
      <c r="R317" s="151"/>
      <c r="S317" s="151"/>
      <c r="T317" s="147"/>
      <c r="U317" s="147"/>
      <c r="V317" s="147"/>
      <c r="W317" s="149"/>
      <c r="X317" s="149"/>
      <c r="Y317" s="147"/>
      <c r="Z317" s="147"/>
      <c r="AA317" s="147"/>
      <c r="AB317" s="147"/>
      <c r="AC317" s="147"/>
      <c r="AD317" s="147"/>
      <c r="AE317" s="152"/>
      <c r="AF317" s="153" t="str">
        <f t="shared" si="18"/>
        <v xml:space="preserve"> </v>
      </c>
      <c r="AG317" s="154" t="str">
        <f t="shared" si="19"/>
        <v>Ingresar fuente de información</v>
      </c>
      <c r="AH317" s="134"/>
      <c r="AI317" s="155"/>
      <c r="AJ317" s="156"/>
      <c r="AK317" s="157"/>
      <c r="AM317" s="158"/>
      <c r="AN317" s="155" t="str">
        <f t="shared" si="17"/>
        <v xml:space="preserve"> </v>
      </c>
      <c r="AO317" s="156"/>
      <c r="AP317" s="157"/>
      <c r="AQ317" s="161"/>
      <c r="AR317" s="160" t="str">
        <f t="shared" si="20"/>
        <v xml:space="preserve"> </v>
      </c>
    </row>
    <row r="318" spans="1:44">
      <c r="A318" s="71"/>
      <c r="B318" s="142"/>
      <c r="C318" s="143"/>
      <c r="D318" s="143"/>
      <c r="E318" s="143"/>
      <c r="F318" s="144"/>
      <c r="G318" s="142"/>
      <c r="H318" s="144" t="str">
        <f>IF(OR(ISBLANK(I318),ISBLANK(AQ318))," ",IFERROR(VLOOKUP(CONCATENATE(I318,AQ318),Prestaciones!$E$1:$H$488,4,FALSE),IFERROR(VLOOKUP(CONCATENATE(LEFT(I318,6),AQ318),Prestaciones!$E$491:$H$836,4,FALSE),"La prestación no corresponde al grupo poblacional")))</f>
        <v xml:space="preserve"> </v>
      </c>
      <c r="I318" s="145"/>
      <c r="J318" s="145" t="str">
        <f>IF(OR(ISBLANK(I318),ISBLANK(AQ318))," ",IFERROR(VLOOKUP(CONCATENATE(I318,AQ318),Prestaciones!$E$1:$G$488,3,FALSE),IFERROR(VLOOKUP(CONCATENATE(LEFT(I318,6),AQ318),Prestaciones!$E$491:$H$836,3,FALSE),"La prestación no corresponde al grupo poblacional")))</f>
        <v xml:space="preserve"> </v>
      </c>
      <c r="K318" s="146"/>
      <c r="L318" s="146"/>
      <c r="M318" s="147"/>
      <c r="N318" s="148"/>
      <c r="O318" s="149"/>
      <c r="P318" s="150"/>
      <c r="Q318" s="151"/>
      <c r="R318" s="151"/>
      <c r="S318" s="151"/>
      <c r="T318" s="147"/>
      <c r="U318" s="147"/>
      <c r="V318" s="147"/>
      <c r="W318" s="149"/>
      <c r="X318" s="149"/>
      <c r="Y318" s="147"/>
      <c r="Z318" s="147"/>
      <c r="AA318" s="147"/>
      <c r="AB318" s="147"/>
      <c r="AC318" s="147"/>
      <c r="AD318" s="147"/>
      <c r="AE318" s="152"/>
      <c r="AF318" s="153" t="str">
        <f t="shared" si="18"/>
        <v xml:space="preserve"> </v>
      </c>
      <c r="AG318" s="154" t="str">
        <f t="shared" si="19"/>
        <v>Ingresar fuente de información</v>
      </c>
      <c r="AH318" s="134"/>
      <c r="AI318" s="155"/>
      <c r="AJ318" s="156"/>
      <c r="AK318" s="157"/>
      <c r="AM318" s="158"/>
      <c r="AN318" s="155" t="str">
        <f t="shared" si="17"/>
        <v xml:space="preserve"> </v>
      </c>
      <c r="AO318" s="156"/>
      <c r="AP318" s="157"/>
      <c r="AQ318" s="161"/>
      <c r="AR318" s="160" t="str">
        <f t="shared" si="20"/>
        <v xml:space="preserve"> </v>
      </c>
    </row>
    <row r="319" spans="1:44">
      <c r="A319" s="71"/>
      <c r="B319" s="142"/>
      <c r="C319" s="143"/>
      <c r="D319" s="143"/>
      <c r="E319" s="143"/>
      <c r="F319" s="144"/>
      <c r="G319" s="142"/>
      <c r="H319" s="144" t="str">
        <f>IF(OR(ISBLANK(I319),ISBLANK(AQ319))," ",IFERROR(VLOOKUP(CONCATENATE(I319,AQ319),Prestaciones!$E$1:$H$488,4,FALSE),IFERROR(VLOOKUP(CONCATENATE(LEFT(I319,6),AQ319),Prestaciones!$E$491:$H$836,4,FALSE),"La prestación no corresponde al grupo poblacional")))</f>
        <v xml:space="preserve"> </v>
      </c>
      <c r="I319" s="145"/>
      <c r="J319" s="145" t="str">
        <f>IF(OR(ISBLANK(I319),ISBLANK(AQ319))," ",IFERROR(VLOOKUP(CONCATENATE(I319,AQ319),Prestaciones!$E$1:$G$488,3,FALSE),IFERROR(VLOOKUP(CONCATENATE(LEFT(I319,6),AQ319),Prestaciones!$E$491:$H$836,3,FALSE),"La prestación no corresponde al grupo poblacional")))</f>
        <v xml:space="preserve"> </v>
      </c>
      <c r="K319" s="146"/>
      <c r="L319" s="146"/>
      <c r="M319" s="147"/>
      <c r="N319" s="148"/>
      <c r="O319" s="149"/>
      <c r="P319" s="150"/>
      <c r="Q319" s="151"/>
      <c r="R319" s="151"/>
      <c r="S319" s="151"/>
      <c r="T319" s="147"/>
      <c r="U319" s="147"/>
      <c r="V319" s="147"/>
      <c r="W319" s="149"/>
      <c r="X319" s="149"/>
      <c r="Y319" s="147"/>
      <c r="Z319" s="147"/>
      <c r="AA319" s="147"/>
      <c r="AB319" s="147"/>
      <c r="AC319" s="147"/>
      <c r="AD319" s="147"/>
      <c r="AE319" s="152"/>
      <c r="AF319" s="153" t="str">
        <f t="shared" si="18"/>
        <v xml:space="preserve"> </v>
      </c>
      <c r="AG319" s="154" t="str">
        <f t="shared" si="19"/>
        <v>Ingresar fuente de información</v>
      </c>
      <c r="AH319" s="134"/>
      <c r="AI319" s="155"/>
      <c r="AJ319" s="156"/>
      <c r="AK319" s="157"/>
      <c r="AM319" s="158"/>
      <c r="AN319" s="155" t="str">
        <f t="shared" si="17"/>
        <v xml:space="preserve"> </v>
      </c>
      <c r="AO319" s="156"/>
      <c r="AP319" s="157"/>
      <c r="AQ319" s="161"/>
      <c r="AR319" s="160" t="str">
        <f t="shared" si="20"/>
        <v xml:space="preserve"> </v>
      </c>
    </row>
    <row r="320" spans="1:44">
      <c r="A320" s="71"/>
      <c r="B320" s="142"/>
      <c r="C320" s="143"/>
      <c r="D320" s="143"/>
      <c r="E320" s="143"/>
      <c r="F320" s="144"/>
      <c r="G320" s="142"/>
      <c r="H320" s="144" t="str">
        <f>IF(OR(ISBLANK(I320),ISBLANK(AQ320))," ",IFERROR(VLOOKUP(CONCATENATE(I320,AQ320),Prestaciones!$E$1:$H$488,4,FALSE),IFERROR(VLOOKUP(CONCATENATE(LEFT(I320,6),AQ320),Prestaciones!$E$491:$H$836,4,FALSE),"La prestación no corresponde al grupo poblacional")))</f>
        <v xml:space="preserve"> </v>
      </c>
      <c r="I320" s="145"/>
      <c r="J320" s="145" t="str">
        <f>IF(OR(ISBLANK(I320),ISBLANK(AQ320))," ",IFERROR(VLOOKUP(CONCATENATE(I320,AQ320),Prestaciones!$E$1:$G$488,3,FALSE),IFERROR(VLOOKUP(CONCATENATE(LEFT(I320,6),AQ320),Prestaciones!$E$491:$H$836,3,FALSE),"La prestación no corresponde al grupo poblacional")))</f>
        <v xml:space="preserve"> </v>
      </c>
      <c r="K320" s="146"/>
      <c r="L320" s="146"/>
      <c r="M320" s="147"/>
      <c r="N320" s="148"/>
      <c r="O320" s="149"/>
      <c r="P320" s="150"/>
      <c r="Q320" s="151"/>
      <c r="R320" s="151"/>
      <c r="S320" s="151"/>
      <c r="T320" s="147"/>
      <c r="U320" s="147"/>
      <c r="V320" s="147"/>
      <c r="W320" s="149"/>
      <c r="X320" s="149"/>
      <c r="Y320" s="147"/>
      <c r="Z320" s="147"/>
      <c r="AA320" s="147"/>
      <c r="AB320" s="147"/>
      <c r="AC320" s="147"/>
      <c r="AD320" s="147"/>
      <c r="AE320" s="152"/>
      <c r="AF320" s="153" t="str">
        <f t="shared" si="18"/>
        <v xml:space="preserve"> </v>
      </c>
      <c r="AG320" s="154" t="str">
        <f t="shared" si="19"/>
        <v>Ingresar fuente de información</v>
      </c>
      <c r="AH320" s="134"/>
      <c r="AI320" s="155"/>
      <c r="AJ320" s="156"/>
      <c r="AK320" s="157"/>
      <c r="AM320" s="158"/>
      <c r="AN320" s="155" t="str">
        <f t="shared" si="17"/>
        <v xml:space="preserve"> </v>
      </c>
      <c r="AO320" s="156"/>
      <c r="AP320" s="157"/>
      <c r="AQ320" s="161"/>
      <c r="AR320" s="160" t="str">
        <f t="shared" si="20"/>
        <v xml:space="preserve"> </v>
      </c>
    </row>
    <row r="321" spans="1:44">
      <c r="A321" s="71"/>
      <c r="B321" s="142"/>
      <c r="C321" s="143"/>
      <c r="D321" s="143"/>
      <c r="E321" s="143"/>
      <c r="F321" s="144"/>
      <c r="G321" s="142"/>
      <c r="H321" s="144" t="str">
        <f>IF(OR(ISBLANK(I321),ISBLANK(AQ321))," ",IFERROR(VLOOKUP(CONCATENATE(I321,AQ321),Prestaciones!$E$1:$H$488,4,FALSE),IFERROR(VLOOKUP(CONCATENATE(LEFT(I321,6),AQ321),Prestaciones!$E$491:$H$836,4,FALSE),"La prestación no corresponde al grupo poblacional")))</f>
        <v xml:space="preserve"> </v>
      </c>
      <c r="I321" s="145"/>
      <c r="J321" s="145" t="str">
        <f>IF(OR(ISBLANK(I321),ISBLANK(AQ321))," ",IFERROR(VLOOKUP(CONCATENATE(I321,AQ321),Prestaciones!$E$1:$G$488,3,FALSE),IFERROR(VLOOKUP(CONCATENATE(LEFT(I321,6),AQ321),Prestaciones!$E$491:$H$836,3,FALSE),"La prestación no corresponde al grupo poblacional")))</f>
        <v xml:space="preserve"> </v>
      </c>
      <c r="K321" s="146"/>
      <c r="L321" s="146"/>
      <c r="M321" s="147"/>
      <c r="N321" s="148"/>
      <c r="O321" s="149"/>
      <c r="P321" s="150"/>
      <c r="Q321" s="151"/>
      <c r="R321" s="151"/>
      <c r="S321" s="151"/>
      <c r="T321" s="147"/>
      <c r="U321" s="147"/>
      <c r="V321" s="147"/>
      <c r="W321" s="149"/>
      <c r="X321" s="149"/>
      <c r="Y321" s="147"/>
      <c r="Z321" s="147"/>
      <c r="AA321" s="147"/>
      <c r="AB321" s="147"/>
      <c r="AC321" s="147"/>
      <c r="AD321" s="147"/>
      <c r="AE321" s="152"/>
      <c r="AF321" s="153" t="str">
        <f t="shared" si="18"/>
        <v xml:space="preserve"> </v>
      </c>
      <c r="AG321" s="154" t="str">
        <f t="shared" si="19"/>
        <v>Ingresar fuente de información</v>
      </c>
      <c r="AH321" s="134"/>
      <c r="AI321" s="155"/>
      <c r="AJ321" s="156"/>
      <c r="AK321" s="157"/>
      <c r="AM321" s="158"/>
      <c r="AN321" s="155" t="str">
        <f t="shared" si="17"/>
        <v xml:space="preserve"> </v>
      </c>
      <c r="AO321" s="156"/>
      <c r="AP321" s="157"/>
      <c r="AQ321" s="161"/>
      <c r="AR321" s="160" t="str">
        <f t="shared" si="20"/>
        <v xml:space="preserve"> </v>
      </c>
    </row>
    <row r="322" spans="1:44">
      <c r="A322" s="71"/>
      <c r="B322" s="142"/>
      <c r="C322" s="143"/>
      <c r="D322" s="143"/>
      <c r="E322" s="143"/>
      <c r="F322" s="144"/>
      <c r="G322" s="142"/>
      <c r="H322" s="144" t="str">
        <f>IF(OR(ISBLANK(I322),ISBLANK(AQ322))," ",IFERROR(VLOOKUP(CONCATENATE(I322,AQ322),Prestaciones!$E$1:$H$488,4,FALSE),IFERROR(VLOOKUP(CONCATENATE(LEFT(I322,6),AQ322),Prestaciones!$E$491:$H$836,4,FALSE),"La prestación no corresponde al grupo poblacional")))</f>
        <v xml:space="preserve"> </v>
      </c>
      <c r="I322" s="145"/>
      <c r="J322" s="145" t="str">
        <f>IF(OR(ISBLANK(I322),ISBLANK(AQ322))," ",IFERROR(VLOOKUP(CONCATENATE(I322,AQ322),Prestaciones!$E$1:$G$488,3,FALSE),IFERROR(VLOOKUP(CONCATENATE(LEFT(I322,6),AQ322),Prestaciones!$E$491:$H$836,3,FALSE),"La prestación no corresponde al grupo poblacional")))</f>
        <v xml:space="preserve"> </v>
      </c>
      <c r="K322" s="146"/>
      <c r="L322" s="146"/>
      <c r="M322" s="147"/>
      <c r="N322" s="148"/>
      <c r="O322" s="149"/>
      <c r="P322" s="150"/>
      <c r="Q322" s="151"/>
      <c r="R322" s="151"/>
      <c r="S322" s="151"/>
      <c r="T322" s="147"/>
      <c r="U322" s="147"/>
      <c r="V322" s="147"/>
      <c r="W322" s="149"/>
      <c r="X322" s="149"/>
      <c r="Y322" s="147"/>
      <c r="Z322" s="147"/>
      <c r="AA322" s="147"/>
      <c r="AB322" s="147"/>
      <c r="AC322" s="147"/>
      <c r="AD322" s="147"/>
      <c r="AE322" s="152"/>
      <c r="AF322" s="153" t="str">
        <f t="shared" si="18"/>
        <v xml:space="preserve"> </v>
      </c>
      <c r="AG322" s="154" t="str">
        <f t="shared" si="19"/>
        <v>Ingresar fuente de información</v>
      </c>
      <c r="AH322" s="134"/>
      <c r="AI322" s="155"/>
      <c r="AJ322" s="156"/>
      <c r="AK322" s="157"/>
      <c r="AM322" s="158"/>
      <c r="AN322" s="155" t="str">
        <f t="shared" si="17"/>
        <v xml:space="preserve"> </v>
      </c>
      <c r="AO322" s="156"/>
      <c r="AP322" s="157"/>
      <c r="AQ322" s="161"/>
      <c r="AR322" s="160" t="str">
        <f t="shared" si="20"/>
        <v xml:space="preserve"> </v>
      </c>
    </row>
    <row r="323" spans="1:44">
      <c r="A323" s="71"/>
      <c r="B323" s="142"/>
      <c r="C323" s="143"/>
      <c r="D323" s="143"/>
      <c r="E323" s="143"/>
      <c r="F323" s="144"/>
      <c r="G323" s="142"/>
      <c r="H323" s="144" t="str">
        <f>IF(OR(ISBLANK(I323),ISBLANK(AQ323))," ",IFERROR(VLOOKUP(CONCATENATE(I323,AQ323),Prestaciones!$E$1:$H$488,4,FALSE),IFERROR(VLOOKUP(CONCATENATE(LEFT(I323,6),AQ323),Prestaciones!$E$491:$H$836,4,FALSE),"La prestación no corresponde al grupo poblacional")))</f>
        <v xml:space="preserve"> </v>
      </c>
      <c r="I323" s="145"/>
      <c r="J323" s="145" t="str">
        <f>IF(OR(ISBLANK(I323),ISBLANK(AQ323))," ",IFERROR(VLOOKUP(CONCATENATE(I323,AQ323),Prestaciones!$E$1:$G$488,3,FALSE),IFERROR(VLOOKUP(CONCATENATE(LEFT(I323,6),AQ323),Prestaciones!$E$491:$H$836,3,FALSE),"La prestación no corresponde al grupo poblacional")))</f>
        <v xml:space="preserve"> </v>
      </c>
      <c r="K323" s="146"/>
      <c r="L323" s="146"/>
      <c r="M323" s="147"/>
      <c r="N323" s="148"/>
      <c r="O323" s="149"/>
      <c r="P323" s="150"/>
      <c r="Q323" s="151"/>
      <c r="R323" s="151"/>
      <c r="S323" s="151"/>
      <c r="T323" s="147"/>
      <c r="U323" s="147"/>
      <c r="V323" s="147"/>
      <c r="W323" s="149"/>
      <c r="X323" s="149"/>
      <c r="Y323" s="147"/>
      <c r="Z323" s="147"/>
      <c r="AA323" s="147"/>
      <c r="AB323" s="147"/>
      <c r="AC323" s="147"/>
      <c r="AD323" s="147"/>
      <c r="AE323" s="152"/>
      <c r="AF323" s="153" t="str">
        <f t="shared" si="18"/>
        <v xml:space="preserve"> </v>
      </c>
      <c r="AG323" s="154" t="str">
        <f t="shared" si="19"/>
        <v>Ingresar fuente de información</v>
      </c>
      <c r="AH323" s="134"/>
      <c r="AI323" s="155"/>
      <c r="AJ323" s="156"/>
      <c r="AK323" s="157"/>
      <c r="AM323" s="158"/>
      <c r="AN323" s="155" t="str">
        <f t="shared" si="17"/>
        <v xml:space="preserve"> </v>
      </c>
      <c r="AO323" s="156"/>
      <c r="AP323" s="157"/>
      <c r="AQ323" s="161"/>
      <c r="AR323" s="160" t="str">
        <f t="shared" si="20"/>
        <v xml:space="preserve"> </v>
      </c>
    </row>
    <row r="324" spans="1:44">
      <c r="A324" s="71"/>
      <c r="B324" s="142"/>
      <c r="C324" s="143"/>
      <c r="D324" s="143"/>
      <c r="E324" s="143"/>
      <c r="F324" s="144"/>
      <c r="G324" s="142"/>
      <c r="H324" s="144" t="str">
        <f>IF(OR(ISBLANK(I324),ISBLANK(AQ324))," ",IFERROR(VLOOKUP(CONCATENATE(I324,AQ324),Prestaciones!$E$1:$H$488,4,FALSE),IFERROR(VLOOKUP(CONCATENATE(LEFT(I324,6),AQ324),Prestaciones!$E$491:$H$836,4,FALSE),"La prestación no corresponde al grupo poblacional")))</f>
        <v xml:space="preserve"> </v>
      </c>
      <c r="I324" s="145"/>
      <c r="J324" s="145" t="str">
        <f>IF(OR(ISBLANK(I324),ISBLANK(AQ324))," ",IFERROR(VLOOKUP(CONCATENATE(I324,AQ324),Prestaciones!$E$1:$G$488,3,FALSE),IFERROR(VLOOKUP(CONCATENATE(LEFT(I324,6),AQ324),Prestaciones!$E$491:$H$836,3,FALSE),"La prestación no corresponde al grupo poblacional")))</f>
        <v xml:space="preserve"> </v>
      </c>
      <c r="K324" s="146"/>
      <c r="L324" s="146"/>
      <c r="M324" s="147"/>
      <c r="N324" s="148"/>
      <c r="O324" s="149"/>
      <c r="P324" s="150"/>
      <c r="Q324" s="151"/>
      <c r="R324" s="151"/>
      <c r="S324" s="151"/>
      <c r="T324" s="147"/>
      <c r="U324" s="147"/>
      <c r="V324" s="147"/>
      <c r="W324" s="149"/>
      <c r="X324" s="149"/>
      <c r="Y324" s="147"/>
      <c r="Z324" s="147"/>
      <c r="AA324" s="147"/>
      <c r="AB324" s="147"/>
      <c r="AC324" s="147"/>
      <c r="AD324" s="147"/>
      <c r="AE324" s="152"/>
      <c r="AF324" s="153" t="str">
        <f t="shared" si="18"/>
        <v xml:space="preserve"> </v>
      </c>
      <c r="AG324" s="154" t="str">
        <f t="shared" si="19"/>
        <v>Ingresar fuente de información</v>
      </c>
      <c r="AH324" s="134"/>
      <c r="AI324" s="155"/>
      <c r="AJ324" s="156"/>
      <c r="AK324" s="157"/>
      <c r="AM324" s="158"/>
      <c r="AN324" s="155" t="str">
        <f t="shared" si="17"/>
        <v xml:space="preserve"> </v>
      </c>
      <c r="AO324" s="156"/>
      <c r="AP324" s="157"/>
      <c r="AQ324" s="161"/>
      <c r="AR324" s="160" t="str">
        <f t="shared" si="20"/>
        <v xml:space="preserve"> </v>
      </c>
    </row>
    <row r="325" spans="1:44">
      <c r="A325" s="71"/>
      <c r="B325" s="142"/>
      <c r="C325" s="143"/>
      <c r="D325" s="143"/>
      <c r="E325" s="143"/>
      <c r="F325" s="144"/>
      <c r="G325" s="142"/>
      <c r="H325" s="144" t="str">
        <f>IF(OR(ISBLANK(I325),ISBLANK(AQ325))," ",IFERROR(VLOOKUP(CONCATENATE(I325,AQ325),Prestaciones!$E$1:$H$488,4,FALSE),IFERROR(VLOOKUP(CONCATENATE(LEFT(I325,6),AQ325),Prestaciones!$E$491:$H$836,4,FALSE),"La prestación no corresponde al grupo poblacional")))</f>
        <v xml:space="preserve"> </v>
      </c>
      <c r="I325" s="145"/>
      <c r="J325" s="145" t="str">
        <f>IF(OR(ISBLANK(I325),ISBLANK(AQ325))," ",IFERROR(VLOOKUP(CONCATENATE(I325,AQ325),Prestaciones!$E$1:$G$488,3,FALSE),IFERROR(VLOOKUP(CONCATENATE(LEFT(I325,6),AQ325),Prestaciones!$E$491:$H$836,3,FALSE),"La prestación no corresponde al grupo poblacional")))</f>
        <v xml:space="preserve"> </v>
      </c>
      <c r="K325" s="146"/>
      <c r="L325" s="146"/>
      <c r="M325" s="147"/>
      <c r="N325" s="148"/>
      <c r="O325" s="149"/>
      <c r="P325" s="150"/>
      <c r="Q325" s="151"/>
      <c r="R325" s="151"/>
      <c r="S325" s="151"/>
      <c r="T325" s="147"/>
      <c r="U325" s="147"/>
      <c r="V325" s="147"/>
      <c r="W325" s="149"/>
      <c r="X325" s="149"/>
      <c r="Y325" s="147"/>
      <c r="Z325" s="147"/>
      <c r="AA325" s="147"/>
      <c r="AB325" s="147"/>
      <c r="AC325" s="147"/>
      <c r="AD325" s="147"/>
      <c r="AE325" s="152"/>
      <c r="AF325" s="153" t="str">
        <f t="shared" si="18"/>
        <v xml:space="preserve"> </v>
      </c>
      <c r="AG325" s="154" t="str">
        <f t="shared" si="19"/>
        <v>Ingresar fuente de información</v>
      </c>
      <c r="AH325" s="134"/>
      <c r="AI325" s="155"/>
      <c r="AJ325" s="156"/>
      <c r="AK325" s="157"/>
      <c r="AM325" s="158"/>
      <c r="AN325" s="155" t="str">
        <f t="shared" si="17"/>
        <v xml:space="preserve"> </v>
      </c>
      <c r="AO325" s="156"/>
      <c r="AP325" s="157"/>
      <c r="AQ325" s="161"/>
      <c r="AR325" s="160" t="str">
        <f t="shared" si="20"/>
        <v xml:space="preserve"> </v>
      </c>
    </row>
    <row r="326" spans="1:44">
      <c r="A326" s="71"/>
      <c r="B326" s="142"/>
      <c r="C326" s="143"/>
      <c r="D326" s="143"/>
      <c r="E326" s="143"/>
      <c r="F326" s="144"/>
      <c r="G326" s="142"/>
      <c r="H326" s="144" t="str">
        <f>IF(OR(ISBLANK(I326),ISBLANK(AQ326))," ",IFERROR(VLOOKUP(CONCATENATE(I326,AQ326),Prestaciones!$E$1:$H$488,4,FALSE),IFERROR(VLOOKUP(CONCATENATE(LEFT(I326,6),AQ326),Prestaciones!$E$491:$H$836,4,FALSE),"La prestación no corresponde al grupo poblacional")))</f>
        <v xml:space="preserve"> </v>
      </c>
      <c r="I326" s="145"/>
      <c r="J326" s="145" t="str">
        <f>IF(OR(ISBLANK(I326),ISBLANK(AQ326))," ",IFERROR(VLOOKUP(CONCATENATE(I326,AQ326),Prestaciones!$E$1:$G$488,3,FALSE),IFERROR(VLOOKUP(CONCATENATE(LEFT(I326,6),AQ326),Prestaciones!$E$491:$H$836,3,FALSE),"La prestación no corresponde al grupo poblacional")))</f>
        <v xml:space="preserve"> </v>
      </c>
      <c r="K326" s="146"/>
      <c r="L326" s="146"/>
      <c r="M326" s="147"/>
      <c r="N326" s="148"/>
      <c r="O326" s="149"/>
      <c r="P326" s="150"/>
      <c r="Q326" s="151"/>
      <c r="R326" s="151"/>
      <c r="S326" s="151"/>
      <c r="T326" s="147"/>
      <c r="U326" s="147"/>
      <c r="V326" s="147"/>
      <c r="W326" s="149"/>
      <c r="X326" s="149"/>
      <c r="Y326" s="147"/>
      <c r="Z326" s="147"/>
      <c r="AA326" s="147"/>
      <c r="AB326" s="147"/>
      <c r="AC326" s="147"/>
      <c r="AD326" s="147"/>
      <c r="AE326" s="152"/>
      <c r="AF326" s="153" t="str">
        <f t="shared" si="18"/>
        <v xml:space="preserve"> </v>
      </c>
      <c r="AG326" s="154" t="str">
        <f t="shared" si="19"/>
        <v>Ingresar fuente de información</v>
      </c>
      <c r="AH326" s="134"/>
      <c r="AI326" s="155"/>
      <c r="AJ326" s="156"/>
      <c r="AK326" s="157"/>
      <c r="AM326" s="158"/>
      <c r="AN326" s="155" t="str">
        <f t="shared" si="17"/>
        <v xml:space="preserve"> </v>
      </c>
      <c r="AO326" s="156"/>
      <c r="AP326" s="157"/>
      <c r="AQ326" s="161"/>
      <c r="AR326" s="160" t="str">
        <f t="shared" si="20"/>
        <v xml:space="preserve"> </v>
      </c>
    </row>
    <row r="327" spans="1:44">
      <c r="A327" s="71"/>
      <c r="B327" s="142"/>
      <c r="C327" s="143"/>
      <c r="D327" s="143"/>
      <c r="E327" s="143"/>
      <c r="F327" s="144"/>
      <c r="G327" s="142"/>
      <c r="H327" s="144" t="str">
        <f>IF(OR(ISBLANK(I327),ISBLANK(AQ327))," ",IFERROR(VLOOKUP(CONCATENATE(I327,AQ327),Prestaciones!$E$1:$H$488,4,FALSE),IFERROR(VLOOKUP(CONCATENATE(LEFT(I327,6),AQ327),Prestaciones!$E$491:$H$836,4,FALSE),"La prestación no corresponde al grupo poblacional")))</f>
        <v xml:space="preserve"> </v>
      </c>
      <c r="I327" s="145"/>
      <c r="J327" s="145" t="str">
        <f>IF(OR(ISBLANK(I327),ISBLANK(AQ327))," ",IFERROR(VLOOKUP(CONCATENATE(I327,AQ327),Prestaciones!$E$1:$G$488,3,FALSE),IFERROR(VLOOKUP(CONCATENATE(LEFT(I327,6),AQ327),Prestaciones!$E$491:$H$836,3,FALSE),"La prestación no corresponde al grupo poblacional")))</f>
        <v xml:space="preserve"> </v>
      </c>
      <c r="K327" s="146"/>
      <c r="L327" s="146"/>
      <c r="M327" s="147"/>
      <c r="N327" s="148"/>
      <c r="O327" s="149"/>
      <c r="P327" s="150"/>
      <c r="Q327" s="151"/>
      <c r="R327" s="151"/>
      <c r="S327" s="151"/>
      <c r="T327" s="147"/>
      <c r="U327" s="147"/>
      <c r="V327" s="147"/>
      <c r="W327" s="149"/>
      <c r="X327" s="149"/>
      <c r="Y327" s="147"/>
      <c r="Z327" s="147"/>
      <c r="AA327" s="147"/>
      <c r="AB327" s="147"/>
      <c r="AC327" s="147"/>
      <c r="AD327" s="147"/>
      <c r="AE327" s="152"/>
      <c r="AF327" s="153" t="str">
        <f t="shared" si="18"/>
        <v xml:space="preserve"> </v>
      </c>
      <c r="AG327" s="154" t="str">
        <f t="shared" si="19"/>
        <v>Ingresar fuente de información</v>
      </c>
      <c r="AH327" s="134"/>
      <c r="AI327" s="155"/>
      <c r="AJ327" s="156"/>
      <c r="AK327" s="157"/>
      <c r="AM327" s="158"/>
      <c r="AN327" s="155" t="str">
        <f t="shared" si="17"/>
        <v xml:space="preserve"> </v>
      </c>
      <c r="AO327" s="156"/>
      <c r="AP327" s="157"/>
      <c r="AQ327" s="161"/>
      <c r="AR327" s="160" t="str">
        <f t="shared" si="20"/>
        <v xml:space="preserve"> </v>
      </c>
    </row>
    <row r="328" spans="1:44">
      <c r="A328" s="71"/>
      <c r="B328" s="142"/>
      <c r="C328" s="143"/>
      <c r="D328" s="143"/>
      <c r="E328" s="143"/>
      <c r="F328" s="144"/>
      <c r="G328" s="142"/>
      <c r="H328" s="144" t="str">
        <f>IF(OR(ISBLANK(I328),ISBLANK(AQ328))," ",IFERROR(VLOOKUP(CONCATENATE(I328,AQ328),Prestaciones!$E$1:$H$488,4,FALSE),IFERROR(VLOOKUP(CONCATENATE(LEFT(I328,6),AQ328),Prestaciones!$E$491:$H$836,4,FALSE),"La prestación no corresponde al grupo poblacional")))</f>
        <v xml:space="preserve"> </v>
      </c>
      <c r="I328" s="145"/>
      <c r="J328" s="145" t="str">
        <f>IF(OR(ISBLANK(I328),ISBLANK(AQ328))," ",IFERROR(VLOOKUP(CONCATENATE(I328,AQ328),Prestaciones!$E$1:$G$488,3,FALSE),IFERROR(VLOOKUP(CONCATENATE(LEFT(I328,6),AQ328),Prestaciones!$E$491:$H$836,3,FALSE),"La prestación no corresponde al grupo poblacional")))</f>
        <v xml:space="preserve"> </v>
      </c>
      <c r="K328" s="146"/>
      <c r="L328" s="146"/>
      <c r="M328" s="147"/>
      <c r="N328" s="148"/>
      <c r="O328" s="149"/>
      <c r="P328" s="150"/>
      <c r="Q328" s="151"/>
      <c r="R328" s="151"/>
      <c r="S328" s="151"/>
      <c r="T328" s="147"/>
      <c r="U328" s="147"/>
      <c r="V328" s="147"/>
      <c r="W328" s="149"/>
      <c r="X328" s="149"/>
      <c r="Y328" s="147"/>
      <c r="Z328" s="147"/>
      <c r="AA328" s="147"/>
      <c r="AB328" s="147"/>
      <c r="AC328" s="147"/>
      <c r="AD328" s="147"/>
      <c r="AE328" s="152"/>
      <c r="AF328" s="153" t="str">
        <f t="shared" si="18"/>
        <v xml:space="preserve"> </v>
      </c>
      <c r="AG328" s="154" t="str">
        <f t="shared" si="19"/>
        <v>Ingresar fuente de información</v>
      </c>
      <c r="AH328" s="134"/>
      <c r="AI328" s="155"/>
      <c r="AJ328" s="156"/>
      <c r="AK328" s="157"/>
      <c r="AM328" s="158"/>
      <c r="AN328" s="155" t="str">
        <f t="shared" si="17"/>
        <v xml:space="preserve"> </v>
      </c>
      <c r="AO328" s="156"/>
      <c r="AP328" s="157"/>
      <c r="AQ328" s="161"/>
      <c r="AR328" s="160" t="str">
        <f t="shared" si="20"/>
        <v xml:space="preserve"> </v>
      </c>
    </row>
    <row r="329" spans="1:44">
      <c r="A329" s="71"/>
      <c r="B329" s="142"/>
      <c r="C329" s="143"/>
      <c r="D329" s="143"/>
      <c r="E329" s="143"/>
      <c r="F329" s="144"/>
      <c r="G329" s="142"/>
      <c r="H329" s="144" t="str">
        <f>IF(OR(ISBLANK(I329),ISBLANK(AQ329))," ",IFERROR(VLOOKUP(CONCATENATE(I329,AQ329),Prestaciones!$E$1:$H$488,4,FALSE),IFERROR(VLOOKUP(CONCATENATE(LEFT(I329,6),AQ329),Prestaciones!$E$491:$H$836,4,FALSE),"La prestación no corresponde al grupo poblacional")))</f>
        <v xml:space="preserve"> </v>
      </c>
      <c r="I329" s="145"/>
      <c r="J329" s="145" t="str">
        <f>IF(OR(ISBLANK(I329),ISBLANK(AQ329))," ",IFERROR(VLOOKUP(CONCATENATE(I329,AQ329),Prestaciones!$E$1:$G$488,3,FALSE),IFERROR(VLOOKUP(CONCATENATE(LEFT(I329,6),AQ329),Prestaciones!$E$491:$H$836,3,FALSE),"La prestación no corresponde al grupo poblacional")))</f>
        <v xml:space="preserve"> </v>
      </c>
      <c r="K329" s="146"/>
      <c r="L329" s="146"/>
      <c r="M329" s="147"/>
      <c r="N329" s="148"/>
      <c r="O329" s="149"/>
      <c r="P329" s="150"/>
      <c r="Q329" s="151"/>
      <c r="R329" s="151"/>
      <c r="S329" s="151"/>
      <c r="T329" s="147"/>
      <c r="U329" s="147"/>
      <c r="V329" s="147"/>
      <c r="W329" s="149"/>
      <c r="X329" s="149"/>
      <c r="Y329" s="147"/>
      <c r="Z329" s="147"/>
      <c r="AA329" s="147"/>
      <c r="AB329" s="147"/>
      <c r="AC329" s="147"/>
      <c r="AD329" s="147"/>
      <c r="AE329" s="152"/>
      <c r="AF329" s="153" t="str">
        <f t="shared" si="18"/>
        <v xml:space="preserve"> </v>
      </c>
      <c r="AG329" s="154" t="str">
        <f t="shared" si="19"/>
        <v>Ingresar fuente de información</v>
      </c>
      <c r="AH329" s="134"/>
      <c r="AI329" s="155"/>
      <c r="AJ329" s="156"/>
      <c r="AK329" s="157"/>
      <c r="AM329" s="158"/>
      <c r="AN329" s="155" t="str">
        <f t="shared" si="17"/>
        <v xml:space="preserve"> </v>
      </c>
      <c r="AO329" s="156"/>
      <c r="AP329" s="157"/>
      <c r="AQ329" s="161"/>
      <c r="AR329" s="160" t="str">
        <f t="shared" si="20"/>
        <v xml:space="preserve"> </v>
      </c>
    </row>
    <row r="330" spans="1:44">
      <c r="A330" s="71"/>
      <c r="B330" s="142"/>
      <c r="C330" s="143"/>
      <c r="D330" s="143"/>
      <c r="E330" s="143"/>
      <c r="F330" s="144"/>
      <c r="G330" s="142"/>
      <c r="H330" s="144" t="str">
        <f>IF(OR(ISBLANK(I330),ISBLANK(AQ330))," ",IFERROR(VLOOKUP(CONCATENATE(I330,AQ330),Prestaciones!$E$1:$H$488,4,FALSE),IFERROR(VLOOKUP(CONCATENATE(LEFT(I330,6),AQ330),Prestaciones!$E$491:$H$836,4,FALSE),"La prestación no corresponde al grupo poblacional")))</f>
        <v xml:space="preserve"> </v>
      </c>
      <c r="I330" s="145"/>
      <c r="J330" s="145" t="str">
        <f>IF(OR(ISBLANK(I330),ISBLANK(AQ330))," ",IFERROR(VLOOKUP(CONCATENATE(I330,AQ330),Prestaciones!$E$1:$G$488,3,FALSE),IFERROR(VLOOKUP(CONCATENATE(LEFT(I330,6),AQ330),Prestaciones!$E$491:$H$836,3,FALSE),"La prestación no corresponde al grupo poblacional")))</f>
        <v xml:space="preserve"> </v>
      </c>
      <c r="K330" s="146"/>
      <c r="L330" s="146"/>
      <c r="M330" s="147"/>
      <c r="N330" s="148"/>
      <c r="O330" s="149"/>
      <c r="P330" s="150"/>
      <c r="Q330" s="151"/>
      <c r="R330" s="151"/>
      <c r="S330" s="151"/>
      <c r="T330" s="147"/>
      <c r="U330" s="147"/>
      <c r="V330" s="147"/>
      <c r="W330" s="149"/>
      <c r="X330" s="149"/>
      <c r="Y330" s="147"/>
      <c r="Z330" s="147"/>
      <c r="AA330" s="147"/>
      <c r="AB330" s="147"/>
      <c r="AC330" s="147"/>
      <c r="AD330" s="147"/>
      <c r="AE330" s="152"/>
      <c r="AF330" s="153" t="str">
        <f t="shared" si="18"/>
        <v xml:space="preserve"> </v>
      </c>
      <c r="AG330" s="154" t="str">
        <f t="shared" si="19"/>
        <v>Ingresar fuente de información</v>
      </c>
      <c r="AH330" s="134"/>
      <c r="AI330" s="155"/>
      <c r="AJ330" s="156"/>
      <c r="AK330" s="157"/>
      <c r="AM330" s="158"/>
      <c r="AN330" s="155" t="str">
        <f t="shared" si="17"/>
        <v xml:space="preserve"> </v>
      </c>
      <c r="AO330" s="156"/>
      <c r="AP330" s="157"/>
      <c r="AQ330" s="161"/>
      <c r="AR330" s="160" t="str">
        <f t="shared" si="20"/>
        <v xml:space="preserve"> </v>
      </c>
    </row>
    <row r="331" spans="1:44">
      <c r="A331" s="71"/>
      <c r="B331" s="142"/>
      <c r="C331" s="143"/>
      <c r="D331" s="143"/>
      <c r="E331" s="143"/>
      <c r="F331" s="144"/>
      <c r="G331" s="142"/>
      <c r="H331" s="144" t="str">
        <f>IF(OR(ISBLANK(I331),ISBLANK(AQ331))," ",IFERROR(VLOOKUP(CONCATENATE(I331,AQ331),Prestaciones!$E$1:$H$488,4,FALSE),IFERROR(VLOOKUP(CONCATENATE(LEFT(I331,6),AQ331),Prestaciones!$E$491:$H$836,4,FALSE),"La prestación no corresponde al grupo poblacional")))</f>
        <v xml:space="preserve"> </v>
      </c>
      <c r="I331" s="145"/>
      <c r="J331" s="145" t="str">
        <f>IF(OR(ISBLANK(I331),ISBLANK(AQ331))," ",IFERROR(VLOOKUP(CONCATENATE(I331,AQ331),Prestaciones!$E$1:$G$488,3,FALSE),IFERROR(VLOOKUP(CONCATENATE(LEFT(I331,6),AQ331),Prestaciones!$E$491:$H$836,3,FALSE),"La prestación no corresponde al grupo poblacional")))</f>
        <v xml:space="preserve"> </v>
      </c>
      <c r="K331" s="146"/>
      <c r="L331" s="146"/>
      <c r="M331" s="147"/>
      <c r="N331" s="148"/>
      <c r="O331" s="149"/>
      <c r="P331" s="150"/>
      <c r="Q331" s="151"/>
      <c r="R331" s="151"/>
      <c r="S331" s="151"/>
      <c r="T331" s="147"/>
      <c r="U331" s="147"/>
      <c r="V331" s="147"/>
      <c r="W331" s="149"/>
      <c r="X331" s="149"/>
      <c r="Y331" s="147"/>
      <c r="Z331" s="147"/>
      <c r="AA331" s="147"/>
      <c r="AB331" s="147"/>
      <c r="AC331" s="147"/>
      <c r="AD331" s="147"/>
      <c r="AE331" s="152"/>
      <c r="AF331" s="153" t="str">
        <f t="shared" si="18"/>
        <v xml:space="preserve"> </v>
      </c>
      <c r="AG331" s="154" t="str">
        <f t="shared" si="19"/>
        <v>Ingresar fuente de información</v>
      </c>
      <c r="AH331" s="134"/>
      <c r="AI331" s="155"/>
      <c r="AJ331" s="156"/>
      <c r="AK331" s="157"/>
      <c r="AM331" s="158"/>
      <c r="AN331" s="155" t="str">
        <f t="shared" si="17"/>
        <v xml:space="preserve"> </v>
      </c>
      <c r="AO331" s="156"/>
      <c r="AP331" s="157"/>
      <c r="AQ331" s="161"/>
      <c r="AR331" s="160" t="str">
        <f t="shared" si="20"/>
        <v xml:space="preserve"> </v>
      </c>
    </row>
    <row r="332" spans="1:44">
      <c r="A332" s="71"/>
      <c r="B332" s="142"/>
      <c r="C332" s="143"/>
      <c r="D332" s="143"/>
      <c r="E332" s="143"/>
      <c r="F332" s="144"/>
      <c r="G332" s="142"/>
      <c r="H332" s="144" t="str">
        <f>IF(OR(ISBLANK(I332),ISBLANK(AQ332))," ",IFERROR(VLOOKUP(CONCATENATE(I332,AQ332),Prestaciones!$E$1:$H$488,4,FALSE),IFERROR(VLOOKUP(CONCATENATE(LEFT(I332,6),AQ332),Prestaciones!$E$491:$H$836,4,FALSE),"La prestación no corresponde al grupo poblacional")))</f>
        <v xml:space="preserve"> </v>
      </c>
      <c r="I332" s="145"/>
      <c r="J332" s="145" t="str">
        <f>IF(OR(ISBLANK(I332),ISBLANK(AQ332))," ",IFERROR(VLOOKUP(CONCATENATE(I332,AQ332),Prestaciones!$E$1:$G$488,3,FALSE),IFERROR(VLOOKUP(CONCATENATE(LEFT(I332,6),AQ332),Prestaciones!$E$491:$H$836,3,FALSE),"La prestación no corresponde al grupo poblacional")))</f>
        <v xml:space="preserve"> </v>
      </c>
      <c r="K332" s="146"/>
      <c r="L332" s="146"/>
      <c r="M332" s="147"/>
      <c r="N332" s="148"/>
      <c r="O332" s="149"/>
      <c r="P332" s="150"/>
      <c r="Q332" s="151"/>
      <c r="R332" s="151"/>
      <c r="S332" s="151"/>
      <c r="T332" s="147"/>
      <c r="U332" s="147"/>
      <c r="V332" s="147"/>
      <c r="W332" s="149"/>
      <c r="X332" s="149"/>
      <c r="Y332" s="147"/>
      <c r="Z332" s="147"/>
      <c r="AA332" s="147"/>
      <c r="AB332" s="147"/>
      <c r="AC332" s="147"/>
      <c r="AD332" s="147"/>
      <c r="AE332" s="152"/>
      <c r="AF332" s="153" t="str">
        <f t="shared" si="18"/>
        <v xml:space="preserve"> </v>
      </c>
      <c r="AG332" s="154" t="str">
        <f t="shared" si="19"/>
        <v>Ingresar fuente de información</v>
      </c>
      <c r="AH332" s="134"/>
      <c r="AI332" s="155"/>
      <c r="AJ332" s="156"/>
      <c r="AK332" s="157"/>
      <c r="AM332" s="158"/>
      <c r="AN332" s="155" t="str">
        <f t="shared" ref="AN332:AN395" si="21">IF(ISBLANK(AM332)," ",IF(AM332=0,"Valido",IF(AM332=1,"No consta fuente de informacion valida",IF(AM332=2,"Prestación inexistente",IF(AM332=3,"Datos requeridos incompletos",IF(AM332=4,"Codificación erronea",IF(AM332=5,"Fuente invalida","Categoria invalida")))))))</f>
        <v xml:space="preserve"> </v>
      </c>
      <c r="AO332" s="156"/>
      <c r="AP332" s="157"/>
      <c r="AQ332" s="161"/>
      <c r="AR332" s="160" t="str">
        <f t="shared" si="20"/>
        <v xml:space="preserve"> </v>
      </c>
    </row>
    <row r="333" spans="1:44">
      <c r="A333" s="71"/>
      <c r="B333" s="142"/>
      <c r="C333" s="143"/>
      <c r="D333" s="143"/>
      <c r="E333" s="143"/>
      <c r="F333" s="144"/>
      <c r="G333" s="142"/>
      <c r="H333" s="144" t="str">
        <f>IF(OR(ISBLANK(I333),ISBLANK(AQ333))," ",IFERROR(VLOOKUP(CONCATENATE(I333,AQ333),Prestaciones!$E$1:$H$488,4,FALSE),IFERROR(VLOOKUP(CONCATENATE(LEFT(I333,6),AQ333),Prestaciones!$E$491:$H$836,4,FALSE),"La prestación no corresponde al grupo poblacional")))</f>
        <v xml:space="preserve"> </v>
      </c>
      <c r="I333" s="145"/>
      <c r="J333" s="145" t="str">
        <f>IF(OR(ISBLANK(I333),ISBLANK(AQ333))," ",IFERROR(VLOOKUP(CONCATENATE(I333,AQ333),Prestaciones!$E$1:$G$488,3,FALSE),IFERROR(VLOOKUP(CONCATENATE(LEFT(I333,6),AQ333),Prestaciones!$E$491:$H$836,3,FALSE),"La prestación no corresponde al grupo poblacional")))</f>
        <v xml:space="preserve"> </v>
      </c>
      <c r="K333" s="146"/>
      <c r="L333" s="146"/>
      <c r="M333" s="147"/>
      <c r="N333" s="148"/>
      <c r="O333" s="149"/>
      <c r="P333" s="150"/>
      <c r="Q333" s="151"/>
      <c r="R333" s="151"/>
      <c r="S333" s="151"/>
      <c r="T333" s="147"/>
      <c r="U333" s="147"/>
      <c r="V333" s="147"/>
      <c r="W333" s="149"/>
      <c r="X333" s="149"/>
      <c r="Y333" s="147"/>
      <c r="Z333" s="147"/>
      <c r="AA333" s="147"/>
      <c r="AB333" s="147"/>
      <c r="AC333" s="147"/>
      <c r="AD333" s="147"/>
      <c r="AE333" s="152"/>
      <c r="AF333" s="153" t="str">
        <f t="shared" si="18"/>
        <v xml:space="preserve"> </v>
      </c>
      <c r="AG333" s="154" t="str">
        <f t="shared" si="19"/>
        <v>Ingresar fuente de información</v>
      </c>
      <c r="AH333" s="134"/>
      <c r="AI333" s="155"/>
      <c r="AJ333" s="156"/>
      <c r="AK333" s="157"/>
      <c r="AM333" s="158"/>
      <c r="AN333" s="155" t="str">
        <f t="shared" si="21"/>
        <v xml:space="preserve"> </v>
      </c>
      <c r="AO333" s="156"/>
      <c r="AP333" s="157"/>
      <c r="AQ333" s="161"/>
      <c r="AR333" s="160" t="str">
        <f t="shared" si="20"/>
        <v xml:space="preserve"> </v>
      </c>
    </row>
    <row r="334" spans="1:44">
      <c r="A334" s="71"/>
      <c r="B334" s="142"/>
      <c r="C334" s="143"/>
      <c r="D334" s="143"/>
      <c r="E334" s="143"/>
      <c r="F334" s="144"/>
      <c r="G334" s="142"/>
      <c r="H334" s="144" t="str">
        <f>IF(OR(ISBLANK(I334),ISBLANK(AQ334))," ",IFERROR(VLOOKUP(CONCATENATE(I334,AQ334),Prestaciones!$E$1:$H$488,4,FALSE),IFERROR(VLOOKUP(CONCATENATE(LEFT(I334,6),AQ334),Prestaciones!$E$491:$H$836,4,FALSE),"La prestación no corresponde al grupo poblacional")))</f>
        <v xml:space="preserve"> </v>
      </c>
      <c r="I334" s="145"/>
      <c r="J334" s="145" t="str">
        <f>IF(OR(ISBLANK(I334),ISBLANK(AQ334))," ",IFERROR(VLOOKUP(CONCATENATE(I334,AQ334),Prestaciones!$E$1:$G$488,3,FALSE),IFERROR(VLOOKUP(CONCATENATE(LEFT(I334,6),AQ334),Prestaciones!$E$491:$H$836,3,FALSE),"La prestación no corresponde al grupo poblacional")))</f>
        <v xml:space="preserve"> </v>
      </c>
      <c r="K334" s="146"/>
      <c r="L334" s="146"/>
      <c r="M334" s="147"/>
      <c r="N334" s="148"/>
      <c r="O334" s="149"/>
      <c r="P334" s="150"/>
      <c r="Q334" s="151"/>
      <c r="R334" s="151"/>
      <c r="S334" s="151"/>
      <c r="T334" s="147"/>
      <c r="U334" s="147"/>
      <c r="V334" s="147"/>
      <c r="W334" s="149"/>
      <c r="X334" s="149"/>
      <c r="Y334" s="147"/>
      <c r="Z334" s="147"/>
      <c r="AA334" s="147"/>
      <c r="AB334" s="147"/>
      <c r="AC334" s="147"/>
      <c r="AD334" s="147"/>
      <c r="AE334" s="152"/>
      <c r="AF334" s="153" t="str">
        <f t="shared" si="18"/>
        <v xml:space="preserve"> </v>
      </c>
      <c r="AG334" s="154" t="str">
        <f t="shared" si="19"/>
        <v>Ingresar fuente de información</v>
      </c>
      <c r="AH334" s="134"/>
      <c r="AI334" s="155"/>
      <c r="AJ334" s="156"/>
      <c r="AK334" s="157"/>
      <c r="AM334" s="158"/>
      <c r="AN334" s="155" t="str">
        <f t="shared" si="21"/>
        <v xml:space="preserve"> </v>
      </c>
      <c r="AO334" s="156"/>
      <c r="AP334" s="157"/>
      <c r="AQ334" s="161"/>
      <c r="AR334" s="160" t="str">
        <f t="shared" si="20"/>
        <v xml:space="preserve"> </v>
      </c>
    </row>
    <row r="335" spans="1:44">
      <c r="A335" s="71"/>
      <c r="B335" s="142"/>
      <c r="C335" s="143"/>
      <c r="D335" s="143"/>
      <c r="E335" s="143"/>
      <c r="F335" s="144"/>
      <c r="G335" s="142"/>
      <c r="H335" s="144" t="str">
        <f>IF(OR(ISBLANK(I335),ISBLANK(AQ335))," ",IFERROR(VLOOKUP(CONCATENATE(I335,AQ335),Prestaciones!$E$1:$H$488,4,FALSE),IFERROR(VLOOKUP(CONCATENATE(LEFT(I335,6),AQ335),Prestaciones!$E$491:$H$836,4,FALSE),"La prestación no corresponde al grupo poblacional")))</f>
        <v xml:space="preserve"> </v>
      </c>
      <c r="I335" s="145"/>
      <c r="J335" s="145" t="str">
        <f>IF(OR(ISBLANK(I335),ISBLANK(AQ335))," ",IFERROR(VLOOKUP(CONCATENATE(I335,AQ335),Prestaciones!$E$1:$G$488,3,FALSE),IFERROR(VLOOKUP(CONCATENATE(LEFT(I335,6),AQ335),Prestaciones!$E$491:$H$836,3,FALSE),"La prestación no corresponde al grupo poblacional")))</f>
        <v xml:space="preserve"> </v>
      </c>
      <c r="K335" s="146"/>
      <c r="L335" s="146"/>
      <c r="M335" s="147"/>
      <c r="N335" s="148"/>
      <c r="O335" s="149"/>
      <c r="P335" s="150"/>
      <c r="Q335" s="151"/>
      <c r="R335" s="151"/>
      <c r="S335" s="151"/>
      <c r="T335" s="147"/>
      <c r="U335" s="147"/>
      <c r="V335" s="147"/>
      <c r="W335" s="149"/>
      <c r="X335" s="149"/>
      <c r="Y335" s="147"/>
      <c r="Z335" s="147"/>
      <c r="AA335" s="147"/>
      <c r="AB335" s="147"/>
      <c r="AC335" s="147"/>
      <c r="AD335" s="147"/>
      <c r="AE335" s="152"/>
      <c r="AF335" s="153" t="str">
        <f t="shared" si="18"/>
        <v xml:space="preserve"> </v>
      </c>
      <c r="AG335" s="154" t="str">
        <f t="shared" si="19"/>
        <v>Ingresar fuente de información</v>
      </c>
      <c r="AH335" s="134"/>
      <c r="AI335" s="155"/>
      <c r="AJ335" s="156"/>
      <c r="AK335" s="157"/>
      <c r="AM335" s="158"/>
      <c r="AN335" s="155" t="str">
        <f t="shared" si="21"/>
        <v xml:space="preserve"> </v>
      </c>
      <c r="AO335" s="156"/>
      <c r="AP335" s="157"/>
      <c r="AQ335" s="161"/>
      <c r="AR335" s="160" t="str">
        <f t="shared" si="20"/>
        <v xml:space="preserve"> </v>
      </c>
    </row>
    <row r="336" spans="1:44">
      <c r="A336" s="71"/>
      <c r="B336" s="142"/>
      <c r="C336" s="143"/>
      <c r="D336" s="143"/>
      <c r="E336" s="143"/>
      <c r="F336" s="144"/>
      <c r="G336" s="142"/>
      <c r="H336" s="144" t="str">
        <f>IF(OR(ISBLANK(I336),ISBLANK(AQ336))," ",IFERROR(VLOOKUP(CONCATENATE(I336,AQ336),Prestaciones!$E$1:$H$488,4,FALSE),IFERROR(VLOOKUP(CONCATENATE(LEFT(I336,6),AQ336),Prestaciones!$E$491:$H$836,4,FALSE),"La prestación no corresponde al grupo poblacional")))</f>
        <v xml:space="preserve"> </v>
      </c>
      <c r="I336" s="145"/>
      <c r="J336" s="145" t="str">
        <f>IF(OR(ISBLANK(I336),ISBLANK(AQ336))," ",IFERROR(VLOOKUP(CONCATENATE(I336,AQ336),Prestaciones!$E$1:$G$488,3,FALSE),IFERROR(VLOOKUP(CONCATENATE(LEFT(I336,6),AQ336),Prestaciones!$E$491:$H$836,3,FALSE),"La prestación no corresponde al grupo poblacional")))</f>
        <v xml:space="preserve"> </v>
      </c>
      <c r="K336" s="146"/>
      <c r="L336" s="146"/>
      <c r="M336" s="147"/>
      <c r="N336" s="148"/>
      <c r="O336" s="149"/>
      <c r="P336" s="150"/>
      <c r="Q336" s="151"/>
      <c r="R336" s="151"/>
      <c r="S336" s="151"/>
      <c r="T336" s="147"/>
      <c r="U336" s="147"/>
      <c r="V336" s="147"/>
      <c r="W336" s="149"/>
      <c r="X336" s="149"/>
      <c r="Y336" s="147"/>
      <c r="Z336" s="147"/>
      <c r="AA336" s="147"/>
      <c r="AB336" s="147"/>
      <c r="AC336" s="147"/>
      <c r="AD336" s="147"/>
      <c r="AE336" s="152"/>
      <c r="AF336" s="153" t="str">
        <f t="shared" si="18"/>
        <v xml:space="preserve"> </v>
      </c>
      <c r="AG336" s="154" t="str">
        <f t="shared" si="19"/>
        <v>Ingresar fuente de información</v>
      </c>
      <c r="AH336" s="134"/>
      <c r="AI336" s="155"/>
      <c r="AJ336" s="156"/>
      <c r="AK336" s="157"/>
      <c r="AM336" s="158"/>
      <c r="AN336" s="155" t="str">
        <f t="shared" si="21"/>
        <v xml:space="preserve"> </v>
      </c>
      <c r="AO336" s="156"/>
      <c r="AP336" s="157"/>
      <c r="AQ336" s="161"/>
      <c r="AR336" s="160" t="str">
        <f t="shared" si="20"/>
        <v xml:space="preserve"> </v>
      </c>
    </row>
    <row r="337" spans="1:44">
      <c r="A337" s="71"/>
      <c r="B337" s="142"/>
      <c r="C337" s="143"/>
      <c r="D337" s="143"/>
      <c r="E337" s="143"/>
      <c r="F337" s="144"/>
      <c r="G337" s="142"/>
      <c r="H337" s="144" t="str">
        <f>IF(OR(ISBLANK(I337),ISBLANK(AQ337))," ",IFERROR(VLOOKUP(CONCATENATE(I337,AQ337),Prestaciones!$E$1:$H$488,4,FALSE),IFERROR(VLOOKUP(CONCATENATE(LEFT(I337,6),AQ337),Prestaciones!$E$491:$H$836,4,FALSE),"La prestación no corresponde al grupo poblacional")))</f>
        <v xml:space="preserve"> </v>
      </c>
      <c r="I337" s="145"/>
      <c r="J337" s="145" t="str">
        <f>IF(OR(ISBLANK(I337),ISBLANK(AQ337))," ",IFERROR(VLOOKUP(CONCATENATE(I337,AQ337),Prestaciones!$E$1:$G$488,3,FALSE),IFERROR(VLOOKUP(CONCATENATE(LEFT(I337,6),AQ337),Prestaciones!$E$491:$H$836,3,FALSE),"La prestación no corresponde al grupo poblacional")))</f>
        <v xml:space="preserve"> </v>
      </c>
      <c r="K337" s="146"/>
      <c r="L337" s="146"/>
      <c r="M337" s="147"/>
      <c r="N337" s="148"/>
      <c r="O337" s="149"/>
      <c r="P337" s="150"/>
      <c r="Q337" s="151"/>
      <c r="R337" s="151"/>
      <c r="S337" s="151"/>
      <c r="T337" s="147"/>
      <c r="U337" s="147"/>
      <c r="V337" s="147"/>
      <c r="W337" s="149"/>
      <c r="X337" s="149"/>
      <c r="Y337" s="147"/>
      <c r="Z337" s="147"/>
      <c r="AA337" s="147"/>
      <c r="AB337" s="147"/>
      <c r="AC337" s="147"/>
      <c r="AD337" s="147"/>
      <c r="AE337" s="152"/>
      <c r="AF337" s="153" t="str">
        <f t="shared" si="18"/>
        <v xml:space="preserve"> </v>
      </c>
      <c r="AG337" s="154" t="str">
        <f t="shared" si="19"/>
        <v>Ingresar fuente de información</v>
      </c>
      <c r="AH337" s="134"/>
      <c r="AI337" s="155"/>
      <c r="AJ337" s="156"/>
      <c r="AK337" s="157"/>
      <c r="AM337" s="158"/>
      <c r="AN337" s="155" t="str">
        <f t="shared" si="21"/>
        <v xml:space="preserve"> </v>
      </c>
      <c r="AO337" s="156"/>
      <c r="AP337" s="157"/>
      <c r="AQ337" s="161"/>
      <c r="AR337" s="160" t="str">
        <f t="shared" si="20"/>
        <v xml:space="preserve"> </v>
      </c>
    </row>
    <row r="338" spans="1:44">
      <c r="A338" s="71"/>
      <c r="B338" s="142"/>
      <c r="C338" s="143"/>
      <c r="D338" s="143"/>
      <c r="E338" s="143"/>
      <c r="F338" s="144"/>
      <c r="G338" s="142"/>
      <c r="H338" s="144" t="str">
        <f>IF(OR(ISBLANK(I338),ISBLANK(AQ338))," ",IFERROR(VLOOKUP(CONCATENATE(I338,AQ338),Prestaciones!$E$1:$H$488,4,FALSE),IFERROR(VLOOKUP(CONCATENATE(LEFT(I338,6),AQ338),Prestaciones!$E$491:$H$836,4,FALSE),"La prestación no corresponde al grupo poblacional")))</f>
        <v xml:space="preserve"> </v>
      </c>
      <c r="I338" s="145"/>
      <c r="J338" s="145" t="str">
        <f>IF(OR(ISBLANK(I338),ISBLANK(AQ338))," ",IFERROR(VLOOKUP(CONCATENATE(I338,AQ338),Prestaciones!$E$1:$G$488,3,FALSE),IFERROR(VLOOKUP(CONCATENATE(LEFT(I338,6),AQ338),Prestaciones!$E$491:$H$836,3,FALSE),"La prestación no corresponde al grupo poblacional")))</f>
        <v xml:space="preserve"> </v>
      </c>
      <c r="K338" s="146"/>
      <c r="L338" s="146"/>
      <c r="M338" s="147"/>
      <c r="N338" s="148"/>
      <c r="O338" s="149"/>
      <c r="P338" s="150"/>
      <c r="Q338" s="151"/>
      <c r="R338" s="151"/>
      <c r="S338" s="151"/>
      <c r="T338" s="147"/>
      <c r="U338" s="147"/>
      <c r="V338" s="147"/>
      <c r="W338" s="149"/>
      <c r="X338" s="149"/>
      <c r="Y338" s="147"/>
      <c r="Z338" s="147"/>
      <c r="AA338" s="147"/>
      <c r="AB338" s="147"/>
      <c r="AC338" s="147"/>
      <c r="AD338" s="147"/>
      <c r="AE338" s="152"/>
      <c r="AF338" s="153" t="str">
        <f t="shared" si="18"/>
        <v xml:space="preserve"> </v>
      </c>
      <c r="AG338" s="154" t="str">
        <f t="shared" si="19"/>
        <v>Ingresar fuente de información</v>
      </c>
      <c r="AH338" s="134"/>
      <c r="AI338" s="155"/>
      <c r="AJ338" s="156"/>
      <c r="AK338" s="157"/>
      <c r="AM338" s="158"/>
      <c r="AN338" s="155" t="str">
        <f t="shared" si="21"/>
        <v xml:space="preserve"> </v>
      </c>
      <c r="AO338" s="156"/>
      <c r="AP338" s="157"/>
      <c r="AQ338" s="161"/>
      <c r="AR338" s="160" t="str">
        <f t="shared" si="20"/>
        <v xml:space="preserve"> </v>
      </c>
    </row>
    <row r="339" spans="1:44">
      <c r="A339" s="71"/>
      <c r="B339" s="142"/>
      <c r="C339" s="143"/>
      <c r="D339" s="143"/>
      <c r="E339" s="143"/>
      <c r="F339" s="144"/>
      <c r="G339" s="142"/>
      <c r="H339" s="144" t="str">
        <f>IF(OR(ISBLANK(I339),ISBLANK(AQ339))," ",IFERROR(VLOOKUP(CONCATENATE(I339,AQ339),Prestaciones!$E$1:$H$488,4,FALSE),IFERROR(VLOOKUP(CONCATENATE(LEFT(I339,6),AQ339),Prestaciones!$E$491:$H$836,4,FALSE),"La prestación no corresponde al grupo poblacional")))</f>
        <v xml:space="preserve"> </v>
      </c>
      <c r="I339" s="145"/>
      <c r="J339" s="145" t="str">
        <f>IF(OR(ISBLANK(I339),ISBLANK(AQ339))," ",IFERROR(VLOOKUP(CONCATENATE(I339,AQ339),Prestaciones!$E$1:$G$488,3,FALSE),IFERROR(VLOOKUP(CONCATENATE(LEFT(I339,6),AQ339),Prestaciones!$E$491:$H$836,3,FALSE),"La prestación no corresponde al grupo poblacional")))</f>
        <v xml:space="preserve"> </v>
      </c>
      <c r="K339" s="146"/>
      <c r="L339" s="146"/>
      <c r="M339" s="147"/>
      <c r="N339" s="148"/>
      <c r="O339" s="149"/>
      <c r="P339" s="150"/>
      <c r="Q339" s="151"/>
      <c r="R339" s="151"/>
      <c r="S339" s="151"/>
      <c r="T339" s="147"/>
      <c r="U339" s="147"/>
      <c r="V339" s="147"/>
      <c r="W339" s="149"/>
      <c r="X339" s="149"/>
      <c r="Y339" s="147"/>
      <c r="Z339" s="147"/>
      <c r="AA339" s="147"/>
      <c r="AB339" s="147"/>
      <c r="AC339" s="147"/>
      <c r="AD339" s="147"/>
      <c r="AE339" s="152"/>
      <c r="AF339" s="153" t="str">
        <f t="shared" si="18"/>
        <v xml:space="preserve"> </v>
      </c>
      <c r="AG339" s="154" t="str">
        <f t="shared" si="19"/>
        <v>Ingresar fuente de información</v>
      </c>
      <c r="AH339" s="134"/>
      <c r="AI339" s="155"/>
      <c r="AJ339" s="156"/>
      <c r="AK339" s="157"/>
      <c r="AM339" s="158"/>
      <c r="AN339" s="155" t="str">
        <f t="shared" si="21"/>
        <v xml:space="preserve"> </v>
      </c>
      <c r="AO339" s="156"/>
      <c r="AP339" s="157"/>
      <c r="AQ339" s="161"/>
      <c r="AR339" s="160" t="str">
        <f t="shared" si="20"/>
        <v xml:space="preserve"> </v>
      </c>
    </row>
    <row r="340" spans="1:44">
      <c r="A340" s="71"/>
      <c r="B340" s="142"/>
      <c r="C340" s="143"/>
      <c r="D340" s="143"/>
      <c r="E340" s="143"/>
      <c r="F340" s="144"/>
      <c r="G340" s="142"/>
      <c r="H340" s="144" t="str">
        <f>IF(OR(ISBLANK(I340),ISBLANK(AQ340))," ",IFERROR(VLOOKUP(CONCATENATE(I340,AQ340),Prestaciones!$E$1:$H$488,4,FALSE),IFERROR(VLOOKUP(CONCATENATE(LEFT(I340,6),AQ340),Prestaciones!$E$491:$H$836,4,FALSE),"La prestación no corresponde al grupo poblacional")))</f>
        <v xml:space="preserve"> </v>
      </c>
      <c r="I340" s="145"/>
      <c r="J340" s="145" t="str">
        <f>IF(OR(ISBLANK(I340),ISBLANK(AQ340))," ",IFERROR(VLOOKUP(CONCATENATE(I340,AQ340),Prestaciones!$E$1:$G$488,3,FALSE),IFERROR(VLOOKUP(CONCATENATE(LEFT(I340,6),AQ340),Prestaciones!$E$491:$H$836,3,FALSE),"La prestación no corresponde al grupo poblacional")))</f>
        <v xml:space="preserve"> </v>
      </c>
      <c r="K340" s="146"/>
      <c r="L340" s="146"/>
      <c r="M340" s="147"/>
      <c r="N340" s="148"/>
      <c r="O340" s="149"/>
      <c r="P340" s="150"/>
      <c r="Q340" s="151"/>
      <c r="R340" s="151"/>
      <c r="S340" s="151"/>
      <c r="T340" s="147"/>
      <c r="U340" s="147"/>
      <c r="V340" s="147"/>
      <c r="W340" s="149"/>
      <c r="X340" s="149"/>
      <c r="Y340" s="147"/>
      <c r="Z340" s="147"/>
      <c r="AA340" s="147"/>
      <c r="AB340" s="147"/>
      <c r="AC340" s="147"/>
      <c r="AD340" s="147"/>
      <c r="AE340" s="152"/>
      <c r="AF340" s="153" t="str">
        <f t="shared" si="18"/>
        <v xml:space="preserve"> </v>
      </c>
      <c r="AG340" s="154" t="str">
        <f t="shared" si="19"/>
        <v>Ingresar fuente de información</v>
      </c>
      <c r="AH340" s="134"/>
      <c r="AI340" s="155"/>
      <c r="AJ340" s="156"/>
      <c r="AK340" s="157"/>
      <c r="AM340" s="158"/>
      <c r="AN340" s="155" t="str">
        <f t="shared" si="21"/>
        <v xml:space="preserve"> </v>
      </c>
      <c r="AO340" s="156"/>
      <c r="AP340" s="157"/>
      <c r="AQ340" s="161"/>
      <c r="AR340" s="160" t="str">
        <f t="shared" si="20"/>
        <v xml:space="preserve"> </v>
      </c>
    </row>
    <row r="341" spans="1:44">
      <c r="A341" s="71"/>
      <c r="B341" s="142"/>
      <c r="C341" s="143"/>
      <c r="D341" s="143"/>
      <c r="E341" s="143"/>
      <c r="F341" s="144"/>
      <c r="G341" s="142"/>
      <c r="H341" s="144" t="str">
        <f>IF(OR(ISBLANK(I341),ISBLANK(AQ341))," ",IFERROR(VLOOKUP(CONCATENATE(I341,AQ341),Prestaciones!$E$1:$H$488,4,FALSE),IFERROR(VLOOKUP(CONCATENATE(LEFT(I341,6),AQ341),Prestaciones!$E$491:$H$836,4,FALSE),"La prestación no corresponde al grupo poblacional")))</f>
        <v xml:space="preserve"> </v>
      </c>
      <c r="I341" s="145"/>
      <c r="J341" s="145" t="str">
        <f>IF(OR(ISBLANK(I341),ISBLANK(AQ341))," ",IFERROR(VLOOKUP(CONCATENATE(I341,AQ341),Prestaciones!$E$1:$G$488,3,FALSE),IFERROR(VLOOKUP(CONCATENATE(LEFT(I341,6),AQ341),Prestaciones!$E$491:$H$836,3,FALSE),"La prestación no corresponde al grupo poblacional")))</f>
        <v xml:space="preserve"> </v>
      </c>
      <c r="K341" s="146"/>
      <c r="L341" s="146"/>
      <c r="M341" s="147"/>
      <c r="N341" s="148"/>
      <c r="O341" s="149"/>
      <c r="P341" s="150"/>
      <c r="Q341" s="151"/>
      <c r="R341" s="151"/>
      <c r="S341" s="151"/>
      <c r="T341" s="147"/>
      <c r="U341" s="147"/>
      <c r="V341" s="147"/>
      <c r="W341" s="149"/>
      <c r="X341" s="149"/>
      <c r="Y341" s="147"/>
      <c r="Z341" s="147"/>
      <c r="AA341" s="147"/>
      <c r="AB341" s="147"/>
      <c r="AC341" s="147"/>
      <c r="AD341" s="147"/>
      <c r="AE341" s="152"/>
      <c r="AF341" s="153" t="str">
        <f t="shared" si="18"/>
        <v xml:space="preserve"> </v>
      </c>
      <c r="AG341" s="154" t="str">
        <f t="shared" si="19"/>
        <v>Ingresar fuente de información</v>
      </c>
      <c r="AH341" s="134"/>
      <c r="AI341" s="155"/>
      <c r="AJ341" s="156"/>
      <c r="AK341" s="157"/>
      <c r="AM341" s="158"/>
      <c r="AN341" s="155" t="str">
        <f t="shared" si="21"/>
        <v xml:space="preserve"> </v>
      </c>
      <c r="AO341" s="156"/>
      <c r="AP341" s="157"/>
      <c r="AQ341" s="161"/>
      <c r="AR341" s="160" t="str">
        <f t="shared" si="20"/>
        <v xml:space="preserve"> </v>
      </c>
    </row>
    <row r="342" spans="1:44">
      <c r="A342" s="71"/>
      <c r="B342" s="142"/>
      <c r="C342" s="143"/>
      <c r="D342" s="143"/>
      <c r="E342" s="143"/>
      <c r="F342" s="144"/>
      <c r="G342" s="142"/>
      <c r="H342" s="144" t="str">
        <f>IF(OR(ISBLANK(I342),ISBLANK(AQ342))," ",IFERROR(VLOOKUP(CONCATENATE(I342,AQ342),Prestaciones!$E$1:$H$488,4,FALSE),IFERROR(VLOOKUP(CONCATENATE(LEFT(I342,6),AQ342),Prestaciones!$E$491:$H$836,4,FALSE),"La prestación no corresponde al grupo poblacional")))</f>
        <v xml:space="preserve"> </v>
      </c>
      <c r="I342" s="145"/>
      <c r="J342" s="145" t="str">
        <f>IF(OR(ISBLANK(I342),ISBLANK(AQ342))," ",IFERROR(VLOOKUP(CONCATENATE(I342,AQ342),Prestaciones!$E$1:$G$488,3,FALSE),IFERROR(VLOOKUP(CONCATENATE(LEFT(I342,6),AQ342),Prestaciones!$E$491:$H$836,3,FALSE),"La prestación no corresponde al grupo poblacional")))</f>
        <v xml:space="preserve"> </v>
      </c>
      <c r="K342" s="146"/>
      <c r="L342" s="146"/>
      <c r="M342" s="147"/>
      <c r="N342" s="148"/>
      <c r="O342" s="149"/>
      <c r="P342" s="150"/>
      <c r="Q342" s="151"/>
      <c r="R342" s="151"/>
      <c r="S342" s="151"/>
      <c r="T342" s="147"/>
      <c r="U342" s="147"/>
      <c r="V342" s="147"/>
      <c r="W342" s="149"/>
      <c r="X342" s="149"/>
      <c r="Y342" s="147"/>
      <c r="Z342" s="147"/>
      <c r="AA342" s="147"/>
      <c r="AB342" s="147"/>
      <c r="AC342" s="147"/>
      <c r="AD342" s="147"/>
      <c r="AE342" s="152"/>
      <c r="AF342" s="153" t="str">
        <f t="shared" si="18"/>
        <v xml:space="preserve"> </v>
      </c>
      <c r="AG342" s="154" t="str">
        <f t="shared" si="19"/>
        <v>Ingresar fuente de información</v>
      </c>
      <c r="AH342" s="134"/>
      <c r="AI342" s="155"/>
      <c r="AJ342" s="156"/>
      <c r="AK342" s="157"/>
      <c r="AM342" s="158"/>
      <c r="AN342" s="155" t="str">
        <f t="shared" si="21"/>
        <v xml:space="preserve"> </v>
      </c>
      <c r="AO342" s="156"/>
      <c r="AP342" s="157"/>
      <c r="AQ342" s="161"/>
      <c r="AR342" s="160" t="str">
        <f t="shared" si="20"/>
        <v xml:space="preserve"> </v>
      </c>
    </row>
    <row r="343" spans="1:44">
      <c r="A343" s="71"/>
      <c r="B343" s="142"/>
      <c r="C343" s="143"/>
      <c r="D343" s="143"/>
      <c r="E343" s="143"/>
      <c r="F343" s="144"/>
      <c r="G343" s="142"/>
      <c r="H343" s="144" t="str">
        <f>IF(OR(ISBLANK(I343),ISBLANK(AQ343))," ",IFERROR(VLOOKUP(CONCATENATE(I343,AQ343),Prestaciones!$E$1:$H$488,4,FALSE),IFERROR(VLOOKUP(CONCATENATE(LEFT(I343,6),AQ343),Prestaciones!$E$491:$H$836,4,FALSE),"La prestación no corresponde al grupo poblacional")))</f>
        <v xml:space="preserve"> </v>
      </c>
      <c r="I343" s="145"/>
      <c r="J343" s="145" t="str">
        <f>IF(OR(ISBLANK(I343),ISBLANK(AQ343))," ",IFERROR(VLOOKUP(CONCATENATE(I343,AQ343),Prestaciones!$E$1:$G$488,3,FALSE),IFERROR(VLOOKUP(CONCATENATE(LEFT(I343,6),AQ343),Prestaciones!$E$491:$H$836,3,FALSE),"La prestación no corresponde al grupo poblacional")))</f>
        <v xml:space="preserve"> </v>
      </c>
      <c r="K343" s="146"/>
      <c r="L343" s="146"/>
      <c r="M343" s="147"/>
      <c r="N343" s="148"/>
      <c r="O343" s="149"/>
      <c r="P343" s="150"/>
      <c r="Q343" s="151"/>
      <c r="R343" s="151"/>
      <c r="S343" s="151"/>
      <c r="T343" s="147"/>
      <c r="U343" s="147"/>
      <c r="V343" s="147"/>
      <c r="W343" s="149"/>
      <c r="X343" s="149"/>
      <c r="Y343" s="147"/>
      <c r="Z343" s="147"/>
      <c r="AA343" s="147"/>
      <c r="AB343" s="147"/>
      <c r="AC343" s="147"/>
      <c r="AD343" s="147"/>
      <c r="AE343" s="152"/>
      <c r="AF343" s="153" t="str">
        <f t="shared" si="18"/>
        <v xml:space="preserve"> </v>
      </c>
      <c r="AG343" s="154" t="str">
        <f t="shared" si="19"/>
        <v>Ingresar fuente de información</v>
      </c>
      <c r="AH343" s="134"/>
      <c r="AI343" s="155"/>
      <c r="AJ343" s="156"/>
      <c r="AK343" s="157"/>
      <c r="AM343" s="158"/>
      <c r="AN343" s="155" t="str">
        <f t="shared" si="21"/>
        <v xml:space="preserve"> </v>
      </c>
      <c r="AO343" s="156"/>
      <c r="AP343" s="157"/>
      <c r="AQ343" s="161"/>
      <c r="AR343" s="160" t="str">
        <f t="shared" si="20"/>
        <v xml:space="preserve"> </v>
      </c>
    </row>
    <row r="344" spans="1:44">
      <c r="A344" s="71"/>
      <c r="B344" s="142"/>
      <c r="C344" s="143"/>
      <c r="D344" s="143"/>
      <c r="E344" s="143"/>
      <c r="F344" s="144"/>
      <c r="G344" s="142"/>
      <c r="H344" s="144" t="str">
        <f>IF(OR(ISBLANK(I344),ISBLANK(AQ344))," ",IFERROR(VLOOKUP(CONCATENATE(I344,AQ344),Prestaciones!$E$1:$H$488,4,FALSE),IFERROR(VLOOKUP(CONCATENATE(LEFT(I344,6),AQ344),Prestaciones!$E$491:$H$836,4,FALSE),"La prestación no corresponde al grupo poblacional")))</f>
        <v xml:space="preserve"> </v>
      </c>
      <c r="I344" s="145"/>
      <c r="J344" s="145" t="str">
        <f>IF(OR(ISBLANK(I344),ISBLANK(AQ344))," ",IFERROR(VLOOKUP(CONCATENATE(I344,AQ344),Prestaciones!$E$1:$G$488,3,FALSE),IFERROR(VLOOKUP(CONCATENATE(LEFT(I344,6),AQ344),Prestaciones!$E$491:$H$836,3,FALSE),"La prestación no corresponde al grupo poblacional")))</f>
        <v xml:space="preserve"> </v>
      </c>
      <c r="K344" s="146"/>
      <c r="L344" s="146"/>
      <c r="M344" s="147"/>
      <c r="N344" s="148"/>
      <c r="O344" s="149"/>
      <c r="P344" s="150"/>
      <c r="Q344" s="151"/>
      <c r="R344" s="151"/>
      <c r="S344" s="151"/>
      <c r="T344" s="147"/>
      <c r="U344" s="147"/>
      <c r="V344" s="147"/>
      <c r="W344" s="149"/>
      <c r="X344" s="149"/>
      <c r="Y344" s="147"/>
      <c r="Z344" s="147"/>
      <c r="AA344" s="147"/>
      <c r="AB344" s="147"/>
      <c r="AC344" s="147"/>
      <c r="AD344" s="147"/>
      <c r="AE344" s="152"/>
      <c r="AF344" s="153" t="str">
        <f t="shared" si="18"/>
        <v xml:space="preserve"> </v>
      </c>
      <c r="AG344" s="154" t="str">
        <f t="shared" si="19"/>
        <v>Ingresar fuente de información</v>
      </c>
      <c r="AH344" s="134"/>
      <c r="AI344" s="155"/>
      <c r="AJ344" s="156"/>
      <c r="AK344" s="157"/>
      <c r="AM344" s="158"/>
      <c r="AN344" s="155" t="str">
        <f t="shared" si="21"/>
        <v xml:space="preserve"> </v>
      </c>
      <c r="AO344" s="156"/>
      <c r="AP344" s="157"/>
      <c r="AQ344" s="161"/>
      <c r="AR344" s="160" t="str">
        <f t="shared" si="20"/>
        <v xml:space="preserve"> </v>
      </c>
    </row>
    <row r="345" spans="1:44">
      <c r="A345" s="71"/>
      <c r="B345" s="142"/>
      <c r="C345" s="143"/>
      <c r="D345" s="143"/>
      <c r="E345" s="143"/>
      <c r="F345" s="144"/>
      <c r="G345" s="142"/>
      <c r="H345" s="144" t="str">
        <f>IF(OR(ISBLANK(I345),ISBLANK(AQ345))," ",IFERROR(VLOOKUP(CONCATENATE(I345,AQ345),Prestaciones!$E$1:$H$488,4,FALSE),IFERROR(VLOOKUP(CONCATENATE(LEFT(I345,6),AQ345),Prestaciones!$E$491:$H$836,4,FALSE),"La prestación no corresponde al grupo poblacional")))</f>
        <v xml:space="preserve"> </v>
      </c>
      <c r="I345" s="145"/>
      <c r="J345" s="145" t="str">
        <f>IF(OR(ISBLANK(I345),ISBLANK(AQ345))," ",IFERROR(VLOOKUP(CONCATENATE(I345,AQ345),Prestaciones!$E$1:$G$488,3,FALSE),IFERROR(VLOOKUP(CONCATENATE(LEFT(I345,6),AQ345),Prestaciones!$E$491:$H$836,3,FALSE),"La prestación no corresponde al grupo poblacional")))</f>
        <v xml:space="preserve"> </v>
      </c>
      <c r="K345" s="146"/>
      <c r="L345" s="146"/>
      <c r="M345" s="147"/>
      <c r="N345" s="148"/>
      <c r="O345" s="149"/>
      <c r="P345" s="150"/>
      <c r="Q345" s="151"/>
      <c r="R345" s="151"/>
      <c r="S345" s="151"/>
      <c r="T345" s="147"/>
      <c r="U345" s="147"/>
      <c r="V345" s="147"/>
      <c r="W345" s="149"/>
      <c r="X345" s="149"/>
      <c r="Y345" s="147"/>
      <c r="Z345" s="147"/>
      <c r="AA345" s="147"/>
      <c r="AB345" s="147"/>
      <c r="AC345" s="147"/>
      <c r="AD345" s="147"/>
      <c r="AE345" s="152"/>
      <c r="AF345" s="153" t="str">
        <f t="shared" si="18"/>
        <v xml:space="preserve"> </v>
      </c>
      <c r="AG345" s="154" t="str">
        <f t="shared" si="19"/>
        <v>Ingresar fuente de información</v>
      </c>
      <c r="AH345" s="134"/>
      <c r="AI345" s="155"/>
      <c r="AJ345" s="156"/>
      <c r="AK345" s="157"/>
      <c r="AM345" s="158"/>
      <c r="AN345" s="155" t="str">
        <f t="shared" si="21"/>
        <v xml:space="preserve"> </v>
      </c>
      <c r="AO345" s="156"/>
      <c r="AP345" s="157"/>
      <c r="AQ345" s="161"/>
      <c r="AR345" s="160" t="str">
        <f t="shared" si="20"/>
        <v xml:space="preserve"> </v>
      </c>
    </row>
    <row r="346" spans="1:44">
      <c r="A346" s="71"/>
      <c r="B346" s="142"/>
      <c r="C346" s="143"/>
      <c r="D346" s="143"/>
      <c r="E346" s="143"/>
      <c r="F346" s="144"/>
      <c r="G346" s="142"/>
      <c r="H346" s="144" t="str">
        <f>IF(OR(ISBLANK(I346),ISBLANK(AQ346))," ",IFERROR(VLOOKUP(CONCATENATE(I346,AQ346),Prestaciones!$E$1:$H$488,4,FALSE),IFERROR(VLOOKUP(CONCATENATE(LEFT(I346,6),AQ346),Prestaciones!$E$491:$H$836,4,FALSE),"La prestación no corresponde al grupo poblacional")))</f>
        <v xml:space="preserve"> </v>
      </c>
      <c r="I346" s="145"/>
      <c r="J346" s="145" t="str">
        <f>IF(OR(ISBLANK(I346),ISBLANK(AQ346))," ",IFERROR(VLOOKUP(CONCATENATE(I346,AQ346),Prestaciones!$E$1:$G$488,3,FALSE),IFERROR(VLOOKUP(CONCATENATE(LEFT(I346,6),AQ346),Prestaciones!$E$491:$H$836,3,FALSE),"La prestación no corresponde al grupo poblacional")))</f>
        <v xml:space="preserve"> </v>
      </c>
      <c r="K346" s="146"/>
      <c r="L346" s="146"/>
      <c r="M346" s="147"/>
      <c r="N346" s="148"/>
      <c r="O346" s="149"/>
      <c r="P346" s="150"/>
      <c r="Q346" s="151"/>
      <c r="R346" s="151"/>
      <c r="S346" s="151"/>
      <c r="T346" s="147"/>
      <c r="U346" s="147"/>
      <c r="V346" s="147"/>
      <c r="W346" s="149"/>
      <c r="X346" s="149"/>
      <c r="Y346" s="147"/>
      <c r="Z346" s="147"/>
      <c r="AA346" s="147"/>
      <c r="AB346" s="147"/>
      <c r="AC346" s="147"/>
      <c r="AD346" s="147"/>
      <c r="AE346" s="152"/>
      <c r="AF346" s="153" t="str">
        <f t="shared" si="18"/>
        <v xml:space="preserve"> </v>
      </c>
      <c r="AG346" s="154" t="str">
        <f t="shared" si="19"/>
        <v>Ingresar fuente de información</v>
      </c>
      <c r="AH346" s="134"/>
      <c r="AI346" s="155"/>
      <c r="AJ346" s="156"/>
      <c r="AK346" s="157"/>
      <c r="AM346" s="158"/>
      <c r="AN346" s="155" t="str">
        <f t="shared" si="21"/>
        <v xml:space="preserve"> </v>
      </c>
      <c r="AO346" s="156"/>
      <c r="AP346" s="157"/>
      <c r="AQ346" s="161"/>
      <c r="AR346" s="160" t="str">
        <f t="shared" si="20"/>
        <v xml:space="preserve"> </v>
      </c>
    </row>
    <row r="347" spans="1:44">
      <c r="A347" s="71"/>
      <c r="B347" s="142"/>
      <c r="C347" s="143"/>
      <c r="D347" s="143"/>
      <c r="E347" s="143"/>
      <c r="F347" s="144"/>
      <c r="G347" s="142"/>
      <c r="H347" s="144" t="str">
        <f>IF(OR(ISBLANK(I347),ISBLANK(AQ347))," ",IFERROR(VLOOKUP(CONCATENATE(I347,AQ347),Prestaciones!$E$1:$H$488,4,FALSE),IFERROR(VLOOKUP(CONCATENATE(LEFT(I347,6),AQ347),Prestaciones!$E$491:$H$836,4,FALSE),"La prestación no corresponde al grupo poblacional")))</f>
        <v xml:space="preserve"> </v>
      </c>
      <c r="I347" s="145"/>
      <c r="J347" s="145" t="str">
        <f>IF(OR(ISBLANK(I347),ISBLANK(AQ347))," ",IFERROR(VLOOKUP(CONCATENATE(I347,AQ347),Prestaciones!$E$1:$G$488,3,FALSE),IFERROR(VLOOKUP(CONCATENATE(LEFT(I347,6),AQ347),Prestaciones!$E$491:$H$836,3,FALSE),"La prestación no corresponde al grupo poblacional")))</f>
        <v xml:space="preserve"> </v>
      </c>
      <c r="K347" s="146"/>
      <c r="L347" s="146"/>
      <c r="M347" s="147"/>
      <c r="N347" s="148"/>
      <c r="O347" s="149"/>
      <c r="P347" s="150"/>
      <c r="Q347" s="151"/>
      <c r="R347" s="151"/>
      <c r="S347" s="151"/>
      <c r="T347" s="147"/>
      <c r="U347" s="147"/>
      <c r="V347" s="147"/>
      <c r="W347" s="149"/>
      <c r="X347" s="149"/>
      <c r="Y347" s="147"/>
      <c r="Z347" s="147"/>
      <c r="AA347" s="147"/>
      <c r="AB347" s="147"/>
      <c r="AC347" s="147"/>
      <c r="AD347" s="147"/>
      <c r="AE347" s="152"/>
      <c r="AF347" s="153" t="str">
        <f t="shared" si="18"/>
        <v xml:space="preserve"> </v>
      </c>
      <c r="AG347" s="154" t="str">
        <f t="shared" si="19"/>
        <v>Ingresar fuente de información</v>
      </c>
      <c r="AH347" s="134"/>
      <c r="AI347" s="155"/>
      <c r="AJ347" s="156"/>
      <c r="AK347" s="157"/>
      <c r="AM347" s="158"/>
      <c r="AN347" s="155" t="str">
        <f t="shared" si="21"/>
        <v xml:space="preserve"> </v>
      </c>
      <c r="AO347" s="156"/>
      <c r="AP347" s="157"/>
      <c r="AQ347" s="161"/>
      <c r="AR347" s="160" t="str">
        <f t="shared" si="20"/>
        <v xml:space="preserve"> </v>
      </c>
    </row>
    <row r="348" spans="1:44">
      <c r="A348" s="71"/>
      <c r="B348" s="142"/>
      <c r="C348" s="143"/>
      <c r="D348" s="143"/>
      <c r="E348" s="143"/>
      <c r="F348" s="144"/>
      <c r="G348" s="142"/>
      <c r="H348" s="144" t="str">
        <f>IF(OR(ISBLANK(I348),ISBLANK(AQ348))," ",IFERROR(VLOOKUP(CONCATENATE(I348,AQ348),Prestaciones!$E$1:$H$488,4,FALSE),IFERROR(VLOOKUP(CONCATENATE(LEFT(I348,6),AQ348),Prestaciones!$E$491:$H$836,4,FALSE),"La prestación no corresponde al grupo poblacional")))</f>
        <v xml:space="preserve"> </v>
      </c>
      <c r="I348" s="145"/>
      <c r="J348" s="145" t="str">
        <f>IF(OR(ISBLANK(I348),ISBLANK(AQ348))," ",IFERROR(VLOOKUP(CONCATENATE(I348,AQ348),Prestaciones!$E$1:$G$488,3,FALSE),IFERROR(VLOOKUP(CONCATENATE(LEFT(I348,6),AQ348),Prestaciones!$E$491:$H$836,3,FALSE),"La prestación no corresponde al grupo poblacional")))</f>
        <v xml:space="preserve"> </v>
      </c>
      <c r="K348" s="146"/>
      <c r="L348" s="146"/>
      <c r="M348" s="147"/>
      <c r="N348" s="148"/>
      <c r="O348" s="149"/>
      <c r="P348" s="150"/>
      <c r="Q348" s="151"/>
      <c r="R348" s="151"/>
      <c r="S348" s="151"/>
      <c r="T348" s="147"/>
      <c r="U348" s="147"/>
      <c r="V348" s="147"/>
      <c r="W348" s="149"/>
      <c r="X348" s="149"/>
      <c r="Y348" s="147"/>
      <c r="Z348" s="147"/>
      <c r="AA348" s="147"/>
      <c r="AB348" s="147"/>
      <c r="AC348" s="147"/>
      <c r="AD348" s="147"/>
      <c r="AE348" s="152"/>
      <c r="AF348" s="153" t="str">
        <f t="shared" si="18"/>
        <v xml:space="preserve"> </v>
      </c>
      <c r="AG348" s="154" t="str">
        <f t="shared" si="19"/>
        <v>Ingresar fuente de información</v>
      </c>
      <c r="AH348" s="134"/>
      <c r="AI348" s="155"/>
      <c r="AJ348" s="156"/>
      <c r="AK348" s="157"/>
      <c r="AM348" s="158"/>
      <c r="AN348" s="155" t="str">
        <f t="shared" si="21"/>
        <v xml:space="preserve"> </v>
      </c>
      <c r="AO348" s="156"/>
      <c r="AP348" s="157"/>
      <c r="AQ348" s="161"/>
      <c r="AR348" s="160" t="str">
        <f t="shared" si="20"/>
        <v xml:space="preserve"> </v>
      </c>
    </row>
    <row r="349" spans="1:44">
      <c r="A349" s="71"/>
      <c r="B349" s="142"/>
      <c r="C349" s="143"/>
      <c r="D349" s="143"/>
      <c r="E349" s="143"/>
      <c r="F349" s="144"/>
      <c r="G349" s="142"/>
      <c r="H349" s="144" t="str">
        <f>IF(OR(ISBLANK(I349),ISBLANK(AQ349))," ",IFERROR(VLOOKUP(CONCATENATE(I349,AQ349),Prestaciones!$E$1:$H$488,4,FALSE),IFERROR(VLOOKUP(CONCATENATE(LEFT(I349,6),AQ349),Prestaciones!$E$491:$H$836,4,FALSE),"La prestación no corresponde al grupo poblacional")))</f>
        <v xml:space="preserve"> </v>
      </c>
      <c r="I349" s="145"/>
      <c r="J349" s="145" t="str">
        <f>IF(OR(ISBLANK(I349),ISBLANK(AQ349))," ",IFERROR(VLOOKUP(CONCATENATE(I349,AQ349),Prestaciones!$E$1:$G$488,3,FALSE),IFERROR(VLOOKUP(CONCATENATE(LEFT(I349,6),AQ349),Prestaciones!$E$491:$H$836,3,FALSE),"La prestación no corresponde al grupo poblacional")))</f>
        <v xml:space="preserve"> </v>
      </c>
      <c r="K349" s="146"/>
      <c r="L349" s="146"/>
      <c r="M349" s="147"/>
      <c r="N349" s="148"/>
      <c r="O349" s="149"/>
      <c r="P349" s="150"/>
      <c r="Q349" s="151"/>
      <c r="R349" s="151"/>
      <c r="S349" s="151"/>
      <c r="T349" s="147"/>
      <c r="U349" s="147"/>
      <c r="V349" s="147"/>
      <c r="W349" s="149"/>
      <c r="X349" s="149"/>
      <c r="Y349" s="147"/>
      <c r="Z349" s="147"/>
      <c r="AA349" s="147"/>
      <c r="AB349" s="147"/>
      <c r="AC349" s="147"/>
      <c r="AD349" s="147"/>
      <c r="AE349" s="152"/>
      <c r="AF349" s="153" t="str">
        <f t="shared" si="18"/>
        <v xml:space="preserve"> </v>
      </c>
      <c r="AG349" s="154" t="str">
        <f t="shared" si="19"/>
        <v>Ingresar fuente de información</v>
      </c>
      <c r="AH349" s="134"/>
      <c r="AI349" s="155"/>
      <c r="AJ349" s="156"/>
      <c r="AK349" s="157"/>
      <c r="AM349" s="158"/>
      <c r="AN349" s="155" t="str">
        <f t="shared" si="21"/>
        <v xml:space="preserve"> </v>
      </c>
      <c r="AO349" s="156"/>
      <c r="AP349" s="157"/>
      <c r="AQ349" s="161"/>
      <c r="AR349" s="160" t="str">
        <f t="shared" si="20"/>
        <v xml:space="preserve"> </v>
      </c>
    </row>
    <row r="350" spans="1:44">
      <c r="A350" s="71"/>
      <c r="B350" s="142"/>
      <c r="C350" s="143"/>
      <c r="D350" s="143"/>
      <c r="E350" s="143"/>
      <c r="F350" s="144"/>
      <c r="G350" s="142"/>
      <c r="H350" s="144" t="str">
        <f>IF(OR(ISBLANK(I350),ISBLANK(AQ350))," ",IFERROR(VLOOKUP(CONCATENATE(I350,AQ350),Prestaciones!$E$1:$H$488,4,FALSE),IFERROR(VLOOKUP(CONCATENATE(LEFT(I350,6),AQ350),Prestaciones!$E$491:$H$836,4,FALSE),"La prestación no corresponde al grupo poblacional")))</f>
        <v xml:space="preserve"> </v>
      </c>
      <c r="I350" s="145"/>
      <c r="J350" s="145" t="str">
        <f>IF(OR(ISBLANK(I350),ISBLANK(AQ350))," ",IFERROR(VLOOKUP(CONCATENATE(I350,AQ350),Prestaciones!$E$1:$G$488,3,FALSE),IFERROR(VLOOKUP(CONCATENATE(LEFT(I350,6),AQ350),Prestaciones!$E$491:$H$836,3,FALSE),"La prestación no corresponde al grupo poblacional")))</f>
        <v xml:space="preserve"> </v>
      </c>
      <c r="K350" s="146"/>
      <c r="L350" s="146"/>
      <c r="M350" s="147"/>
      <c r="N350" s="148"/>
      <c r="O350" s="149"/>
      <c r="P350" s="150"/>
      <c r="Q350" s="151"/>
      <c r="R350" s="151"/>
      <c r="S350" s="151"/>
      <c r="T350" s="147"/>
      <c r="U350" s="147"/>
      <c r="V350" s="147"/>
      <c r="W350" s="149"/>
      <c r="X350" s="149"/>
      <c r="Y350" s="147"/>
      <c r="Z350" s="147"/>
      <c r="AA350" s="147"/>
      <c r="AB350" s="147"/>
      <c r="AC350" s="147"/>
      <c r="AD350" s="147"/>
      <c r="AE350" s="152"/>
      <c r="AF350" s="153" t="str">
        <f t="shared" si="18"/>
        <v xml:space="preserve"> </v>
      </c>
      <c r="AG350" s="154" t="str">
        <f t="shared" si="19"/>
        <v>Ingresar fuente de información</v>
      </c>
      <c r="AH350" s="134"/>
      <c r="AI350" s="155"/>
      <c r="AJ350" s="156"/>
      <c r="AK350" s="157"/>
      <c r="AM350" s="158"/>
      <c r="AN350" s="155" t="str">
        <f t="shared" si="21"/>
        <v xml:space="preserve"> </v>
      </c>
      <c r="AO350" s="156"/>
      <c r="AP350" s="157"/>
      <c r="AQ350" s="161"/>
      <c r="AR350" s="160" t="str">
        <f t="shared" si="20"/>
        <v xml:space="preserve"> </v>
      </c>
    </row>
    <row r="351" spans="1:44">
      <c r="A351" s="71"/>
      <c r="B351" s="142"/>
      <c r="C351" s="143"/>
      <c r="D351" s="143"/>
      <c r="E351" s="143"/>
      <c r="F351" s="144"/>
      <c r="G351" s="142"/>
      <c r="H351" s="144" t="str">
        <f>IF(OR(ISBLANK(I351),ISBLANK(AQ351))," ",IFERROR(VLOOKUP(CONCATENATE(I351,AQ351),Prestaciones!$E$1:$H$488,4,FALSE),IFERROR(VLOOKUP(CONCATENATE(LEFT(I351,6),AQ351),Prestaciones!$E$491:$H$836,4,FALSE),"La prestación no corresponde al grupo poblacional")))</f>
        <v xml:space="preserve"> </v>
      </c>
      <c r="I351" s="145"/>
      <c r="J351" s="145" t="str">
        <f>IF(OR(ISBLANK(I351),ISBLANK(AQ351))," ",IFERROR(VLOOKUP(CONCATENATE(I351,AQ351),Prestaciones!$E$1:$G$488,3,FALSE),IFERROR(VLOOKUP(CONCATENATE(LEFT(I351,6),AQ351),Prestaciones!$E$491:$H$836,3,FALSE),"La prestación no corresponde al grupo poblacional")))</f>
        <v xml:space="preserve"> </v>
      </c>
      <c r="K351" s="146"/>
      <c r="L351" s="146"/>
      <c r="M351" s="147"/>
      <c r="N351" s="148"/>
      <c r="O351" s="149"/>
      <c r="P351" s="150"/>
      <c r="Q351" s="151"/>
      <c r="R351" s="151"/>
      <c r="S351" s="151"/>
      <c r="T351" s="147"/>
      <c r="U351" s="147"/>
      <c r="V351" s="147"/>
      <c r="W351" s="149"/>
      <c r="X351" s="149"/>
      <c r="Y351" s="147"/>
      <c r="Z351" s="147"/>
      <c r="AA351" s="147"/>
      <c r="AB351" s="147"/>
      <c r="AC351" s="147"/>
      <c r="AD351" s="147"/>
      <c r="AE351" s="152"/>
      <c r="AF351" s="153" t="str">
        <f t="shared" ref="AF351:AF401" si="22">IF(ISBLANK(P351)," ",(K351-P351)/365)</f>
        <v xml:space="preserve"> </v>
      </c>
      <c r="AG351" s="154" t="str">
        <f t="shared" ref="AG351:AG413" si="23">IF(M351="No consta fuente de información","Se debe labrar acta",IF(M351="Prestación inexistente","Se debe labrar acta e indicar el tipo de fuente de información en observaciones",IF(M351="","Ingresar fuente de información",IF(AND(OR(M351="HC",M351="Ficha odontológica",M351="Libro de enfermería",M351="SIP",M351="Registro vacunatorio",M351="HCPB",M351="Ficha médica",M351="Libro del servicio de imágenes",M351="Registro del servicio de anatomía patológica",M351="Sistema informático",M351="Caso duplicado"),(OR(ISBLANK(O351),ISBLANK(Q351),ISBLANK(R351),ISBLANK(S351),ISBLANK(T351),ISBLANK(U351),ISBLANK(V351),ISBLANK(W351),ISBLANK(X351),ISBLANK(Y351),ISBLANK(Z351),ISBLANK(AA351),ISBLANK(AB351),ISBLANK(AC351),ISBLANK(AD351)))),"Completar todos los campos","OK"))))</f>
        <v>Ingresar fuente de información</v>
      </c>
      <c r="AH351" s="134"/>
      <c r="AI351" s="155"/>
      <c r="AJ351" s="156"/>
      <c r="AK351" s="157"/>
      <c r="AM351" s="158"/>
      <c r="AN351" s="155" t="str">
        <f t="shared" si="21"/>
        <v xml:space="preserve"> </v>
      </c>
      <c r="AO351" s="156"/>
      <c r="AP351" s="157"/>
      <c r="AQ351" s="161"/>
      <c r="AR351" s="160" t="str">
        <f t="shared" si="20"/>
        <v xml:space="preserve"> </v>
      </c>
    </row>
    <row r="352" spans="1:44">
      <c r="A352" s="71"/>
      <c r="B352" s="142"/>
      <c r="C352" s="143"/>
      <c r="D352" s="143"/>
      <c r="E352" s="143"/>
      <c r="F352" s="144"/>
      <c r="G352" s="142"/>
      <c r="H352" s="144" t="str">
        <f>IF(OR(ISBLANK(I352),ISBLANK(AQ352))," ",IFERROR(VLOOKUP(CONCATENATE(I352,AQ352),Prestaciones!$E$1:$H$488,4,FALSE),IFERROR(VLOOKUP(CONCATENATE(LEFT(I352,6),AQ352),Prestaciones!$E$491:$H$836,4,FALSE),"La prestación no corresponde al grupo poblacional")))</f>
        <v xml:space="preserve"> </v>
      </c>
      <c r="I352" s="145"/>
      <c r="J352" s="145" t="str">
        <f>IF(OR(ISBLANK(I352),ISBLANK(AQ352))," ",IFERROR(VLOOKUP(CONCATENATE(I352,AQ352),Prestaciones!$E$1:$G$488,3,FALSE),IFERROR(VLOOKUP(CONCATENATE(LEFT(I352,6),AQ352),Prestaciones!$E$491:$H$836,3,FALSE),"La prestación no corresponde al grupo poblacional")))</f>
        <v xml:space="preserve"> </v>
      </c>
      <c r="K352" s="146"/>
      <c r="L352" s="146"/>
      <c r="M352" s="147"/>
      <c r="N352" s="148"/>
      <c r="O352" s="149"/>
      <c r="P352" s="150"/>
      <c r="Q352" s="151"/>
      <c r="R352" s="151"/>
      <c r="S352" s="151"/>
      <c r="T352" s="147"/>
      <c r="U352" s="147"/>
      <c r="V352" s="147"/>
      <c r="W352" s="149"/>
      <c r="X352" s="149"/>
      <c r="Y352" s="147"/>
      <c r="Z352" s="147"/>
      <c r="AA352" s="147"/>
      <c r="AB352" s="147"/>
      <c r="AC352" s="147"/>
      <c r="AD352" s="147"/>
      <c r="AE352" s="152"/>
      <c r="AF352" s="153" t="str">
        <f t="shared" si="22"/>
        <v xml:space="preserve"> </v>
      </c>
      <c r="AG352" s="154" t="str">
        <f t="shared" si="23"/>
        <v>Ingresar fuente de información</v>
      </c>
      <c r="AH352" s="134"/>
      <c r="AI352" s="155"/>
      <c r="AJ352" s="156"/>
      <c r="AK352" s="157"/>
      <c r="AM352" s="158"/>
      <c r="AN352" s="155" t="str">
        <f t="shared" si="21"/>
        <v xml:space="preserve"> </v>
      </c>
      <c r="AO352" s="156"/>
      <c r="AP352" s="157"/>
      <c r="AQ352" s="161"/>
      <c r="AR352" s="160" t="str">
        <f t="shared" ref="AR352:AR371" si="24">IF(ISBLANK(P352)," ",IF(AND(AF352&lt;10),"Niños",IF(AND(AF352&gt;=10,AF352&lt;20),"Adolescentes",IF(AND(AF352&gt;=20,AF352&lt;65),"Adultos","No valido"))))</f>
        <v xml:space="preserve"> </v>
      </c>
    </row>
    <row r="353" spans="1:44">
      <c r="A353" s="71"/>
      <c r="B353" s="142"/>
      <c r="C353" s="143"/>
      <c r="D353" s="143"/>
      <c r="E353" s="143"/>
      <c r="F353" s="144"/>
      <c r="G353" s="142"/>
      <c r="H353" s="144" t="str">
        <f>IF(OR(ISBLANK(I353),ISBLANK(AQ353))," ",IFERROR(VLOOKUP(CONCATENATE(I353,AQ353),Prestaciones!$E$1:$H$488,4,FALSE),IFERROR(VLOOKUP(CONCATENATE(LEFT(I353,6),AQ353),Prestaciones!$E$491:$H$836,4,FALSE),"La prestación no corresponde al grupo poblacional")))</f>
        <v xml:space="preserve"> </v>
      </c>
      <c r="I353" s="145"/>
      <c r="J353" s="145" t="str">
        <f>IF(OR(ISBLANK(I353),ISBLANK(AQ353))," ",IFERROR(VLOOKUP(CONCATENATE(I353,AQ353),Prestaciones!$E$1:$G$488,3,FALSE),IFERROR(VLOOKUP(CONCATENATE(LEFT(I353,6),AQ353),Prestaciones!$E$491:$H$836,3,FALSE),"La prestación no corresponde al grupo poblacional")))</f>
        <v xml:space="preserve"> </v>
      </c>
      <c r="K353" s="146"/>
      <c r="L353" s="146"/>
      <c r="M353" s="147"/>
      <c r="N353" s="148"/>
      <c r="O353" s="149"/>
      <c r="P353" s="150"/>
      <c r="Q353" s="151"/>
      <c r="R353" s="151"/>
      <c r="S353" s="151"/>
      <c r="T353" s="147"/>
      <c r="U353" s="147"/>
      <c r="V353" s="147"/>
      <c r="W353" s="149"/>
      <c r="X353" s="149"/>
      <c r="Y353" s="147"/>
      <c r="Z353" s="147"/>
      <c r="AA353" s="147"/>
      <c r="AB353" s="147"/>
      <c r="AC353" s="147"/>
      <c r="AD353" s="147"/>
      <c r="AE353" s="152"/>
      <c r="AF353" s="153" t="str">
        <f t="shared" si="22"/>
        <v xml:space="preserve"> </v>
      </c>
      <c r="AG353" s="154" t="str">
        <f t="shared" si="23"/>
        <v>Ingresar fuente de información</v>
      </c>
      <c r="AH353" s="134"/>
      <c r="AI353" s="155"/>
      <c r="AJ353" s="156"/>
      <c r="AK353" s="157"/>
      <c r="AM353" s="158"/>
      <c r="AN353" s="155" t="str">
        <f t="shared" si="21"/>
        <v xml:space="preserve"> </v>
      </c>
      <c r="AO353" s="156"/>
      <c r="AP353" s="157"/>
      <c r="AQ353" s="161"/>
      <c r="AR353" s="160" t="str">
        <f t="shared" si="24"/>
        <v xml:space="preserve"> </v>
      </c>
    </row>
    <row r="354" spans="1:44">
      <c r="A354" s="71"/>
      <c r="B354" s="142"/>
      <c r="C354" s="143"/>
      <c r="D354" s="143"/>
      <c r="E354" s="143"/>
      <c r="F354" s="144"/>
      <c r="G354" s="142"/>
      <c r="H354" s="144" t="str">
        <f>IF(OR(ISBLANK(I354),ISBLANK(AQ354))," ",IFERROR(VLOOKUP(CONCATENATE(I354,AQ354),Prestaciones!$E$1:$H$488,4,FALSE),IFERROR(VLOOKUP(CONCATENATE(LEFT(I354,6),AQ354),Prestaciones!$E$491:$H$836,4,FALSE),"La prestación no corresponde al grupo poblacional")))</f>
        <v xml:space="preserve"> </v>
      </c>
      <c r="I354" s="145"/>
      <c r="J354" s="145" t="str">
        <f>IF(OR(ISBLANK(I354),ISBLANK(AQ354))," ",IFERROR(VLOOKUP(CONCATENATE(I354,AQ354),Prestaciones!$E$1:$G$488,3,FALSE),IFERROR(VLOOKUP(CONCATENATE(LEFT(I354,6),AQ354),Prestaciones!$E$491:$H$836,3,FALSE),"La prestación no corresponde al grupo poblacional")))</f>
        <v xml:space="preserve"> </v>
      </c>
      <c r="K354" s="146"/>
      <c r="L354" s="146"/>
      <c r="M354" s="147"/>
      <c r="N354" s="148"/>
      <c r="O354" s="149"/>
      <c r="P354" s="150"/>
      <c r="Q354" s="151"/>
      <c r="R354" s="151"/>
      <c r="S354" s="151"/>
      <c r="T354" s="147"/>
      <c r="U354" s="147"/>
      <c r="V354" s="147"/>
      <c r="W354" s="149"/>
      <c r="X354" s="149"/>
      <c r="Y354" s="147"/>
      <c r="Z354" s="147"/>
      <c r="AA354" s="147"/>
      <c r="AB354" s="147"/>
      <c r="AC354" s="147"/>
      <c r="AD354" s="147"/>
      <c r="AE354" s="152"/>
      <c r="AF354" s="153" t="str">
        <f t="shared" si="22"/>
        <v xml:space="preserve"> </v>
      </c>
      <c r="AG354" s="154" t="str">
        <f t="shared" si="23"/>
        <v>Ingresar fuente de información</v>
      </c>
      <c r="AH354" s="134"/>
      <c r="AI354" s="155"/>
      <c r="AJ354" s="156"/>
      <c r="AK354" s="157"/>
      <c r="AM354" s="158"/>
      <c r="AN354" s="155" t="str">
        <f t="shared" si="21"/>
        <v xml:space="preserve"> </v>
      </c>
      <c r="AO354" s="156"/>
      <c r="AP354" s="157"/>
      <c r="AQ354" s="161"/>
      <c r="AR354" s="160" t="str">
        <f t="shared" si="24"/>
        <v xml:space="preserve"> </v>
      </c>
    </row>
    <row r="355" spans="1:44">
      <c r="A355" s="71"/>
      <c r="B355" s="142"/>
      <c r="C355" s="143"/>
      <c r="D355" s="143"/>
      <c r="E355" s="143"/>
      <c r="F355" s="144"/>
      <c r="G355" s="142"/>
      <c r="H355" s="144" t="str">
        <f>IF(OR(ISBLANK(I355),ISBLANK(AQ355))," ",IFERROR(VLOOKUP(CONCATENATE(I355,AQ355),Prestaciones!$E$1:$H$488,4,FALSE),IFERROR(VLOOKUP(CONCATENATE(LEFT(I355,6),AQ355),Prestaciones!$E$491:$H$836,4,FALSE),"La prestación no corresponde al grupo poblacional")))</f>
        <v xml:space="preserve"> </v>
      </c>
      <c r="I355" s="145"/>
      <c r="J355" s="145" t="str">
        <f>IF(OR(ISBLANK(I355),ISBLANK(AQ355))," ",IFERROR(VLOOKUP(CONCATENATE(I355,AQ355),Prestaciones!$E$1:$G$488,3,FALSE),IFERROR(VLOOKUP(CONCATENATE(LEFT(I355,6),AQ355),Prestaciones!$E$491:$H$836,3,FALSE),"La prestación no corresponde al grupo poblacional")))</f>
        <v xml:space="preserve"> </v>
      </c>
      <c r="K355" s="146"/>
      <c r="L355" s="146"/>
      <c r="M355" s="147"/>
      <c r="N355" s="148"/>
      <c r="O355" s="149"/>
      <c r="P355" s="150"/>
      <c r="Q355" s="151"/>
      <c r="R355" s="151"/>
      <c r="S355" s="151"/>
      <c r="T355" s="147"/>
      <c r="U355" s="147"/>
      <c r="V355" s="147"/>
      <c r="W355" s="149"/>
      <c r="X355" s="149"/>
      <c r="Y355" s="147"/>
      <c r="Z355" s="147"/>
      <c r="AA355" s="147"/>
      <c r="AB355" s="147"/>
      <c r="AC355" s="147"/>
      <c r="AD355" s="147"/>
      <c r="AE355" s="152"/>
      <c r="AF355" s="153" t="str">
        <f t="shared" si="22"/>
        <v xml:space="preserve"> </v>
      </c>
      <c r="AG355" s="154" t="str">
        <f t="shared" si="23"/>
        <v>Ingresar fuente de información</v>
      </c>
      <c r="AH355" s="134"/>
      <c r="AI355" s="155"/>
      <c r="AJ355" s="156"/>
      <c r="AK355" s="157"/>
      <c r="AM355" s="158"/>
      <c r="AN355" s="155" t="str">
        <f t="shared" si="21"/>
        <v xml:space="preserve"> </v>
      </c>
      <c r="AO355" s="156"/>
      <c r="AP355" s="157"/>
      <c r="AQ355" s="161"/>
      <c r="AR355" s="160" t="str">
        <f t="shared" si="24"/>
        <v xml:space="preserve"> </v>
      </c>
    </row>
    <row r="356" spans="1:44">
      <c r="A356" s="71"/>
      <c r="B356" s="142"/>
      <c r="C356" s="143"/>
      <c r="D356" s="143"/>
      <c r="E356" s="143"/>
      <c r="F356" s="144"/>
      <c r="G356" s="142"/>
      <c r="H356" s="144" t="str">
        <f>IF(OR(ISBLANK(I356),ISBLANK(AQ356))," ",IFERROR(VLOOKUP(CONCATENATE(I356,AQ356),Prestaciones!$E$1:$H$488,4,FALSE),IFERROR(VLOOKUP(CONCATENATE(LEFT(I356,6),AQ356),Prestaciones!$E$491:$H$836,4,FALSE),"La prestación no corresponde al grupo poblacional")))</f>
        <v xml:space="preserve"> </v>
      </c>
      <c r="I356" s="145"/>
      <c r="J356" s="145" t="str">
        <f>IF(OR(ISBLANK(I356),ISBLANK(AQ356))," ",IFERROR(VLOOKUP(CONCATENATE(I356,AQ356),Prestaciones!$E$1:$G$488,3,FALSE),IFERROR(VLOOKUP(CONCATENATE(LEFT(I356,6),AQ356),Prestaciones!$E$491:$H$836,3,FALSE),"La prestación no corresponde al grupo poblacional")))</f>
        <v xml:space="preserve"> </v>
      </c>
      <c r="K356" s="146"/>
      <c r="L356" s="146"/>
      <c r="M356" s="147"/>
      <c r="N356" s="148"/>
      <c r="O356" s="149"/>
      <c r="P356" s="150"/>
      <c r="Q356" s="151"/>
      <c r="R356" s="151"/>
      <c r="S356" s="151"/>
      <c r="T356" s="147"/>
      <c r="U356" s="147"/>
      <c r="V356" s="147"/>
      <c r="W356" s="149"/>
      <c r="X356" s="149"/>
      <c r="Y356" s="147"/>
      <c r="Z356" s="147"/>
      <c r="AA356" s="147"/>
      <c r="AB356" s="147"/>
      <c r="AC356" s="147"/>
      <c r="AD356" s="147"/>
      <c r="AE356" s="152"/>
      <c r="AF356" s="153" t="str">
        <f t="shared" si="22"/>
        <v xml:space="preserve"> </v>
      </c>
      <c r="AG356" s="154" t="str">
        <f t="shared" si="23"/>
        <v>Ingresar fuente de información</v>
      </c>
      <c r="AH356" s="134"/>
      <c r="AI356" s="155"/>
      <c r="AJ356" s="156"/>
      <c r="AK356" s="157"/>
      <c r="AM356" s="158"/>
      <c r="AN356" s="155" t="str">
        <f t="shared" si="21"/>
        <v xml:space="preserve"> </v>
      </c>
      <c r="AO356" s="156"/>
      <c r="AP356" s="157"/>
      <c r="AQ356" s="161"/>
      <c r="AR356" s="160" t="str">
        <f t="shared" si="24"/>
        <v xml:space="preserve"> </v>
      </c>
    </row>
    <row r="357" spans="1:44">
      <c r="A357" s="71"/>
      <c r="B357" s="142"/>
      <c r="C357" s="143"/>
      <c r="D357" s="143"/>
      <c r="E357" s="143"/>
      <c r="F357" s="144"/>
      <c r="G357" s="142"/>
      <c r="H357" s="144" t="str">
        <f>IF(OR(ISBLANK(I357),ISBLANK(AQ357))," ",IFERROR(VLOOKUP(CONCATENATE(I357,AQ357),Prestaciones!$E$1:$H$488,4,FALSE),IFERROR(VLOOKUP(CONCATENATE(LEFT(I357,6),AQ357),Prestaciones!$E$491:$H$836,4,FALSE),"La prestación no corresponde al grupo poblacional")))</f>
        <v xml:space="preserve"> </v>
      </c>
      <c r="I357" s="145"/>
      <c r="J357" s="145" t="str">
        <f>IF(OR(ISBLANK(I357),ISBLANK(AQ357))," ",IFERROR(VLOOKUP(CONCATENATE(I357,AQ357),Prestaciones!$E$1:$G$488,3,FALSE),IFERROR(VLOOKUP(CONCATENATE(LEFT(I357,6),AQ357),Prestaciones!$E$491:$H$836,3,FALSE),"La prestación no corresponde al grupo poblacional")))</f>
        <v xml:space="preserve"> </v>
      </c>
      <c r="K357" s="146"/>
      <c r="L357" s="146"/>
      <c r="M357" s="147"/>
      <c r="N357" s="148"/>
      <c r="O357" s="149"/>
      <c r="P357" s="150"/>
      <c r="Q357" s="151"/>
      <c r="R357" s="151"/>
      <c r="S357" s="151"/>
      <c r="T357" s="147"/>
      <c r="U357" s="147"/>
      <c r="V357" s="147"/>
      <c r="W357" s="149"/>
      <c r="X357" s="149"/>
      <c r="Y357" s="147"/>
      <c r="Z357" s="147"/>
      <c r="AA357" s="147"/>
      <c r="AB357" s="147"/>
      <c r="AC357" s="147"/>
      <c r="AD357" s="147"/>
      <c r="AE357" s="152"/>
      <c r="AF357" s="153" t="str">
        <f t="shared" si="22"/>
        <v xml:space="preserve"> </v>
      </c>
      <c r="AG357" s="154" t="str">
        <f t="shared" si="23"/>
        <v>Ingresar fuente de información</v>
      </c>
      <c r="AH357" s="134"/>
      <c r="AI357" s="155"/>
      <c r="AJ357" s="156"/>
      <c r="AK357" s="157"/>
      <c r="AM357" s="158"/>
      <c r="AN357" s="155" t="str">
        <f t="shared" si="21"/>
        <v xml:space="preserve"> </v>
      </c>
      <c r="AO357" s="156"/>
      <c r="AP357" s="157"/>
      <c r="AQ357" s="161"/>
      <c r="AR357" s="160" t="str">
        <f t="shared" si="24"/>
        <v xml:space="preserve"> </v>
      </c>
    </row>
    <row r="358" spans="1:44">
      <c r="A358" s="71"/>
      <c r="B358" s="142"/>
      <c r="C358" s="143"/>
      <c r="D358" s="143"/>
      <c r="E358" s="143"/>
      <c r="F358" s="144"/>
      <c r="G358" s="142"/>
      <c r="H358" s="144" t="str">
        <f>IF(OR(ISBLANK(I358),ISBLANK(AQ358))," ",IFERROR(VLOOKUP(CONCATENATE(I358,AQ358),Prestaciones!$E$1:$H$488,4,FALSE),IFERROR(VLOOKUP(CONCATENATE(LEFT(I358,6),AQ358),Prestaciones!$E$491:$H$836,4,FALSE),"La prestación no corresponde al grupo poblacional")))</f>
        <v xml:space="preserve"> </v>
      </c>
      <c r="I358" s="145"/>
      <c r="J358" s="145" t="str">
        <f>IF(OR(ISBLANK(I358),ISBLANK(AQ358))," ",IFERROR(VLOOKUP(CONCATENATE(I358,AQ358),Prestaciones!$E$1:$G$488,3,FALSE),IFERROR(VLOOKUP(CONCATENATE(LEFT(I358,6),AQ358),Prestaciones!$E$491:$H$836,3,FALSE),"La prestación no corresponde al grupo poblacional")))</f>
        <v xml:space="preserve"> </v>
      </c>
      <c r="K358" s="146"/>
      <c r="L358" s="146"/>
      <c r="M358" s="147"/>
      <c r="N358" s="148"/>
      <c r="O358" s="149"/>
      <c r="P358" s="150"/>
      <c r="Q358" s="151"/>
      <c r="R358" s="151"/>
      <c r="S358" s="151"/>
      <c r="T358" s="147"/>
      <c r="U358" s="147"/>
      <c r="V358" s="147"/>
      <c r="W358" s="149"/>
      <c r="X358" s="149"/>
      <c r="Y358" s="147"/>
      <c r="Z358" s="147"/>
      <c r="AA358" s="147"/>
      <c r="AB358" s="147"/>
      <c r="AC358" s="147"/>
      <c r="AD358" s="147"/>
      <c r="AE358" s="152"/>
      <c r="AF358" s="153" t="str">
        <f t="shared" si="22"/>
        <v xml:space="preserve"> </v>
      </c>
      <c r="AG358" s="154" t="str">
        <f t="shared" si="23"/>
        <v>Ingresar fuente de información</v>
      </c>
      <c r="AH358" s="134"/>
      <c r="AI358" s="155"/>
      <c r="AJ358" s="156"/>
      <c r="AK358" s="157"/>
      <c r="AM358" s="158"/>
      <c r="AN358" s="155" t="str">
        <f t="shared" si="21"/>
        <v xml:space="preserve"> </v>
      </c>
      <c r="AO358" s="156"/>
      <c r="AP358" s="157"/>
      <c r="AQ358" s="161"/>
      <c r="AR358" s="160" t="str">
        <f t="shared" si="24"/>
        <v xml:space="preserve"> </v>
      </c>
    </row>
    <row r="359" spans="1:44">
      <c r="A359" s="71"/>
      <c r="B359" s="142"/>
      <c r="C359" s="143"/>
      <c r="D359" s="143"/>
      <c r="E359" s="143"/>
      <c r="F359" s="144"/>
      <c r="G359" s="142"/>
      <c r="H359" s="144" t="str">
        <f>IF(OR(ISBLANK(I359),ISBLANK(AQ359))," ",IFERROR(VLOOKUP(CONCATENATE(I359,AQ359),Prestaciones!$E$1:$H$488,4,FALSE),IFERROR(VLOOKUP(CONCATENATE(LEFT(I359,6),AQ359),Prestaciones!$E$491:$H$836,4,FALSE),"La prestación no corresponde al grupo poblacional")))</f>
        <v xml:space="preserve"> </v>
      </c>
      <c r="I359" s="145"/>
      <c r="J359" s="145" t="str">
        <f>IF(OR(ISBLANK(I359),ISBLANK(AQ359))," ",IFERROR(VLOOKUP(CONCATENATE(I359,AQ359),Prestaciones!$E$1:$G$488,3,FALSE),IFERROR(VLOOKUP(CONCATENATE(LEFT(I359,6),AQ359),Prestaciones!$E$491:$H$836,3,FALSE),"La prestación no corresponde al grupo poblacional")))</f>
        <v xml:space="preserve"> </v>
      </c>
      <c r="K359" s="146"/>
      <c r="L359" s="146"/>
      <c r="M359" s="147"/>
      <c r="N359" s="148"/>
      <c r="O359" s="149"/>
      <c r="P359" s="150"/>
      <c r="Q359" s="151"/>
      <c r="R359" s="151"/>
      <c r="S359" s="151"/>
      <c r="T359" s="147"/>
      <c r="U359" s="147"/>
      <c r="V359" s="147"/>
      <c r="W359" s="149"/>
      <c r="X359" s="149"/>
      <c r="Y359" s="147"/>
      <c r="Z359" s="147"/>
      <c r="AA359" s="147"/>
      <c r="AB359" s="147"/>
      <c r="AC359" s="147"/>
      <c r="AD359" s="147"/>
      <c r="AE359" s="152"/>
      <c r="AF359" s="153" t="str">
        <f t="shared" si="22"/>
        <v xml:space="preserve"> </v>
      </c>
      <c r="AG359" s="154" t="str">
        <f t="shared" si="23"/>
        <v>Ingresar fuente de información</v>
      </c>
      <c r="AH359" s="134"/>
      <c r="AI359" s="155"/>
      <c r="AJ359" s="156"/>
      <c r="AK359" s="157"/>
      <c r="AM359" s="158"/>
      <c r="AN359" s="155" t="str">
        <f t="shared" si="21"/>
        <v xml:space="preserve"> </v>
      </c>
      <c r="AO359" s="156"/>
      <c r="AP359" s="157"/>
      <c r="AQ359" s="161"/>
      <c r="AR359" s="160" t="str">
        <f t="shared" si="24"/>
        <v xml:space="preserve"> </v>
      </c>
    </row>
    <row r="360" spans="1:44">
      <c r="A360" s="71"/>
      <c r="B360" s="142"/>
      <c r="C360" s="143"/>
      <c r="D360" s="143"/>
      <c r="E360" s="143"/>
      <c r="F360" s="144"/>
      <c r="G360" s="142"/>
      <c r="H360" s="144" t="str">
        <f>IF(OR(ISBLANK(I360),ISBLANK(AQ360))," ",IFERROR(VLOOKUP(CONCATENATE(I360,AQ360),Prestaciones!$E$1:$H$488,4,FALSE),IFERROR(VLOOKUP(CONCATENATE(LEFT(I360,6),AQ360),Prestaciones!$E$491:$H$836,4,FALSE),"La prestación no corresponde al grupo poblacional")))</f>
        <v xml:space="preserve"> </v>
      </c>
      <c r="I360" s="145"/>
      <c r="J360" s="145" t="str">
        <f>IF(OR(ISBLANK(I360),ISBLANK(AQ360))," ",IFERROR(VLOOKUP(CONCATENATE(I360,AQ360),Prestaciones!$E$1:$G$488,3,FALSE),IFERROR(VLOOKUP(CONCATENATE(LEFT(I360,6),AQ360),Prestaciones!$E$491:$H$836,3,FALSE),"La prestación no corresponde al grupo poblacional")))</f>
        <v xml:space="preserve"> </v>
      </c>
      <c r="K360" s="146"/>
      <c r="L360" s="146"/>
      <c r="M360" s="147"/>
      <c r="N360" s="148"/>
      <c r="O360" s="149"/>
      <c r="P360" s="150"/>
      <c r="Q360" s="151"/>
      <c r="R360" s="151"/>
      <c r="S360" s="151"/>
      <c r="T360" s="147"/>
      <c r="U360" s="147"/>
      <c r="V360" s="147"/>
      <c r="W360" s="149"/>
      <c r="X360" s="149"/>
      <c r="Y360" s="147"/>
      <c r="Z360" s="147"/>
      <c r="AA360" s="147"/>
      <c r="AB360" s="147"/>
      <c r="AC360" s="147"/>
      <c r="AD360" s="147"/>
      <c r="AE360" s="152"/>
      <c r="AF360" s="153" t="str">
        <f t="shared" si="22"/>
        <v xml:space="preserve"> </v>
      </c>
      <c r="AG360" s="154" t="str">
        <f t="shared" si="23"/>
        <v>Ingresar fuente de información</v>
      </c>
      <c r="AH360" s="134"/>
      <c r="AI360" s="155"/>
      <c r="AJ360" s="156"/>
      <c r="AK360" s="157"/>
      <c r="AM360" s="158"/>
      <c r="AN360" s="155" t="str">
        <f t="shared" si="21"/>
        <v xml:space="preserve"> </v>
      </c>
      <c r="AO360" s="156"/>
      <c r="AP360" s="157"/>
      <c r="AQ360" s="161"/>
      <c r="AR360" s="160" t="str">
        <f t="shared" si="24"/>
        <v xml:space="preserve"> </v>
      </c>
    </row>
    <row r="361" spans="1:44">
      <c r="A361" s="71"/>
      <c r="B361" s="142"/>
      <c r="C361" s="143"/>
      <c r="D361" s="143"/>
      <c r="E361" s="143"/>
      <c r="F361" s="144"/>
      <c r="G361" s="142"/>
      <c r="H361" s="144" t="str">
        <f>IF(OR(ISBLANK(I361),ISBLANK(AQ361))," ",IFERROR(VLOOKUP(CONCATENATE(I361,AQ361),Prestaciones!$E$1:$H$488,4,FALSE),IFERROR(VLOOKUP(CONCATENATE(LEFT(I361,6),AQ361),Prestaciones!$E$491:$H$836,4,FALSE),"La prestación no corresponde al grupo poblacional")))</f>
        <v xml:space="preserve"> </v>
      </c>
      <c r="I361" s="145"/>
      <c r="J361" s="145" t="str">
        <f>IF(OR(ISBLANK(I361),ISBLANK(AQ361))," ",IFERROR(VLOOKUP(CONCATENATE(I361,AQ361),Prestaciones!$E$1:$G$488,3,FALSE),IFERROR(VLOOKUP(CONCATENATE(LEFT(I361,6),AQ361),Prestaciones!$E$491:$H$836,3,FALSE),"La prestación no corresponde al grupo poblacional")))</f>
        <v xml:space="preserve"> </v>
      </c>
      <c r="K361" s="146"/>
      <c r="L361" s="146"/>
      <c r="M361" s="147"/>
      <c r="N361" s="148"/>
      <c r="O361" s="149"/>
      <c r="P361" s="150"/>
      <c r="Q361" s="151"/>
      <c r="R361" s="151"/>
      <c r="S361" s="151"/>
      <c r="T361" s="147"/>
      <c r="U361" s="147"/>
      <c r="V361" s="147"/>
      <c r="W361" s="149"/>
      <c r="X361" s="149"/>
      <c r="Y361" s="147"/>
      <c r="Z361" s="147"/>
      <c r="AA361" s="147"/>
      <c r="AB361" s="147"/>
      <c r="AC361" s="147"/>
      <c r="AD361" s="147"/>
      <c r="AE361" s="152"/>
      <c r="AF361" s="153" t="str">
        <f t="shared" si="22"/>
        <v xml:space="preserve"> </v>
      </c>
      <c r="AG361" s="154" t="str">
        <f t="shared" si="23"/>
        <v>Ingresar fuente de información</v>
      </c>
      <c r="AH361" s="134"/>
      <c r="AI361" s="155"/>
      <c r="AJ361" s="156"/>
      <c r="AK361" s="157"/>
      <c r="AM361" s="158"/>
      <c r="AN361" s="155" t="str">
        <f t="shared" si="21"/>
        <v xml:space="preserve"> </v>
      </c>
      <c r="AO361" s="156"/>
      <c r="AP361" s="157"/>
      <c r="AQ361" s="161"/>
      <c r="AR361" s="160" t="str">
        <f t="shared" si="24"/>
        <v xml:space="preserve"> </v>
      </c>
    </row>
    <row r="362" spans="1:44">
      <c r="A362" s="71"/>
      <c r="B362" s="142"/>
      <c r="C362" s="143"/>
      <c r="D362" s="143"/>
      <c r="E362" s="143"/>
      <c r="F362" s="144"/>
      <c r="G362" s="142"/>
      <c r="H362" s="144" t="str">
        <f>IF(OR(ISBLANK(I362),ISBLANK(AQ362))," ",IFERROR(VLOOKUP(CONCATENATE(I362,AQ362),Prestaciones!$E$1:$H$488,4,FALSE),IFERROR(VLOOKUP(CONCATENATE(LEFT(I362,6),AQ362),Prestaciones!$E$491:$H$836,4,FALSE),"La prestación no corresponde al grupo poblacional")))</f>
        <v xml:space="preserve"> </v>
      </c>
      <c r="I362" s="145"/>
      <c r="J362" s="145" t="str">
        <f>IF(OR(ISBLANK(I362),ISBLANK(AQ362))," ",IFERROR(VLOOKUP(CONCATENATE(I362,AQ362),Prestaciones!$E$1:$G$488,3,FALSE),IFERROR(VLOOKUP(CONCATENATE(LEFT(I362,6),AQ362),Prestaciones!$E$491:$H$836,3,FALSE),"La prestación no corresponde al grupo poblacional")))</f>
        <v xml:space="preserve"> </v>
      </c>
      <c r="K362" s="146"/>
      <c r="L362" s="146"/>
      <c r="M362" s="147"/>
      <c r="N362" s="148"/>
      <c r="O362" s="149"/>
      <c r="P362" s="150"/>
      <c r="Q362" s="151"/>
      <c r="R362" s="151"/>
      <c r="S362" s="151"/>
      <c r="T362" s="147"/>
      <c r="U362" s="147"/>
      <c r="V362" s="147"/>
      <c r="W362" s="149"/>
      <c r="X362" s="149"/>
      <c r="Y362" s="147"/>
      <c r="Z362" s="147"/>
      <c r="AA362" s="147"/>
      <c r="AB362" s="147"/>
      <c r="AC362" s="147"/>
      <c r="AD362" s="147"/>
      <c r="AE362" s="152"/>
      <c r="AF362" s="153" t="str">
        <f t="shared" si="22"/>
        <v xml:space="preserve"> </v>
      </c>
      <c r="AG362" s="154" t="str">
        <f t="shared" si="23"/>
        <v>Ingresar fuente de información</v>
      </c>
      <c r="AH362" s="134"/>
      <c r="AI362" s="155"/>
      <c r="AJ362" s="156"/>
      <c r="AK362" s="157"/>
      <c r="AM362" s="158"/>
      <c r="AN362" s="155" t="str">
        <f t="shared" si="21"/>
        <v xml:space="preserve"> </v>
      </c>
      <c r="AO362" s="156"/>
      <c r="AP362" s="157"/>
      <c r="AQ362" s="161"/>
      <c r="AR362" s="160" t="str">
        <f t="shared" si="24"/>
        <v xml:space="preserve"> </v>
      </c>
    </row>
    <row r="363" spans="1:44">
      <c r="A363" s="71"/>
      <c r="B363" s="142"/>
      <c r="C363" s="143"/>
      <c r="D363" s="143"/>
      <c r="E363" s="143"/>
      <c r="F363" s="144"/>
      <c r="G363" s="142"/>
      <c r="H363" s="144" t="str">
        <f>IF(OR(ISBLANK(I363),ISBLANK(AQ363))," ",IFERROR(VLOOKUP(CONCATENATE(I363,AQ363),Prestaciones!$E$1:$H$488,4,FALSE),IFERROR(VLOOKUP(CONCATENATE(LEFT(I363,6),AQ363),Prestaciones!$E$491:$H$836,4,FALSE),"La prestación no corresponde al grupo poblacional")))</f>
        <v xml:space="preserve"> </v>
      </c>
      <c r="I363" s="145"/>
      <c r="J363" s="145" t="str">
        <f>IF(OR(ISBLANK(I363),ISBLANK(AQ363))," ",IFERROR(VLOOKUP(CONCATENATE(I363,AQ363),Prestaciones!$E$1:$G$488,3,FALSE),IFERROR(VLOOKUP(CONCATENATE(LEFT(I363,6),AQ363),Prestaciones!$E$491:$H$836,3,FALSE),"La prestación no corresponde al grupo poblacional")))</f>
        <v xml:space="preserve"> </v>
      </c>
      <c r="K363" s="146"/>
      <c r="L363" s="146"/>
      <c r="M363" s="147"/>
      <c r="N363" s="148"/>
      <c r="O363" s="149"/>
      <c r="P363" s="150"/>
      <c r="Q363" s="151"/>
      <c r="R363" s="151"/>
      <c r="S363" s="151"/>
      <c r="T363" s="147"/>
      <c r="U363" s="147"/>
      <c r="V363" s="147"/>
      <c r="W363" s="149"/>
      <c r="X363" s="149"/>
      <c r="Y363" s="147"/>
      <c r="Z363" s="147"/>
      <c r="AA363" s="147"/>
      <c r="AB363" s="147"/>
      <c r="AC363" s="147"/>
      <c r="AD363" s="147"/>
      <c r="AE363" s="152"/>
      <c r="AF363" s="153" t="str">
        <f t="shared" si="22"/>
        <v xml:space="preserve"> </v>
      </c>
      <c r="AG363" s="154" t="str">
        <f t="shared" si="23"/>
        <v>Ingresar fuente de información</v>
      </c>
      <c r="AH363" s="134"/>
      <c r="AI363" s="155"/>
      <c r="AJ363" s="156"/>
      <c r="AK363" s="157"/>
      <c r="AM363" s="158"/>
      <c r="AN363" s="155" t="str">
        <f t="shared" si="21"/>
        <v xml:space="preserve"> </v>
      </c>
      <c r="AO363" s="156"/>
      <c r="AP363" s="157"/>
      <c r="AQ363" s="161"/>
      <c r="AR363" s="160" t="str">
        <f t="shared" si="24"/>
        <v xml:space="preserve"> </v>
      </c>
    </row>
    <row r="364" spans="1:44">
      <c r="A364" s="71"/>
      <c r="B364" s="142"/>
      <c r="C364" s="143"/>
      <c r="D364" s="143"/>
      <c r="E364" s="143"/>
      <c r="F364" s="144"/>
      <c r="G364" s="142"/>
      <c r="H364" s="144" t="str">
        <f>IF(OR(ISBLANK(I364),ISBLANK(AQ364))," ",IFERROR(VLOOKUP(CONCATENATE(I364,AQ364),Prestaciones!$E$1:$H$488,4,FALSE),IFERROR(VLOOKUP(CONCATENATE(LEFT(I364,6),AQ364),Prestaciones!$E$491:$H$836,4,FALSE),"La prestación no corresponde al grupo poblacional")))</f>
        <v xml:space="preserve"> </v>
      </c>
      <c r="I364" s="145"/>
      <c r="J364" s="145" t="str">
        <f>IF(OR(ISBLANK(I364),ISBLANK(AQ364))," ",IFERROR(VLOOKUP(CONCATENATE(I364,AQ364),Prestaciones!$E$1:$G$488,3,FALSE),IFERROR(VLOOKUP(CONCATENATE(LEFT(I364,6),AQ364),Prestaciones!$E$491:$H$836,3,FALSE),"La prestación no corresponde al grupo poblacional")))</f>
        <v xml:space="preserve"> </v>
      </c>
      <c r="K364" s="146"/>
      <c r="L364" s="146"/>
      <c r="M364" s="147"/>
      <c r="N364" s="148"/>
      <c r="O364" s="149"/>
      <c r="P364" s="150"/>
      <c r="Q364" s="151"/>
      <c r="R364" s="151"/>
      <c r="S364" s="151"/>
      <c r="T364" s="147"/>
      <c r="U364" s="147"/>
      <c r="V364" s="147"/>
      <c r="W364" s="149"/>
      <c r="X364" s="149"/>
      <c r="Y364" s="147"/>
      <c r="Z364" s="147"/>
      <c r="AA364" s="147"/>
      <c r="AB364" s="147"/>
      <c r="AC364" s="147"/>
      <c r="AD364" s="147"/>
      <c r="AE364" s="152"/>
      <c r="AF364" s="153" t="str">
        <f t="shared" si="22"/>
        <v xml:space="preserve"> </v>
      </c>
      <c r="AG364" s="154" t="str">
        <f t="shared" si="23"/>
        <v>Ingresar fuente de información</v>
      </c>
      <c r="AH364" s="134"/>
      <c r="AI364" s="155"/>
      <c r="AJ364" s="156"/>
      <c r="AK364" s="157"/>
      <c r="AM364" s="158"/>
      <c r="AN364" s="155" t="str">
        <f t="shared" si="21"/>
        <v xml:space="preserve"> </v>
      </c>
      <c r="AO364" s="156"/>
      <c r="AP364" s="157"/>
      <c r="AQ364" s="161"/>
      <c r="AR364" s="160" t="str">
        <f t="shared" si="24"/>
        <v xml:space="preserve"> </v>
      </c>
    </row>
    <row r="365" spans="1:44">
      <c r="A365" s="71"/>
      <c r="B365" s="142"/>
      <c r="C365" s="143"/>
      <c r="D365" s="143"/>
      <c r="E365" s="143"/>
      <c r="F365" s="144"/>
      <c r="G365" s="142"/>
      <c r="H365" s="144" t="str">
        <f>IF(OR(ISBLANK(I365),ISBLANK(AQ365))," ",IFERROR(VLOOKUP(CONCATENATE(I365,AQ365),Prestaciones!$E$1:$H$488,4,FALSE),IFERROR(VLOOKUP(CONCATENATE(LEFT(I365,6),AQ365),Prestaciones!$E$491:$H$836,4,FALSE),"La prestación no corresponde al grupo poblacional")))</f>
        <v xml:space="preserve"> </v>
      </c>
      <c r="I365" s="145"/>
      <c r="J365" s="145" t="str">
        <f>IF(OR(ISBLANK(I365),ISBLANK(AQ365))," ",IFERROR(VLOOKUP(CONCATENATE(I365,AQ365),Prestaciones!$E$1:$G$488,3,FALSE),IFERROR(VLOOKUP(CONCATENATE(LEFT(I365,6),AQ365),Prestaciones!$E$491:$H$836,3,FALSE),"La prestación no corresponde al grupo poblacional")))</f>
        <v xml:space="preserve"> </v>
      </c>
      <c r="K365" s="146"/>
      <c r="L365" s="146"/>
      <c r="M365" s="147"/>
      <c r="N365" s="148"/>
      <c r="O365" s="149"/>
      <c r="P365" s="150"/>
      <c r="Q365" s="151"/>
      <c r="R365" s="151"/>
      <c r="S365" s="151"/>
      <c r="T365" s="147"/>
      <c r="U365" s="147"/>
      <c r="V365" s="147"/>
      <c r="W365" s="149"/>
      <c r="X365" s="149"/>
      <c r="Y365" s="147"/>
      <c r="Z365" s="147"/>
      <c r="AA365" s="147"/>
      <c r="AB365" s="147"/>
      <c r="AC365" s="147"/>
      <c r="AD365" s="147"/>
      <c r="AE365" s="152"/>
      <c r="AF365" s="153" t="str">
        <f t="shared" si="22"/>
        <v xml:space="preserve"> </v>
      </c>
      <c r="AG365" s="154" t="str">
        <f t="shared" si="23"/>
        <v>Ingresar fuente de información</v>
      </c>
      <c r="AH365" s="134"/>
      <c r="AI365" s="155"/>
      <c r="AJ365" s="156"/>
      <c r="AK365" s="157"/>
      <c r="AM365" s="158"/>
      <c r="AN365" s="155" t="str">
        <f t="shared" si="21"/>
        <v xml:space="preserve"> </v>
      </c>
      <c r="AO365" s="156"/>
      <c r="AP365" s="157"/>
      <c r="AQ365" s="161"/>
      <c r="AR365" s="160" t="str">
        <f t="shared" si="24"/>
        <v xml:space="preserve"> </v>
      </c>
    </row>
    <row r="366" spans="1:44">
      <c r="A366" s="71"/>
      <c r="B366" s="142"/>
      <c r="C366" s="143"/>
      <c r="D366" s="143"/>
      <c r="E366" s="143"/>
      <c r="F366" s="144"/>
      <c r="G366" s="142"/>
      <c r="H366" s="144" t="str">
        <f>IF(OR(ISBLANK(I366),ISBLANK(AQ366))," ",IFERROR(VLOOKUP(CONCATENATE(I366,AQ366),Prestaciones!$E$1:$H$488,4,FALSE),IFERROR(VLOOKUP(CONCATENATE(LEFT(I366,6),AQ366),Prestaciones!$E$491:$H$836,4,FALSE),"La prestación no corresponde al grupo poblacional")))</f>
        <v xml:space="preserve"> </v>
      </c>
      <c r="I366" s="145"/>
      <c r="J366" s="145" t="str">
        <f>IF(OR(ISBLANK(I366),ISBLANK(AQ366))," ",IFERROR(VLOOKUP(CONCATENATE(I366,AQ366),Prestaciones!$E$1:$G$488,3,FALSE),IFERROR(VLOOKUP(CONCATENATE(LEFT(I366,6),AQ366),Prestaciones!$E$491:$H$836,3,FALSE),"La prestación no corresponde al grupo poblacional")))</f>
        <v xml:space="preserve"> </v>
      </c>
      <c r="K366" s="146"/>
      <c r="L366" s="146"/>
      <c r="M366" s="147"/>
      <c r="N366" s="148"/>
      <c r="O366" s="149"/>
      <c r="P366" s="150"/>
      <c r="Q366" s="151"/>
      <c r="R366" s="151"/>
      <c r="S366" s="151"/>
      <c r="T366" s="147"/>
      <c r="U366" s="147"/>
      <c r="V366" s="147"/>
      <c r="W366" s="149"/>
      <c r="X366" s="149"/>
      <c r="Y366" s="147"/>
      <c r="Z366" s="147"/>
      <c r="AA366" s="147"/>
      <c r="AB366" s="147"/>
      <c r="AC366" s="147"/>
      <c r="AD366" s="147"/>
      <c r="AE366" s="152"/>
      <c r="AF366" s="153" t="str">
        <f t="shared" si="22"/>
        <v xml:space="preserve"> </v>
      </c>
      <c r="AG366" s="154" t="str">
        <f t="shared" si="23"/>
        <v>Ingresar fuente de información</v>
      </c>
      <c r="AH366" s="134"/>
      <c r="AI366" s="155"/>
      <c r="AJ366" s="156"/>
      <c r="AK366" s="157"/>
      <c r="AM366" s="158"/>
      <c r="AN366" s="155" t="str">
        <f t="shared" si="21"/>
        <v xml:space="preserve"> </v>
      </c>
      <c r="AO366" s="156"/>
      <c r="AP366" s="157"/>
      <c r="AQ366" s="161"/>
      <c r="AR366" s="160" t="str">
        <f t="shared" si="24"/>
        <v xml:space="preserve"> </v>
      </c>
    </row>
    <row r="367" spans="1:44">
      <c r="A367" s="71"/>
      <c r="B367" s="142"/>
      <c r="C367" s="143"/>
      <c r="D367" s="143"/>
      <c r="E367" s="143"/>
      <c r="F367" s="144"/>
      <c r="G367" s="142"/>
      <c r="H367" s="144" t="str">
        <f>IF(OR(ISBLANK(I367),ISBLANK(AQ367))," ",IFERROR(VLOOKUP(CONCATENATE(I367,AQ367),Prestaciones!$E$1:$H$488,4,FALSE),IFERROR(VLOOKUP(CONCATENATE(LEFT(I367,6),AQ367),Prestaciones!$E$491:$H$836,4,FALSE),"La prestación no corresponde al grupo poblacional")))</f>
        <v xml:space="preserve"> </v>
      </c>
      <c r="I367" s="145"/>
      <c r="J367" s="145" t="str">
        <f>IF(OR(ISBLANK(I367),ISBLANK(AQ367))," ",IFERROR(VLOOKUP(CONCATENATE(I367,AQ367),Prestaciones!$E$1:$G$488,3,FALSE),IFERROR(VLOOKUP(CONCATENATE(LEFT(I367,6),AQ367),Prestaciones!$E$491:$H$836,3,FALSE),"La prestación no corresponde al grupo poblacional")))</f>
        <v xml:space="preserve"> </v>
      </c>
      <c r="K367" s="146"/>
      <c r="L367" s="146"/>
      <c r="M367" s="147"/>
      <c r="N367" s="148"/>
      <c r="O367" s="149"/>
      <c r="P367" s="150"/>
      <c r="Q367" s="151"/>
      <c r="R367" s="151"/>
      <c r="S367" s="151"/>
      <c r="T367" s="147"/>
      <c r="U367" s="147"/>
      <c r="V367" s="147"/>
      <c r="W367" s="149"/>
      <c r="X367" s="149"/>
      <c r="Y367" s="147"/>
      <c r="Z367" s="147"/>
      <c r="AA367" s="147"/>
      <c r="AB367" s="147"/>
      <c r="AC367" s="147"/>
      <c r="AD367" s="147"/>
      <c r="AE367" s="152"/>
      <c r="AF367" s="153" t="str">
        <f t="shared" si="22"/>
        <v xml:space="preserve"> </v>
      </c>
      <c r="AG367" s="154" t="str">
        <f t="shared" si="23"/>
        <v>Ingresar fuente de información</v>
      </c>
      <c r="AH367" s="134"/>
      <c r="AI367" s="155"/>
      <c r="AJ367" s="156"/>
      <c r="AK367" s="157"/>
      <c r="AM367" s="158"/>
      <c r="AN367" s="155" t="str">
        <f t="shared" si="21"/>
        <v xml:space="preserve"> </v>
      </c>
      <c r="AO367" s="156"/>
      <c r="AP367" s="157"/>
      <c r="AQ367" s="161"/>
      <c r="AR367" s="160" t="str">
        <f t="shared" si="24"/>
        <v xml:space="preserve"> </v>
      </c>
    </row>
    <row r="368" spans="1:44">
      <c r="A368" s="71"/>
      <c r="B368" s="142"/>
      <c r="C368" s="143"/>
      <c r="D368" s="143"/>
      <c r="E368" s="143"/>
      <c r="F368" s="144"/>
      <c r="G368" s="142"/>
      <c r="H368" s="144" t="str">
        <f>IF(OR(ISBLANK(I368),ISBLANK(AQ368))," ",IFERROR(VLOOKUP(CONCATENATE(I368,AQ368),Prestaciones!$E$1:$H$488,4,FALSE),IFERROR(VLOOKUP(CONCATENATE(LEFT(I368,6),AQ368),Prestaciones!$E$491:$H$836,4,FALSE),"La prestación no corresponde al grupo poblacional")))</f>
        <v xml:space="preserve"> </v>
      </c>
      <c r="I368" s="145"/>
      <c r="J368" s="145" t="str">
        <f>IF(OR(ISBLANK(I368),ISBLANK(AQ368))," ",IFERROR(VLOOKUP(CONCATENATE(I368,AQ368),Prestaciones!$E$1:$G$488,3,FALSE),IFERROR(VLOOKUP(CONCATENATE(LEFT(I368,6),AQ368),Prestaciones!$E$491:$H$836,3,FALSE),"La prestación no corresponde al grupo poblacional")))</f>
        <v xml:space="preserve"> </v>
      </c>
      <c r="K368" s="146"/>
      <c r="L368" s="146"/>
      <c r="M368" s="147"/>
      <c r="N368" s="148"/>
      <c r="O368" s="149"/>
      <c r="P368" s="150"/>
      <c r="Q368" s="151"/>
      <c r="R368" s="151"/>
      <c r="S368" s="151"/>
      <c r="T368" s="147"/>
      <c r="U368" s="147"/>
      <c r="V368" s="147"/>
      <c r="W368" s="149"/>
      <c r="X368" s="149"/>
      <c r="Y368" s="147"/>
      <c r="Z368" s="147"/>
      <c r="AA368" s="147"/>
      <c r="AB368" s="147"/>
      <c r="AC368" s="147"/>
      <c r="AD368" s="147"/>
      <c r="AE368" s="152"/>
      <c r="AF368" s="153" t="str">
        <f t="shared" si="22"/>
        <v xml:space="preserve"> </v>
      </c>
      <c r="AG368" s="154" t="str">
        <f t="shared" si="23"/>
        <v>Ingresar fuente de información</v>
      </c>
      <c r="AH368" s="134"/>
      <c r="AI368" s="155"/>
      <c r="AJ368" s="156"/>
      <c r="AK368" s="157"/>
      <c r="AM368" s="158"/>
      <c r="AN368" s="155" t="str">
        <f t="shared" si="21"/>
        <v xml:space="preserve"> </v>
      </c>
      <c r="AO368" s="156"/>
      <c r="AP368" s="157"/>
      <c r="AQ368" s="161"/>
      <c r="AR368" s="160" t="str">
        <f t="shared" si="24"/>
        <v xml:space="preserve"> </v>
      </c>
    </row>
    <row r="369" spans="1:44">
      <c r="A369" s="71"/>
      <c r="B369" s="142"/>
      <c r="C369" s="143"/>
      <c r="D369" s="143"/>
      <c r="E369" s="143"/>
      <c r="F369" s="144"/>
      <c r="G369" s="142"/>
      <c r="H369" s="144" t="str">
        <f>IF(OR(ISBLANK(I369),ISBLANK(AQ369))," ",IFERROR(VLOOKUP(CONCATENATE(I369,AQ369),Prestaciones!$E$1:$H$488,4,FALSE),IFERROR(VLOOKUP(CONCATENATE(LEFT(I369,6),AQ369),Prestaciones!$E$491:$H$836,4,FALSE),"La prestación no corresponde al grupo poblacional")))</f>
        <v xml:space="preserve"> </v>
      </c>
      <c r="I369" s="145"/>
      <c r="J369" s="145" t="str">
        <f>IF(OR(ISBLANK(I369),ISBLANK(AQ369))," ",IFERROR(VLOOKUP(CONCATENATE(I369,AQ369),Prestaciones!$E$1:$G$488,3,FALSE),IFERROR(VLOOKUP(CONCATENATE(LEFT(I369,6),AQ369),Prestaciones!$E$491:$H$836,3,FALSE),"La prestación no corresponde al grupo poblacional")))</f>
        <v xml:space="preserve"> </v>
      </c>
      <c r="K369" s="146"/>
      <c r="L369" s="146"/>
      <c r="M369" s="147"/>
      <c r="N369" s="148"/>
      <c r="O369" s="149"/>
      <c r="P369" s="150"/>
      <c r="Q369" s="151"/>
      <c r="R369" s="151"/>
      <c r="S369" s="151"/>
      <c r="T369" s="147"/>
      <c r="U369" s="147"/>
      <c r="V369" s="147"/>
      <c r="W369" s="149"/>
      <c r="X369" s="149"/>
      <c r="Y369" s="147"/>
      <c r="Z369" s="147"/>
      <c r="AA369" s="147"/>
      <c r="AB369" s="147"/>
      <c r="AC369" s="147"/>
      <c r="AD369" s="147"/>
      <c r="AE369" s="152"/>
      <c r="AF369" s="153" t="str">
        <f t="shared" si="22"/>
        <v xml:space="preserve"> </v>
      </c>
      <c r="AG369" s="154" t="str">
        <f t="shared" si="23"/>
        <v>Ingresar fuente de información</v>
      </c>
      <c r="AH369" s="134"/>
      <c r="AI369" s="155"/>
      <c r="AJ369" s="156"/>
      <c r="AK369" s="157"/>
      <c r="AM369" s="158"/>
      <c r="AN369" s="155" t="str">
        <f t="shared" si="21"/>
        <v xml:space="preserve"> </v>
      </c>
      <c r="AO369" s="156"/>
      <c r="AP369" s="157"/>
      <c r="AQ369" s="161"/>
      <c r="AR369" s="160" t="str">
        <f t="shared" si="24"/>
        <v xml:space="preserve"> </v>
      </c>
    </row>
    <row r="370" spans="1:44">
      <c r="A370" s="71"/>
      <c r="B370" s="142"/>
      <c r="C370" s="143"/>
      <c r="D370" s="143"/>
      <c r="E370" s="143"/>
      <c r="F370" s="144"/>
      <c r="G370" s="142"/>
      <c r="H370" s="144" t="str">
        <f>IF(OR(ISBLANK(I370),ISBLANK(AQ370))," ",IFERROR(VLOOKUP(CONCATENATE(I370,AQ370),Prestaciones!$E$1:$H$488,4,FALSE),IFERROR(VLOOKUP(CONCATENATE(LEFT(I370,6),AQ370),Prestaciones!$E$491:$H$836,4,FALSE),"La prestación no corresponde al grupo poblacional")))</f>
        <v xml:space="preserve"> </v>
      </c>
      <c r="I370" s="145"/>
      <c r="J370" s="145" t="str">
        <f>IF(OR(ISBLANK(I370),ISBLANK(AQ370))," ",IFERROR(VLOOKUP(CONCATENATE(I370,AQ370),Prestaciones!$E$1:$G$488,3,FALSE),IFERROR(VLOOKUP(CONCATENATE(LEFT(I370,6),AQ370),Prestaciones!$E$491:$H$836,3,FALSE),"La prestación no corresponde al grupo poblacional")))</f>
        <v xml:space="preserve"> </v>
      </c>
      <c r="K370" s="146"/>
      <c r="L370" s="146"/>
      <c r="M370" s="147"/>
      <c r="N370" s="148"/>
      <c r="O370" s="149"/>
      <c r="P370" s="150"/>
      <c r="Q370" s="151"/>
      <c r="R370" s="151"/>
      <c r="S370" s="151"/>
      <c r="T370" s="147"/>
      <c r="U370" s="147"/>
      <c r="V370" s="147"/>
      <c r="W370" s="149"/>
      <c r="X370" s="149"/>
      <c r="Y370" s="147"/>
      <c r="Z370" s="147"/>
      <c r="AA370" s="147"/>
      <c r="AB370" s="147"/>
      <c r="AC370" s="147"/>
      <c r="AD370" s="147"/>
      <c r="AE370" s="152"/>
      <c r="AF370" s="153" t="str">
        <f t="shared" si="22"/>
        <v xml:space="preserve"> </v>
      </c>
      <c r="AG370" s="154" t="str">
        <f t="shared" si="23"/>
        <v>Ingresar fuente de información</v>
      </c>
      <c r="AH370" s="134"/>
      <c r="AI370" s="155"/>
      <c r="AJ370" s="156"/>
      <c r="AK370" s="157"/>
      <c r="AM370" s="158"/>
      <c r="AN370" s="155" t="str">
        <f t="shared" si="21"/>
        <v xml:space="preserve"> </v>
      </c>
      <c r="AO370" s="156"/>
      <c r="AP370" s="157"/>
      <c r="AQ370" s="161"/>
      <c r="AR370" s="160" t="str">
        <f t="shared" si="24"/>
        <v xml:space="preserve"> </v>
      </c>
    </row>
    <row r="371" spans="1:44">
      <c r="A371" s="71"/>
      <c r="B371" s="142"/>
      <c r="C371" s="143"/>
      <c r="D371" s="143"/>
      <c r="E371" s="143"/>
      <c r="F371" s="144"/>
      <c r="G371" s="142"/>
      <c r="H371" s="144" t="str">
        <f>IF(OR(ISBLANK(I371),ISBLANK(AQ371))," ",IFERROR(VLOOKUP(CONCATENATE(I371,AQ371),Prestaciones!$E$1:$H$488,4,FALSE),IFERROR(VLOOKUP(CONCATENATE(LEFT(I371,6),AQ371),Prestaciones!$E$491:$H$836,4,FALSE),"La prestación no corresponde al grupo poblacional")))</f>
        <v xml:space="preserve"> </v>
      </c>
      <c r="I371" s="145"/>
      <c r="J371" s="145" t="str">
        <f>IF(OR(ISBLANK(I371),ISBLANK(AQ371))," ",IFERROR(VLOOKUP(CONCATENATE(I371,AQ371),Prestaciones!$E$1:$G$488,3,FALSE),IFERROR(VLOOKUP(CONCATENATE(LEFT(I371,6),AQ371),Prestaciones!$E$491:$H$836,3,FALSE),"La prestación no corresponde al grupo poblacional")))</f>
        <v xml:space="preserve"> </v>
      </c>
      <c r="K371" s="146"/>
      <c r="L371" s="146"/>
      <c r="M371" s="147"/>
      <c r="N371" s="148"/>
      <c r="O371" s="149"/>
      <c r="P371" s="150"/>
      <c r="Q371" s="151"/>
      <c r="R371" s="151"/>
      <c r="S371" s="151"/>
      <c r="T371" s="147"/>
      <c r="U371" s="147"/>
      <c r="V371" s="147"/>
      <c r="W371" s="149"/>
      <c r="X371" s="149"/>
      <c r="Y371" s="147"/>
      <c r="Z371" s="147"/>
      <c r="AA371" s="147"/>
      <c r="AB371" s="147"/>
      <c r="AC371" s="147"/>
      <c r="AD371" s="147"/>
      <c r="AE371" s="152"/>
      <c r="AF371" s="153" t="str">
        <f t="shared" si="22"/>
        <v xml:space="preserve"> </v>
      </c>
      <c r="AG371" s="154" t="str">
        <f t="shared" si="23"/>
        <v>Ingresar fuente de información</v>
      </c>
      <c r="AH371" s="134"/>
      <c r="AI371" s="155"/>
      <c r="AJ371" s="156"/>
      <c r="AK371" s="157"/>
      <c r="AM371" s="158"/>
      <c r="AN371" s="155" t="str">
        <f t="shared" si="21"/>
        <v xml:space="preserve"> </v>
      </c>
      <c r="AO371" s="156"/>
      <c r="AP371" s="157"/>
      <c r="AQ371" s="161"/>
      <c r="AR371" s="160" t="str">
        <f t="shared" si="24"/>
        <v xml:space="preserve"> </v>
      </c>
    </row>
    <row r="372" spans="1:44">
      <c r="A372" s="71"/>
      <c r="B372" s="142"/>
      <c r="C372" s="143"/>
      <c r="D372" s="143"/>
      <c r="E372" s="143"/>
      <c r="F372" s="144"/>
      <c r="G372" s="142"/>
      <c r="H372" s="144" t="str">
        <f>IF(OR(ISBLANK(I372),ISBLANK(AQ372))," ",IFERROR(VLOOKUP(CONCATENATE(I372,AQ372),Prestaciones!$E$1:$H$488,4,FALSE),IFERROR(VLOOKUP(CONCATENATE(LEFT(I372,6),AQ372),Prestaciones!$E$491:$H$836,4,FALSE),"La prestación no corresponde al grupo poblacional")))</f>
        <v xml:space="preserve"> </v>
      </c>
      <c r="I372" s="145"/>
      <c r="J372" s="145" t="str">
        <f>IF(OR(ISBLANK(I372),ISBLANK(AQ372))," ",IFERROR(VLOOKUP(CONCATENATE(I372,AQ372),Prestaciones!$E$1:$G$488,3,FALSE),IFERROR(VLOOKUP(CONCATENATE(LEFT(I372,6),AQ372),Prestaciones!$E$491:$H$836,3,FALSE),"La prestación no corresponde al grupo poblacional")))</f>
        <v xml:space="preserve"> </v>
      </c>
      <c r="K372" s="146"/>
      <c r="L372" s="146"/>
      <c r="M372" s="147"/>
      <c r="N372" s="148"/>
      <c r="O372" s="149"/>
      <c r="P372" s="150"/>
      <c r="Q372" s="151"/>
      <c r="R372" s="151"/>
      <c r="S372" s="151"/>
      <c r="T372" s="147"/>
      <c r="U372" s="147"/>
      <c r="V372" s="147"/>
      <c r="W372" s="149"/>
      <c r="X372" s="149"/>
      <c r="Y372" s="147"/>
      <c r="Z372" s="147"/>
      <c r="AA372" s="147"/>
      <c r="AB372" s="147"/>
      <c r="AC372" s="147"/>
      <c r="AD372" s="147"/>
      <c r="AE372" s="152"/>
      <c r="AF372" s="153" t="str">
        <f t="shared" si="22"/>
        <v xml:space="preserve"> </v>
      </c>
      <c r="AG372" s="154" t="str">
        <f t="shared" si="23"/>
        <v>Ingresar fuente de información</v>
      </c>
      <c r="AH372" s="134"/>
      <c r="AI372" s="155"/>
      <c r="AJ372" s="156"/>
      <c r="AK372" s="157"/>
      <c r="AM372" s="158"/>
      <c r="AN372" s="155" t="str">
        <f t="shared" si="21"/>
        <v xml:space="preserve"> </v>
      </c>
      <c r="AO372" s="156"/>
      <c r="AP372" s="157"/>
      <c r="AQ372" s="161"/>
      <c r="AR372" s="160" t="str">
        <f t="shared" ref="AR372:AR414" si="25">IF(ISBLANK(P372)," ",IF(AND(AF372&lt;10),"Niños",IF(AND(AF372&gt;=10,AF372&lt;20),"Adolescentes",IF(AND(AF372&gt;=20,AF372&lt;65),"Adultos","No valido"))))</f>
        <v xml:space="preserve"> </v>
      </c>
    </row>
    <row r="373" spans="1:44">
      <c r="A373" s="71"/>
      <c r="B373" s="142"/>
      <c r="C373" s="143"/>
      <c r="D373" s="143"/>
      <c r="E373" s="143"/>
      <c r="F373" s="144"/>
      <c r="G373" s="142"/>
      <c r="H373" s="144" t="str">
        <f>IF(OR(ISBLANK(I373),ISBLANK(AQ373))," ",IFERROR(VLOOKUP(CONCATENATE(I373,AQ373),Prestaciones!$E$1:$H$488,4,FALSE),IFERROR(VLOOKUP(CONCATENATE(LEFT(I373,6),AQ373),Prestaciones!$E$491:$H$836,4,FALSE),"La prestación no corresponde al grupo poblacional")))</f>
        <v xml:space="preserve"> </v>
      </c>
      <c r="I373" s="145"/>
      <c r="J373" s="145" t="str">
        <f>IF(OR(ISBLANK(I373),ISBLANK(AQ373))," ",IFERROR(VLOOKUP(CONCATENATE(I373,AQ373),Prestaciones!$E$1:$G$488,3,FALSE),IFERROR(VLOOKUP(CONCATENATE(LEFT(I373,6),AQ373),Prestaciones!$E$491:$H$836,3,FALSE),"La prestación no corresponde al grupo poblacional")))</f>
        <v xml:space="preserve"> </v>
      </c>
      <c r="K373" s="146"/>
      <c r="L373" s="146"/>
      <c r="M373" s="147"/>
      <c r="N373" s="148"/>
      <c r="O373" s="149"/>
      <c r="P373" s="150"/>
      <c r="Q373" s="151"/>
      <c r="R373" s="151"/>
      <c r="S373" s="151"/>
      <c r="T373" s="147"/>
      <c r="U373" s="147"/>
      <c r="V373" s="147"/>
      <c r="W373" s="149"/>
      <c r="X373" s="149"/>
      <c r="Y373" s="147"/>
      <c r="Z373" s="147"/>
      <c r="AA373" s="147"/>
      <c r="AB373" s="147"/>
      <c r="AC373" s="147"/>
      <c r="AD373" s="147"/>
      <c r="AE373" s="152"/>
      <c r="AF373" s="153" t="str">
        <f t="shared" si="22"/>
        <v xml:space="preserve"> </v>
      </c>
      <c r="AG373" s="154" t="str">
        <f t="shared" si="23"/>
        <v>Ingresar fuente de información</v>
      </c>
      <c r="AH373" s="134"/>
      <c r="AI373" s="155"/>
      <c r="AJ373" s="156"/>
      <c r="AK373" s="157"/>
      <c r="AM373" s="158"/>
      <c r="AN373" s="155" t="str">
        <f t="shared" si="21"/>
        <v xml:space="preserve"> </v>
      </c>
      <c r="AO373" s="156"/>
      <c r="AP373" s="157"/>
      <c r="AQ373" s="161"/>
      <c r="AR373" s="160" t="str">
        <f t="shared" si="25"/>
        <v xml:space="preserve"> </v>
      </c>
    </row>
    <row r="374" spans="1:44">
      <c r="A374" s="71"/>
      <c r="B374" s="142"/>
      <c r="C374" s="143"/>
      <c r="D374" s="143"/>
      <c r="E374" s="143"/>
      <c r="F374" s="144"/>
      <c r="G374" s="142"/>
      <c r="H374" s="144" t="str">
        <f>IF(OR(ISBLANK(I374),ISBLANK(AQ374))," ",IFERROR(VLOOKUP(CONCATENATE(I374,AQ374),Prestaciones!$E$1:$H$488,4,FALSE),IFERROR(VLOOKUP(CONCATENATE(LEFT(I374,6),AQ374),Prestaciones!$E$491:$H$836,4,FALSE),"La prestación no corresponde al grupo poblacional")))</f>
        <v xml:space="preserve"> </v>
      </c>
      <c r="I374" s="145"/>
      <c r="J374" s="145" t="str">
        <f>IF(OR(ISBLANK(I374),ISBLANK(AQ374))," ",IFERROR(VLOOKUP(CONCATENATE(I374,AQ374),Prestaciones!$E$1:$G$488,3,FALSE),IFERROR(VLOOKUP(CONCATENATE(LEFT(I374,6),AQ374),Prestaciones!$E$491:$H$836,3,FALSE),"La prestación no corresponde al grupo poblacional")))</f>
        <v xml:space="preserve"> </v>
      </c>
      <c r="K374" s="146"/>
      <c r="L374" s="146"/>
      <c r="M374" s="147"/>
      <c r="N374" s="148"/>
      <c r="O374" s="149"/>
      <c r="P374" s="150"/>
      <c r="Q374" s="151"/>
      <c r="R374" s="151"/>
      <c r="S374" s="151"/>
      <c r="T374" s="147"/>
      <c r="U374" s="147"/>
      <c r="V374" s="147"/>
      <c r="W374" s="149"/>
      <c r="X374" s="149"/>
      <c r="Y374" s="147"/>
      <c r="Z374" s="147"/>
      <c r="AA374" s="147"/>
      <c r="AB374" s="147"/>
      <c r="AC374" s="147"/>
      <c r="AD374" s="147"/>
      <c r="AE374" s="152"/>
      <c r="AF374" s="153" t="str">
        <f t="shared" si="22"/>
        <v xml:space="preserve"> </v>
      </c>
      <c r="AG374" s="154" t="str">
        <f t="shared" si="23"/>
        <v>Ingresar fuente de información</v>
      </c>
      <c r="AH374" s="134"/>
      <c r="AI374" s="155"/>
      <c r="AJ374" s="156"/>
      <c r="AK374" s="157"/>
      <c r="AM374" s="158"/>
      <c r="AN374" s="155" t="str">
        <f t="shared" si="21"/>
        <v xml:space="preserve"> </v>
      </c>
      <c r="AO374" s="156"/>
      <c r="AP374" s="157"/>
      <c r="AQ374" s="161"/>
      <c r="AR374" s="160" t="str">
        <f t="shared" si="25"/>
        <v xml:space="preserve"> </v>
      </c>
    </row>
    <row r="375" spans="1:44">
      <c r="A375" s="71"/>
      <c r="B375" s="142"/>
      <c r="C375" s="143"/>
      <c r="D375" s="143"/>
      <c r="E375" s="143"/>
      <c r="F375" s="144"/>
      <c r="G375" s="142"/>
      <c r="H375" s="144" t="str">
        <f>IF(OR(ISBLANK(I375),ISBLANK(AQ375))," ",IFERROR(VLOOKUP(CONCATENATE(I375,AQ375),Prestaciones!$E$1:$H$488,4,FALSE),IFERROR(VLOOKUP(CONCATENATE(LEFT(I375,6),AQ375),Prestaciones!$E$491:$H$836,4,FALSE),"La prestación no corresponde al grupo poblacional")))</f>
        <v xml:space="preserve"> </v>
      </c>
      <c r="I375" s="145"/>
      <c r="J375" s="145" t="str">
        <f>IF(OR(ISBLANK(I375),ISBLANK(AQ375))," ",IFERROR(VLOOKUP(CONCATENATE(I375,AQ375),Prestaciones!$E$1:$G$488,3,FALSE),IFERROR(VLOOKUP(CONCATENATE(LEFT(I375,6),AQ375),Prestaciones!$E$491:$H$836,3,FALSE),"La prestación no corresponde al grupo poblacional")))</f>
        <v xml:space="preserve"> </v>
      </c>
      <c r="K375" s="146"/>
      <c r="L375" s="146"/>
      <c r="M375" s="147"/>
      <c r="N375" s="148"/>
      <c r="O375" s="149"/>
      <c r="P375" s="150"/>
      <c r="Q375" s="151"/>
      <c r="R375" s="151"/>
      <c r="S375" s="151"/>
      <c r="T375" s="147"/>
      <c r="U375" s="147"/>
      <c r="V375" s="147"/>
      <c r="W375" s="149"/>
      <c r="X375" s="149"/>
      <c r="Y375" s="147"/>
      <c r="Z375" s="147"/>
      <c r="AA375" s="147"/>
      <c r="AB375" s="147"/>
      <c r="AC375" s="147"/>
      <c r="AD375" s="147"/>
      <c r="AE375" s="152"/>
      <c r="AF375" s="153" t="str">
        <f t="shared" si="22"/>
        <v xml:space="preserve"> </v>
      </c>
      <c r="AG375" s="154" t="str">
        <f t="shared" si="23"/>
        <v>Ingresar fuente de información</v>
      </c>
      <c r="AH375" s="134"/>
      <c r="AI375" s="155"/>
      <c r="AJ375" s="156"/>
      <c r="AK375" s="157"/>
      <c r="AM375" s="158"/>
      <c r="AN375" s="155" t="str">
        <f t="shared" si="21"/>
        <v xml:space="preserve"> </v>
      </c>
      <c r="AO375" s="156"/>
      <c r="AP375" s="157"/>
      <c r="AQ375" s="161"/>
      <c r="AR375" s="160" t="str">
        <f t="shared" si="25"/>
        <v xml:space="preserve"> </v>
      </c>
    </row>
    <row r="376" spans="1:44">
      <c r="A376" s="71"/>
      <c r="B376" s="142"/>
      <c r="C376" s="143"/>
      <c r="D376" s="143"/>
      <c r="E376" s="143"/>
      <c r="F376" s="144"/>
      <c r="G376" s="142"/>
      <c r="H376" s="144" t="str">
        <f>IF(OR(ISBLANK(I376),ISBLANK(AQ376))," ",IFERROR(VLOOKUP(CONCATENATE(I376,AQ376),Prestaciones!$E$1:$H$488,4,FALSE),IFERROR(VLOOKUP(CONCATENATE(LEFT(I376,6),AQ376),Prestaciones!$E$491:$H$836,4,FALSE),"La prestación no corresponde al grupo poblacional")))</f>
        <v xml:space="preserve"> </v>
      </c>
      <c r="I376" s="145"/>
      <c r="J376" s="145" t="str">
        <f>IF(OR(ISBLANK(I376),ISBLANK(AQ376))," ",IFERROR(VLOOKUP(CONCATENATE(I376,AQ376),Prestaciones!$E$1:$G$488,3,FALSE),IFERROR(VLOOKUP(CONCATENATE(LEFT(I376,6),AQ376),Prestaciones!$E$491:$H$836,3,FALSE),"La prestación no corresponde al grupo poblacional")))</f>
        <v xml:space="preserve"> </v>
      </c>
      <c r="K376" s="146"/>
      <c r="L376" s="146"/>
      <c r="M376" s="147"/>
      <c r="N376" s="148"/>
      <c r="O376" s="149"/>
      <c r="P376" s="150"/>
      <c r="Q376" s="151"/>
      <c r="R376" s="151"/>
      <c r="S376" s="151"/>
      <c r="T376" s="147"/>
      <c r="U376" s="147"/>
      <c r="V376" s="147"/>
      <c r="W376" s="149"/>
      <c r="X376" s="149"/>
      <c r="Y376" s="147"/>
      <c r="Z376" s="147"/>
      <c r="AA376" s="147"/>
      <c r="AB376" s="147"/>
      <c r="AC376" s="147"/>
      <c r="AD376" s="147"/>
      <c r="AE376" s="152"/>
      <c r="AF376" s="153" t="str">
        <f t="shared" si="22"/>
        <v xml:space="preserve"> </v>
      </c>
      <c r="AG376" s="154" t="str">
        <f t="shared" si="23"/>
        <v>Ingresar fuente de información</v>
      </c>
      <c r="AH376" s="134"/>
      <c r="AI376" s="155"/>
      <c r="AJ376" s="156"/>
      <c r="AK376" s="157"/>
      <c r="AM376" s="158"/>
      <c r="AN376" s="155" t="str">
        <f t="shared" si="21"/>
        <v xml:space="preserve"> </v>
      </c>
      <c r="AO376" s="156"/>
      <c r="AP376" s="157"/>
      <c r="AQ376" s="161"/>
      <c r="AR376" s="160" t="str">
        <f t="shared" si="25"/>
        <v xml:space="preserve"> </v>
      </c>
    </row>
    <row r="377" spans="1:44">
      <c r="A377" s="71"/>
      <c r="B377" s="142"/>
      <c r="C377" s="143"/>
      <c r="D377" s="143"/>
      <c r="E377" s="143"/>
      <c r="F377" s="144"/>
      <c r="G377" s="142"/>
      <c r="H377" s="144" t="str">
        <f>IF(OR(ISBLANK(I377),ISBLANK(AQ377))," ",IFERROR(VLOOKUP(CONCATENATE(I377,AQ377),Prestaciones!$E$1:$H$488,4,FALSE),IFERROR(VLOOKUP(CONCATENATE(LEFT(I377,6),AQ377),Prestaciones!$E$491:$H$836,4,FALSE),"La prestación no corresponde al grupo poblacional")))</f>
        <v xml:space="preserve"> </v>
      </c>
      <c r="I377" s="145"/>
      <c r="J377" s="145" t="str">
        <f>IF(OR(ISBLANK(I377),ISBLANK(AQ377))," ",IFERROR(VLOOKUP(CONCATENATE(I377,AQ377),Prestaciones!$E$1:$G$488,3,FALSE),IFERROR(VLOOKUP(CONCATENATE(LEFT(I377,6),AQ377),Prestaciones!$E$491:$H$836,3,FALSE),"La prestación no corresponde al grupo poblacional")))</f>
        <v xml:space="preserve"> </v>
      </c>
      <c r="K377" s="146"/>
      <c r="L377" s="146"/>
      <c r="M377" s="147"/>
      <c r="N377" s="148"/>
      <c r="O377" s="149"/>
      <c r="P377" s="150"/>
      <c r="Q377" s="151"/>
      <c r="R377" s="151"/>
      <c r="S377" s="151"/>
      <c r="T377" s="147"/>
      <c r="U377" s="147"/>
      <c r="V377" s="147"/>
      <c r="W377" s="149"/>
      <c r="X377" s="149"/>
      <c r="Y377" s="147"/>
      <c r="Z377" s="147"/>
      <c r="AA377" s="147"/>
      <c r="AB377" s="147"/>
      <c r="AC377" s="147"/>
      <c r="AD377" s="147"/>
      <c r="AE377" s="152"/>
      <c r="AF377" s="153" t="str">
        <f t="shared" si="22"/>
        <v xml:space="preserve"> </v>
      </c>
      <c r="AG377" s="154" t="str">
        <f t="shared" si="23"/>
        <v>Ingresar fuente de información</v>
      </c>
      <c r="AH377" s="134"/>
      <c r="AI377" s="155"/>
      <c r="AJ377" s="156"/>
      <c r="AK377" s="157"/>
      <c r="AM377" s="158"/>
      <c r="AN377" s="155" t="str">
        <f t="shared" si="21"/>
        <v xml:space="preserve"> </v>
      </c>
      <c r="AO377" s="156"/>
      <c r="AP377" s="157"/>
      <c r="AQ377" s="161"/>
      <c r="AR377" s="160" t="str">
        <f t="shared" si="25"/>
        <v xml:space="preserve"> </v>
      </c>
    </row>
    <row r="378" spans="1:44">
      <c r="A378" s="71"/>
      <c r="B378" s="142"/>
      <c r="C378" s="143"/>
      <c r="D378" s="143"/>
      <c r="E378" s="143"/>
      <c r="F378" s="144"/>
      <c r="G378" s="142"/>
      <c r="H378" s="144" t="str">
        <f>IF(OR(ISBLANK(I378),ISBLANK(AQ378))," ",IFERROR(VLOOKUP(CONCATENATE(I378,AQ378),Prestaciones!$E$1:$H$488,4,FALSE),IFERROR(VLOOKUP(CONCATENATE(LEFT(I378,6),AQ378),Prestaciones!$E$491:$H$836,4,FALSE),"La prestación no corresponde al grupo poblacional")))</f>
        <v xml:space="preserve"> </v>
      </c>
      <c r="I378" s="145"/>
      <c r="J378" s="145" t="str">
        <f>IF(OR(ISBLANK(I378),ISBLANK(AQ378))," ",IFERROR(VLOOKUP(CONCATENATE(I378,AQ378),Prestaciones!$E$1:$G$488,3,FALSE),IFERROR(VLOOKUP(CONCATENATE(LEFT(I378,6),AQ378),Prestaciones!$E$491:$H$836,3,FALSE),"La prestación no corresponde al grupo poblacional")))</f>
        <v xml:space="preserve"> </v>
      </c>
      <c r="K378" s="146"/>
      <c r="L378" s="146"/>
      <c r="M378" s="147"/>
      <c r="N378" s="148"/>
      <c r="O378" s="149"/>
      <c r="P378" s="150"/>
      <c r="Q378" s="151"/>
      <c r="R378" s="151"/>
      <c r="S378" s="151"/>
      <c r="T378" s="147"/>
      <c r="U378" s="147"/>
      <c r="V378" s="147"/>
      <c r="W378" s="149"/>
      <c r="X378" s="149"/>
      <c r="Y378" s="147"/>
      <c r="Z378" s="147"/>
      <c r="AA378" s="147"/>
      <c r="AB378" s="147"/>
      <c r="AC378" s="147"/>
      <c r="AD378" s="147"/>
      <c r="AE378" s="152"/>
      <c r="AF378" s="153" t="str">
        <f t="shared" si="22"/>
        <v xml:space="preserve"> </v>
      </c>
      <c r="AG378" s="154" t="str">
        <f t="shared" si="23"/>
        <v>Ingresar fuente de información</v>
      </c>
      <c r="AH378" s="134"/>
      <c r="AI378" s="155"/>
      <c r="AJ378" s="156"/>
      <c r="AK378" s="157"/>
      <c r="AM378" s="158"/>
      <c r="AN378" s="155" t="str">
        <f t="shared" si="21"/>
        <v xml:space="preserve"> </v>
      </c>
      <c r="AO378" s="156"/>
      <c r="AP378" s="157"/>
      <c r="AQ378" s="161"/>
      <c r="AR378" s="160" t="str">
        <f t="shared" si="25"/>
        <v xml:space="preserve"> </v>
      </c>
    </row>
    <row r="379" spans="1:44">
      <c r="A379" s="71"/>
      <c r="B379" s="142"/>
      <c r="C379" s="143"/>
      <c r="D379" s="143"/>
      <c r="E379" s="143"/>
      <c r="F379" s="144"/>
      <c r="G379" s="142"/>
      <c r="H379" s="144" t="str">
        <f>IF(OR(ISBLANK(I379),ISBLANK(AQ379))," ",IFERROR(VLOOKUP(CONCATENATE(I379,AQ379),Prestaciones!$E$1:$H$488,4,FALSE),IFERROR(VLOOKUP(CONCATENATE(LEFT(I379,6),AQ379),Prestaciones!$E$491:$H$836,4,FALSE),"La prestación no corresponde al grupo poblacional")))</f>
        <v xml:space="preserve"> </v>
      </c>
      <c r="I379" s="145"/>
      <c r="J379" s="145" t="str">
        <f>IF(OR(ISBLANK(I379),ISBLANK(AQ379))," ",IFERROR(VLOOKUP(CONCATENATE(I379,AQ379),Prestaciones!$E$1:$G$488,3,FALSE),IFERROR(VLOOKUP(CONCATENATE(LEFT(I379,6),AQ379),Prestaciones!$E$491:$H$836,3,FALSE),"La prestación no corresponde al grupo poblacional")))</f>
        <v xml:space="preserve"> </v>
      </c>
      <c r="K379" s="146"/>
      <c r="L379" s="146"/>
      <c r="M379" s="147"/>
      <c r="N379" s="148"/>
      <c r="O379" s="149"/>
      <c r="P379" s="150"/>
      <c r="Q379" s="151"/>
      <c r="R379" s="151"/>
      <c r="S379" s="151"/>
      <c r="T379" s="147"/>
      <c r="U379" s="147"/>
      <c r="V379" s="147"/>
      <c r="W379" s="149"/>
      <c r="X379" s="149"/>
      <c r="Y379" s="147"/>
      <c r="Z379" s="147"/>
      <c r="AA379" s="147"/>
      <c r="AB379" s="147"/>
      <c r="AC379" s="147"/>
      <c r="AD379" s="147"/>
      <c r="AE379" s="152"/>
      <c r="AF379" s="153" t="str">
        <f t="shared" si="22"/>
        <v xml:space="preserve"> </v>
      </c>
      <c r="AG379" s="154" t="str">
        <f t="shared" si="23"/>
        <v>Ingresar fuente de información</v>
      </c>
      <c r="AH379" s="134"/>
      <c r="AI379" s="155"/>
      <c r="AJ379" s="156"/>
      <c r="AK379" s="157"/>
      <c r="AM379" s="158"/>
      <c r="AN379" s="155" t="str">
        <f t="shared" si="21"/>
        <v xml:space="preserve"> </v>
      </c>
      <c r="AO379" s="156"/>
      <c r="AP379" s="157"/>
      <c r="AQ379" s="161"/>
      <c r="AR379" s="160" t="str">
        <f t="shared" si="25"/>
        <v xml:space="preserve"> </v>
      </c>
    </row>
    <row r="380" spans="1:44">
      <c r="A380" s="71"/>
      <c r="B380" s="142"/>
      <c r="C380" s="143"/>
      <c r="D380" s="143"/>
      <c r="E380" s="143"/>
      <c r="F380" s="144"/>
      <c r="G380" s="142"/>
      <c r="H380" s="144" t="str">
        <f>IF(OR(ISBLANK(I380),ISBLANK(AQ380))," ",IFERROR(VLOOKUP(CONCATENATE(I380,AQ380),Prestaciones!$E$1:$H$488,4,FALSE),IFERROR(VLOOKUP(CONCATENATE(LEFT(I380,6),AQ380),Prestaciones!$E$491:$H$836,4,FALSE),"La prestación no corresponde al grupo poblacional")))</f>
        <v xml:space="preserve"> </v>
      </c>
      <c r="I380" s="145"/>
      <c r="J380" s="145" t="str">
        <f>IF(OR(ISBLANK(I380),ISBLANK(AQ380))," ",IFERROR(VLOOKUP(CONCATENATE(I380,AQ380),Prestaciones!$E$1:$G$488,3,FALSE),IFERROR(VLOOKUP(CONCATENATE(LEFT(I380,6),AQ380),Prestaciones!$E$491:$H$836,3,FALSE),"La prestación no corresponde al grupo poblacional")))</f>
        <v xml:space="preserve"> </v>
      </c>
      <c r="K380" s="146"/>
      <c r="L380" s="146"/>
      <c r="M380" s="147"/>
      <c r="N380" s="148"/>
      <c r="O380" s="149"/>
      <c r="P380" s="150"/>
      <c r="Q380" s="151"/>
      <c r="R380" s="151"/>
      <c r="S380" s="151"/>
      <c r="T380" s="147"/>
      <c r="U380" s="147"/>
      <c r="V380" s="147"/>
      <c r="W380" s="149"/>
      <c r="X380" s="149"/>
      <c r="Y380" s="147"/>
      <c r="Z380" s="147"/>
      <c r="AA380" s="147"/>
      <c r="AB380" s="147"/>
      <c r="AC380" s="147"/>
      <c r="AD380" s="147"/>
      <c r="AE380" s="152"/>
      <c r="AF380" s="153" t="str">
        <f t="shared" si="22"/>
        <v xml:space="preserve"> </v>
      </c>
      <c r="AG380" s="154" t="str">
        <f t="shared" si="23"/>
        <v>Ingresar fuente de información</v>
      </c>
      <c r="AH380" s="134"/>
      <c r="AI380" s="155"/>
      <c r="AJ380" s="156"/>
      <c r="AK380" s="157"/>
      <c r="AM380" s="158"/>
      <c r="AN380" s="155" t="str">
        <f t="shared" si="21"/>
        <v xml:space="preserve"> </v>
      </c>
      <c r="AO380" s="156"/>
      <c r="AP380" s="157"/>
      <c r="AQ380" s="161"/>
      <c r="AR380" s="160" t="str">
        <f t="shared" si="25"/>
        <v xml:space="preserve"> </v>
      </c>
    </row>
    <row r="381" spans="1:44">
      <c r="A381" s="71"/>
      <c r="B381" s="142"/>
      <c r="C381" s="143"/>
      <c r="D381" s="143"/>
      <c r="E381" s="143"/>
      <c r="F381" s="144"/>
      <c r="G381" s="142"/>
      <c r="H381" s="144" t="str">
        <f>IF(OR(ISBLANK(I381),ISBLANK(AQ381))," ",IFERROR(VLOOKUP(CONCATENATE(I381,AQ381),Prestaciones!$E$1:$H$488,4,FALSE),IFERROR(VLOOKUP(CONCATENATE(LEFT(I381,6),AQ381),Prestaciones!$E$491:$H$836,4,FALSE),"La prestación no corresponde al grupo poblacional")))</f>
        <v xml:space="preserve"> </v>
      </c>
      <c r="I381" s="145"/>
      <c r="J381" s="145" t="str">
        <f>IF(OR(ISBLANK(I381),ISBLANK(AQ381))," ",IFERROR(VLOOKUP(CONCATENATE(I381,AQ381),Prestaciones!$E$1:$G$488,3,FALSE),IFERROR(VLOOKUP(CONCATENATE(LEFT(I381,6),AQ381),Prestaciones!$E$491:$H$836,3,FALSE),"La prestación no corresponde al grupo poblacional")))</f>
        <v xml:space="preserve"> </v>
      </c>
      <c r="K381" s="146"/>
      <c r="L381" s="146"/>
      <c r="M381" s="147"/>
      <c r="N381" s="148"/>
      <c r="O381" s="149"/>
      <c r="P381" s="150"/>
      <c r="Q381" s="151"/>
      <c r="R381" s="151"/>
      <c r="S381" s="151"/>
      <c r="T381" s="147"/>
      <c r="U381" s="147"/>
      <c r="V381" s="147"/>
      <c r="W381" s="149"/>
      <c r="X381" s="149"/>
      <c r="Y381" s="147"/>
      <c r="Z381" s="147"/>
      <c r="AA381" s="147"/>
      <c r="AB381" s="147"/>
      <c r="AC381" s="147"/>
      <c r="AD381" s="147"/>
      <c r="AE381" s="152"/>
      <c r="AF381" s="153" t="str">
        <f t="shared" si="22"/>
        <v xml:space="preserve"> </v>
      </c>
      <c r="AG381" s="154" t="str">
        <f t="shared" si="23"/>
        <v>Ingresar fuente de información</v>
      </c>
      <c r="AH381" s="134"/>
      <c r="AI381" s="155"/>
      <c r="AJ381" s="156"/>
      <c r="AK381" s="157"/>
      <c r="AM381" s="158"/>
      <c r="AN381" s="155" t="str">
        <f t="shared" si="21"/>
        <v xml:space="preserve"> </v>
      </c>
      <c r="AO381" s="156"/>
      <c r="AP381" s="157"/>
      <c r="AQ381" s="161"/>
      <c r="AR381" s="160" t="str">
        <f t="shared" si="25"/>
        <v xml:space="preserve"> </v>
      </c>
    </row>
    <row r="382" spans="1:44">
      <c r="A382" s="71"/>
      <c r="B382" s="142"/>
      <c r="C382" s="143"/>
      <c r="D382" s="143"/>
      <c r="E382" s="143"/>
      <c r="F382" s="144"/>
      <c r="G382" s="142"/>
      <c r="H382" s="144" t="str">
        <f>IF(OR(ISBLANK(I382),ISBLANK(AQ382))," ",IFERROR(VLOOKUP(CONCATENATE(I382,AQ382),Prestaciones!$E$1:$H$488,4,FALSE),IFERROR(VLOOKUP(CONCATENATE(LEFT(I382,6),AQ382),Prestaciones!$E$491:$H$836,4,FALSE),"La prestación no corresponde al grupo poblacional")))</f>
        <v xml:space="preserve"> </v>
      </c>
      <c r="I382" s="145"/>
      <c r="J382" s="145" t="str">
        <f>IF(OR(ISBLANK(I382),ISBLANK(AQ382))," ",IFERROR(VLOOKUP(CONCATENATE(I382,AQ382),Prestaciones!$E$1:$G$488,3,FALSE),IFERROR(VLOOKUP(CONCATENATE(LEFT(I382,6),AQ382),Prestaciones!$E$491:$H$836,3,FALSE),"La prestación no corresponde al grupo poblacional")))</f>
        <v xml:space="preserve"> </v>
      </c>
      <c r="K382" s="146"/>
      <c r="L382" s="146"/>
      <c r="M382" s="147"/>
      <c r="N382" s="148"/>
      <c r="O382" s="149"/>
      <c r="P382" s="150"/>
      <c r="Q382" s="151"/>
      <c r="R382" s="151"/>
      <c r="S382" s="151"/>
      <c r="T382" s="147"/>
      <c r="U382" s="147"/>
      <c r="V382" s="147"/>
      <c r="W382" s="149"/>
      <c r="X382" s="149"/>
      <c r="Y382" s="147"/>
      <c r="Z382" s="147"/>
      <c r="AA382" s="147"/>
      <c r="AB382" s="147"/>
      <c r="AC382" s="147"/>
      <c r="AD382" s="147"/>
      <c r="AE382" s="152"/>
      <c r="AF382" s="153" t="str">
        <f t="shared" si="22"/>
        <v xml:space="preserve"> </v>
      </c>
      <c r="AG382" s="154" t="str">
        <f t="shared" si="23"/>
        <v>Ingresar fuente de información</v>
      </c>
      <c r="AH382" s="134"/>
      <c r="AI382" s="155"/>
      <c r="AJ382" s="156"/>
      <c r="AK382" s="157"/>
      <c r="AM382" s="158"/>
      <c r="AN382" s="155" t="str">
        <f t="shared" si="21"/>
        <v xml:space="preserve"> </v>
      </c>
      <c r="AO382" s="156"/>
      <c r="AP382" s="157"/>
      <c r="AQ382" s="161"/>
      <c r="AR382" s="160" t="str">
        <f t="shared" si="25"/>
        <v xml:space="preserve"> </v>
      </c>
    </row>
    <row r="383" spans="1:44">
      <c r="A383" s="71"/>
      <c r="B383" s="142"/>
      <c r="C383" s="143"/>
      <c r="D383" s="143"/>
      <c r="E383" s="143"/>
      <c r="F383" s="144"/>
      <c r="G383" s="142"/>
      <c r="H383" s="144" t="str">
        <f>IF(OR(ISBLANK(I383),ISBLANK(AQ383))," ",IFERROR(VLOOKUP(CONCATENATE(I383,AQ383),Prestaciones!$E$1:$H$488,4,FALSE),IFERROR(VLOOKUP(CONCATENATE(LEFT(I383,6),AQ383),Prestaciones!$E$491:$H$836,4,FALSE),"La prestación no corresponde al grupo poblacional")))</f>
        <v xml:space="preserve"> </v>
      </c>
      <c r="I383" s="145"/>
      <c r="J383" s="145" t="str">
        <f>IF(OR(ISBLANK(I383),ISBLANK(AQ383))," ",IFERROR(VLOOKUP(CONCATENATE(I383,AQ383),Prestaciones!$E$1:$G$488,3,FALSE),IFERROR(VLOOKUP(CONCATENATE(LEFT(I383,6),AQ383),Prestaciones!$E$491:$H$836,3,FALSE),"La prestación no corresponde al grupo poblacional")))</f>
        <v xml:space="preserve"> </v>
      </c>
      <c r="K383" s="146"/>
      <c r="L383" s="146"/>
      <c r="M383" s="147"/>
      <c r="N383" s="148"/>
      <c r="O383" s="149"/>
      <c r="P383" s="150"/>
      <c r="Q383" s="151"/>
      <c r="R383" s="151"/>
      <c r="S383" s="151"/>
      <c r="T383" s="147"/>
      <c r="U383" s="147"/>
      <c r="V383" s="147"/>
      <c r="W383" s="149"/>
      <c r="X383" s="149"/>
      <c r="Y383" s="147"/>
      <c r="Z383" s="147"/>
      <c r="AA383" s="147"/>
      <c r="AB383" s="147"/>
      <c r="AC383" s="147"/>
      <c r="AD383" s="147"/>
      <c r="AE383" s="152"/>
      <c r="AF383" s="153" t="str">
        <f t="shared" si="22"/>
        <v xml:space="preserve"> </v>
      </c>
      <c r="AG383" s="154" t="str">
        <f t="shared" si="23"/>
        <v>Ingresar fuente de información</v>
      </c>
      <c r="AH383" s="134"/>
      <c r="AI383" s="155"/>
      <c r="AJ383" s="156"/>
      <c r="AK383" s="157"/>
      <c r="AM383" s="158"/>
      <c r="AN383" s="155" t="str">
        <f t="shared" si="21"/>
        <v xml:space="preserve"> </v>
      </c>
      <c r="AO383" s="156"/>
      <c r="AP383" s="157"/>
      <c r="AQ383" s="161"/>
      <c r="AR383" s="160" t="str">
        <f t="shared" si="25"/>
        <v xml:space="preserve"> </v>
      </c>
    </row>
    <row r="384" spans="1:44">
      <c r="A384" s="71"/>
      <c r="B384" s="142"/>
      <c r="C384" s="143"/>
      <c r="D384" s="143"/>
      <c r="E384" s="143"/>
      <c r="F384" s="144"/>
      <c r="G384" s="142"/>
      <c r="H384" s="144" t="str">
        <f>IF(OR(ISBLANK(I384),ISBLANK(AQ384))," ",IFERROR(VLOOKUP(CONCATENATE(I384,AQ384),Prestaciones!$E$1:$H$488,4,FALSE),IFERROR(VLOOKUP(CONCATENATE(LEFT(I384,6),AQ384),Prestaciones!$E$491:$H$836,4,FALSE),"La prestación no corresponde al grupo poblacional")))</f>
        <v xml:space="preserve"> </v>
      </c>
      <c r="I384" s="145"/>
      <c r="J384" s="145" t="str">
        <f>IF(OR(ISBLANK(I384),ISBLANK(AQ384))," ",IFERROR(VLOOKUP(CONCATENATE(I384,AQ384),Prestaciones!$E$1:$G$488,3,FALSE),IFERROR(VLOOKUP(CONCATENATE(LEFT(I384,6),AQ384),Prestaciones!$E$491:$H$836,3,FALSE),"La prestación no corresponde al grupo poblacional")))</f>
        <v xml:space="preserve"> </v>
      </c>
      <c r="K384" s="146"/>
      <c r="L384" s="146"/>
      <c r="M384" s="147"/>
      <c r="N384" s="148"/>
      <c r="O384" s="149"/>
      <c r="P384" s="150"/>
      <c r="Q384" s="151"/>
      <c r="R384" s="151"/>
      <c r="S384" s="151"/>
      <c r="T384" s="147"/>
      <c r="U384" s="147"/>
      <c r="V384" s="147"/>
      <c r="W384" s="149"/>
      <c r="X384" s="149"/>
      <c r="Y384" s="147"/>
      <c r="Z384" s="147"/>
      <c r="AA384" s="147"/>
      <c r="AB384" s="147"/>
      <c r="AC384" s="147"/>
      <c r="AD384" s="147"/>
      <c r="AE384" s="152"/>
      <c r="AF384" s="153" t="str">
        <f t="shared" si="22"/>
        <v xml:space="preserve"> </v>
      </c>
      <c r="AG384" s="154" t="str">
        <f t="shared" si="23"/>
        <v>Ingresar fuente de información</v>
      </c>
      <c r="AH384" s="134"/>
      <c r="AI384" s="155"/>
      <c r="AJ384" s="156"/>
      <c r="AK384" s="157"/>
      <c r="AM384" s="158"/>
      <c r="AN384" s="155" t="str">
        <f t="shared" si="21"/>
        <v xml:space="preserve"> </v>
      </c>
      <c r="AO384" s="156"/>
      <c r="AP384" s="157"/>
      <c r="AQ384" s="161"/>
      <c r="AR384" s="160" t="str">
        <f t="shared" si="25"/>
        <v xml:space="preserve"> </v>
      </c>
    </row>
    <row r="385" spans="1:44">
      <c r="A385" s="71"/>
      <c r="B385" s="142"/>
      <c r="C385" s="143"/>
      <c r="D385" s="143"/>
      <c r="E385" s="143"/>
      <c r="F385" s="144"/>
      <c r="G385" s="142"/>
      <c r="H385" s="144" t="str">
        <f>IF(OR(ISBLANK(I385),ISBLANK(AQ385))," ",IFERROR(VLOOKUP(CONCATENATE(I385,AQ385),Prestaciones!$E$1:$H$488,4,FALSE),IFERROR(VLOOKUP(CONCATENATE(LEFT(I385,6),AQ385),Prestaciones!$E$491:$H$836,4,FALSE),"La prestación no corresponde al grupo poblacional")))</f>
        <v xml:space="preserve"> </v>
      </c>
      <c r="I385" s="145"/>
      <c r="J385" s="145" t="str">
        <f>IF(OR(ISBLANK(I385),ISBLANK(AQ385))," ",IFERROR(VLOOKUP(CONCATENATE(I385,AQ385),Prestaciones!$E$1:$G$488,3,FALSE),IFERROR(VLOOKUP(CONCATENATE(LEFT(I385,6),AQ385),Prestaciones!$E$491:$H$836,3,FALSE),"La prestación no corresponde al grupo poblacional")))</f>
        <v xml:space="preserve"> </v>
      </c>
      <c r="K385" s="146"/>
      <c r="L385" s="146"/>
      <c r="M385" s="147"/>
      <c r="N385" s="148"/>
      <c r="O385" s="149"/>
      <c r="P385" s="150"/>
      <c r="Q385" s="151"/>
      <c r="R385" s="151"/>
      <c r="S385" s="151"/>
      <c r="T385" s="147"/>
      <c r="U385" s="147"/>
      <c r="V385" s="147"/>
      <c r="W385" s="149"/>
      <c r="X385" s="149"/>
      <c r="Y385" s="147"/>
      <c r="Z385" s="147"/>
      <c r="AA385" s="147"/>
      <c r="AB385" s="147"/>
      <c r="AC385" s="147"/>
      <c r="AD385" s="147"/>
      <c r="AE385" s="152"/>
      <c r="AF385" s="153" t="str">
        <f t="shared" si="22"/>
        <v xml:space="preserve"> </v>
      </c>
      <c r="AG385" s="154" t="str">
        <f t="shared" si="23"/>
        <v>Ingresar fuente de información</v>
      </c>
      <c r="AH385" s="134"/>
      <c r="AI385" s="155"/>
      <c r="AJ385" s="156"/>
      <c r="AK385" s="157"/>
      <c r="AM385" s="158"/>
      <c r="AN385" s="155" t="str">
        <f t="shared" si="21"/>
        <v xml:space="preserve"> </v>
      </c>
      <c r="AO385" s="156"/>
      <c r="AP385" s="157"/>
      <c r="AQ385" s="161"/>
      <c r="AR385" s="160" t="str">
        <f t="shared" si="25"/>
        <v xml:space="preserve"> </v>
      </c>
    </row>
    <row r="386" spans="1:44">
      <c r="A386" s="71"/>
      <c r="B386" s="142"/>
      <c r="C386" s="143"/>
      <c r="D386" s="143"/>
      <c r="E386" s="143"/>
      <c r="F386" s="144"/>
      <c r="G386" s="142"/>
      <c r="H386" s="144" t="str">
        <f>IF(OR(ISBLANK(I386),ISBLANK(AQ386))," ",IFERROR(VLOOKUP(CONCATENATE(I386,AQ386),Prestaciones!$E$1:$H$488,4,FALSE),IFERROR(VLOOKUP(CONCATENATE(LEFT(I386,6),AQ386),Prestaciones!$E$491:$H$836,4,FALSE),"La prestación no corresponde al grupo poblacional")))</f>
        <v xml:space="preserve"> </v>
      </c>
      <c r="I386" s="145"/>
      <c r="J386" s="145" t="str">
        <f>IF(OR(ISBLANK(I386),ISBLANK(AQ386))," ",IFERROR(VLOOKUP(CONCATENATE(I386,AQ386),Prestaciones!$E$1:$G$488,3,FALSE),IFERROR(VLOOKUP(CONCATENATE(LEFT(I386,6),AQ386),Prestaciones!$E$491:$H$836,3,FALSE),"La prestación no corresponde al grupo poblacional")))</f>
        <v xml:space="preserve"> </v>
      </c>
      <c r="K386" s="146"/>
      <c r="L386" s="146"/>
      <c r="M386" s="147"/>
      <c r="N386" s="148"/>
      <c r="O386" s="149"/>
      <c r="P386" s="150"/>
      <c r="Q386" s="151"/>
      <c r="R386" s="151"/>
      <c r="S386" s="151"/>
      <c r="T386" s="147"/>
      <c r="U386" s="147"/>
      <c r="V386" s="147"/>
      <c r="W386" s="149"/>
      <c r="X386" s="149"/>
      <c r="Y386" s="147"/>
      <c r="Z386" s="147"/>
      <c r="AA386" s="147"/>
      <c r="AB386" s="147"/>
      <c r="AC386" s="147"/>
      <c r="AD386" s="147"/>
      <c r="AE386" s="152"/>
      <c r="AF386" s="153" t="str">
        <f t="shared" si="22"/>
        <v xml:space="preserve"> </v>
      </c>
      <c r="AG386" s="154" t="str">
        <f t="shared" si="23"/>
        <v>Ingresar fuente de información</v>
      </c>
      <c r="AH386" s="134"/>
      <c r="AI386" s="155"/>
      <c r="AJ386" s="156"/>
      <c r="AK386" s="157"/>
      <c r="AM386" s="158"/>
      <c r="AN386" s="155" t="str">
        <f t="shared" si="21"/>
        <v xml:space="preserve"> </v>
      </c>
      <c r="AO386" s="156"/>
      <c r="AP386" s="157"/>
      <c r="AQ386" s="161"/>
      <c r="AR386" s="160" t="str">
        <f t="shared" si="25"/>
        <v xml:space="preserve"> </v>
      </c>
    </row>
    <row r="387" spans="1:44">
      <c r="A387" s="71"/>
      <c r="B387" s="142"/>
      <c r="C387" s="143"/>
      <c r="D387" s="143"/>
      <c r="E387" s="143"/>
      <c r="F387" s="144"/>
      <c r="G387" s="142"/>
      <c r="H387" s="144" t="str">
        <f>IF(OR(ISBLANK(I387),ISBLANK(AQ387))," ",IFERROR(VLOOKUP(CONCATENATE(I387,AQ387),Prestaciones!$E$1:$H$488,4,FALSE),IFERROR(VLOOKUP(CONCATENATE(LEFT(I387,6),AQ387),Prestaciones!$E$491:$H$836,4,FALSE),"La prestación no corresponde al grupo poblacional")))</f>
        <v xml:space="preserve"> </v>
      </c>
      <c r="I387" s="145"/>
      <c r="J387" s="145" t="str">
        <f>IF(OR(ISBLANK(I387),ISBLANK(AQ387))," ",IFERROR(VLOOKUP(CONCATENATE(I387,AQ387),Prestaciones!$E$1:$G$488,3,FALSE),IFERROR(VLOOKUP(CONCATENATE(LEFT(I387,6),AQ387),Prestaciones!$E$491:$H$836,3,FALSE),"La prestación no corresponde al grupo poblacional")))</f>
        <v xml:space="preserve"> </v>
      </c>
      <c r="K387" s="146"/>
      <c r="L387" s="146"/>
      <c r="M387" s="147"/>
      <c r="N387" s="148"/>
      <c r="O387" s="149"/>
      <c r="P387" s="150"/>
      <c r="Q387" s="151"/>
      <c r="R387" s="151"/>
      <c r="S387" s="151"/>
      <c r="T387" s="147"/>
      <c r="U387" s="147"/>
      <c r="V387" s="147"/>
      <c r="W387" s="149"/>
      <c r="X387" s="149"/>
      <c r="Y387" s="147"/>
      <c r="Z387" s="147"/>
      <c r="AA387" s="147"/>
      <c r="AB387" s="147"/>
      <c r="AC387" s="147"/>
      <c r="AD387" s="147"/>
      <c r="AE387" s="152"/>
      <c r="AF387" s="153" t="str">
        <f t="shared" si="22"/>
        <v xml:space="preserve"> </v>
      </c>
      <c r="AG387" s="154" t="str">
        <f t="shared" si="23"/>
        <v>Ingresar fuente de información</v>
      </c>
      <c r="AH387" s="134"/>
      <c r="AI387" s="155"/>
      <c r="AJ387" s="156"/>
      <c r="AK387" s="157"/>
      <c r="AM387" s="158"/>
      <c r="AN387" s="155" t="str">
        <f t="shared" si="21"/>
        <v xml:space="preserve"> </v>
      </c>
      <c r="AO387" s="156"/>
      <c r="AP387" s="157"/>
      <c r="AQ387" s="161"/>
      <c r="AR387" s="160" t="str">
        <f t="shared" si="25"/>
        <v xml:space="preserve"> </v>
      </c>
    </row>
    <row r="388" spans="1:44">
      <c r="A388" s="71"/>
      <c r="B388" s="142"/>
      <c r="C388" s="143"/>
      <c r="D388" s="143"/>
      <c r="E388" s="143"/>
      <c r="F388" s="144"/>
      <c r="G388" s="142"/>
      <c r="H388" s="144" t="str">
        <f>IF(OR(ISBLANK(I388),ISBLANK(AQ388))," ",IFERROR(VLOOKUP(CONCATENATE(I388,AQ388),Prestaciones!$E$1:$H$488,4,FALSE),IFERROR(VLOOKUP(CONCATENATE(LEFT(I388,6),AQ388),Prestaciones!$E$491:$H$836,4,FALSE),"La prestación no corresponde al grupo poblacional")))</f>
        <v xml:space="preserve"> </v>
      </c>
      <c r="I388" s="145"/>
      <c r="J388" s="145" t="str">
        <f>IF(OR(ISBLANK(I388),ISBLANK(AQ388))," ",IFERROR(VLOOKUP(CONCATENATE(I388,AQ388),Prestaciones!$E$1:$G$488,3,FALSE),IFERROR(VLOOKUP(CONCATENATE(LEFT(I388,6),AQ388),Prestaciones!$E$491:$H$836,3,FALSE),"La prestación no corresponde al grupo poblacional")))</f>
        <v xml:space="preserve"> </v>
      </c>
      <c r="K388" s="146"/>
      <c r="L388" s="146"/>
      <c r="M388" s="147"/>
      <c r="N388" s="148"/>
      <c r="O388" s="149"/>
      <c r="P388" s="150"/>
      <c r="Q388" s="151"/>
      <c r="R388" s="151"/>
      <c r="S388" s="151"/>
      <c r="T388" s="147"/>
      <c r="U388" s="147"/>
      <c r="V388" s="147"/>
      <c r="W388" s="149"/>
      <c r="X388" s="149"/>
      <c r="Y388" s="147"/>
      <c r="Z388" s="147"/>
      <c r="AA388" s="147"/>
      <c r="AB388" s="147"/>
      <c r="AC388" s="147"/>
      <c r="AD388" s="147"/>
      <c r="AE388" s="152"/>
      <c r="AF388" s="153" t="str">
        <f t="shared" si="22"/>
        <v xml:space="preserve"> </v>
      </c>
      <c r="AG388" s="154" t="str">
        <f t="shared" si="23"/>
        <v>Ingresar fuente de información</v>
      </c>
      <c r="AH388" s="134"/>
      <c r="AI388" s="155"/>
      <c r="AJ388" s="156"/>
      <c r="AK388" s="157"/>
      <c r="AM388" s="158"/>
      <c r="AN388" s="155" t="str">
        <f t="shared" si="21"/>
        <v xml:space="preserve"> </v>
      </c>
      <c r="AO388" s="156"/>
      <c r="AP388" s="157"/>
      <c r="AQ388" s="161"/>
      <c r="AR388" s="160" t="str">
        <f t="shared" si="25"/>
        <v xml:space="preserve"> </v>
      </c>
    </row>
    <row r="389" spans="1:44">
      <c r="A389" s="71"/>
      <c r="B389" s="142"/>
      <c r="C389" s="143"/>
      <c r="D389" s="143"/>
      <c r="E389" s="143"/>
      <c r="F389" s="144"/>
      <c r="G389" s="142"/>
      <c r="H389" s="144" t="str">
        <f>IF(OR(ISBLANK(I389),ISBLANK(AQ389))," ",IFERROR(VLOOKUP(CONCATENATE(I389,AQ389),Prestaciones!$E$1:$H$488,4,FALSE),IFERROR(VLOOKUP(CONCATENATE(LEFT(I389,6),AQ389),Prestaciones!$E$491:$H$836,4,FALSE),"La prestación no corresponde al grupo poblacional")))</f>
        <v xml:space="preserve"> </v>
      </c>
      <c r="I389" s="145"/>
      <c r="J389" s="145" t="str">
        <f>IF(OR(ISBLANK(I389),ISBLANK(AQ389))," ",IFERROR(VLOOKUP(CONCATENATE(I389,AQ389),Prestaciones!$E$1:$G$488,3,FALSE),IFERROR(VLOOKUP(CONCATENATE(LEFT(I389,6),AQ389),Prestaciones!$E$491:$H$836,3,FALSE),"La prestación no corresponde al grupo poblacional")))</f>
        <v xml:space="preserve"> </v>
      </c>
      <c r="K389" s="146"/>
      <c r="L389" s="146"/>
      <c r="M389" s="147"/>
      <c r="N389" s="148"/>
      <c r="O389" s="149"/>
      <c r="P389" s="150"/>
      <c r="Q389" s="151"/>
      <c r="R389" s="151"/>
      <c r="S389" s="151"/>
      <c r="T389" s="147"/>
      <c r="U389" s="147"/>
      <c r="V389" s="147"/>
      <c r="W389" s="149"/>
      <c r="X389" s="149"/>
      <c r="Y389" s="147"/>
      <c r="Z389" s="147"/>
      <c r="AA389" s="147"/>
      <c r="AB389" s="147"/>
      <c r="AC389" s="147"/>
      <c r="AD389" s="147"/>
      <c r="AE389" s="152"/>
      <c r="AF389" s="153" t="str">
        <f t="shared" si="22"/>
        <v xml:space="preserve"> </v>
      </c>
      <c r="AG389" s="154" t="str">
        <f t="shared" si="23"/>
        <v>Ingresar fuente de información</v>
      </c>
      <c r="AH389" s="134"/>
      <c r="AI389" s="155"/>
      <c r="AJ389" s="156"/>
      <c r="AK389" s="157"/>
      <c r="AM389" s="158"/>
      <c r="AN389" s="155" t="str">
        <f t="shared" si="21"/>
        <v xml:space="preserve"> </v>
      </c>
      <c r="AO389" s="156"/>
      <c r="AP389" s="157"/>
      <c r="AQ389" s="161"/>
      <c r="AR389" s="160" t="str">
        <f t="shared" si="25"/>
        <v xml:space="preserve"> </v>
      </c>
    </row>
    <row r="390" spans="1:44">
      <c r="A390" s="71"/>
      <c r="B390" s="142"/>
      <c r="C390" s="143"/>
      <c r="D390" s="143"/>
      <c r="E390" s="143"/>
      <c r="F390" s="144"/>
      <c r="G390" s="142"/>
      <c r="H390" s="144" t="str">
        <f>IF(OR(ISBLANK(I390),ISBLANK(AQ390))," ",IFERROR(VLOOKUP(CONCATENATE(I390,AQ390),Prestaciones!$E$1:$H$488,4,FALSE),IFERROR(VLOOKUP(CONCATENATE(LEFT(I390,6),AQ390),Prestaciones!$E$491:$H$836,4,FALSE),"La prestación no corresponde al grupo poblacional")))</f>
        <v xml:space="preserve"> </v>
      </c>
      <c r="I390" s="145"/>
      <c r="J390" s="145" t="str">
        <f>IF(OR(ISBLANK(I390),ISBLANK(AQ390))," ",IFERROR(VLOOKUP(CONCATENATE(I390,AQ390),Prestaciones!$E$1:$G$488,3,FALSE),IFERROR(VLOOKUP(CONCATENATE(LEFT(I390,6),AQ390),Prestaciones!$E$491:$H$836,3,FALSE),"La prestación no corresponde al grupo poblacional")))</f>
        <v xml:space="preserve"> </v>
      </c>
      <c r="K390" s="146"/>
      <c r="L390" s="146"/>
      <c r="M390" s="147"/>
      <c r="N390" s="148"/>
      <c r="O390" s="149"/>
      <c r="P390" s="150"/>
      <c r="Q390" s="151"/>
      <c r="R390" s="151"/>
      <c r="S390" s="151"/>
      <c r="T390" s="147"/>
      <c r="U390" s="147"/>
      <c r="V390" s="147"/>
      <c r="W390" s="149"/>
      <c r="X390" s="149"/>
      <c r="Y390" s="147"/>
      <c r="Z390" s="147"/>
      <c r="AA390" s="147"/>
      <c r="AB390" s="147"/>
      <c r="AC390" s="147"/>
      <c r="AD390" s="147"/>
      <c r="AE390" s="152"/>
      <c r="AF390" s="153" t="str">
        <f t="shared" si="22"/>
        <v xml:space="preserve"> </v>
      </c>
      <c r="AG390" s="154" t="str">
        <f t="shared" si="23"/>
        <v>Ingresar fuente de información</v>
      </c>
      <c r="AH390" s="134"/>
      <c r="AI390" s="155"/>
      <c r="AJ390" s="156"/>
      <c r="AK390" s="157"/>
      <c r="AM390" s="158"/>
      <c r="AN390" s="155" t="str">
        <f t="shared" si="21"/>
        <v xml:space="preserve"> </v>
      </c>
      <c r="AO390" s="156"/>
      <c r="AP390" s="157"/>
      <c r="AQ390" s="161"/>
      <c r="AR390" s="160" t="str">
        <f t="shared" si="25"/>
        <v xml:space="preserve"> </v>
      </c>
    </row>
    <row r="391" spans="1:44">
      <c r="A391" s="71"/>
      <c r="B391" s="142"/>
      <c r="C391" s="143"/>
      <c r="D391" s="143"/>
      <c r="E391" s="143"/>
      <c r="F391" s="144"/>
      <c r="G391" s="142"/>
      <c r="H391" s="144" t="str">
        <f>IF(OR(ISBLANK(I391),ISBLANK(AQ391))," ",IFERROR(VLOOKUP(CONCATENATE(I391,AQ391),Prestaciones!$E$1:$H$488,4,FALSE),IFERROR(VLOOKUP(CONCATENATE(LEFT(I391,6),AQ391),Prestaciones!$E$491:$H$836,4,FALSE),"La prestación no corresponde al grupo poblacional")))</f>
        <v xml:space="preserve"> </v>
      </c>
      <c r="I391" s="145"/>
      <c r="J391" s="145" t="str">
        <f>IF(OR(ISBLANK(I391),ISBLANK(AQ391))," ",IFERROR(VLOOKUP(CONCATENATE(I391,AQ391),Prestaciones!$E$1:$G$488,3,FALSE),IFERROR(VLOOKUP(CONCATENATE(LEFT(I391,6),AQ391),Prestaciones!$E$491:$H$836,3,FALSE),"La prestación no corresponde al grupo poblacional")))</f>
        <v xml:space="preserve"> </v>
      </c>
      <c r="K391" s="146"/>
      <c r="L391" s="146"/>
      <c r="M391" s="147"/>
      <c r="N391" s="148"/>
      <c r="O391" s="149"/>
      <c r="P391" s="150"/>
      <c r="Q391" s="151"/>
      <c r="R391" s="151"/>
      <c r="S391" s="151"/>
      <c r="T391" s="147"/>
      <c r="U391" s="147"/>
      <c r="V391" s="147"/>
      <c r="W391" s="149"/>
      <c r="X391" s="149"/>
      <c r="Y391" s="147"/>
      <c r="Z391" s="147"/>
      <c r="AA391" s="147"/>
      <c r="AB391" s="147"/>
      <c r="AC391" s="147"/>
      <c r="AD391" s="147"/>
      <c r="AE391" s="152"/>
      <c r="AF391" s="153" t="str">
        <f t="shared" si="22"/>
        <v xml:space="preserve"> </v>
      </c>
      <c r="AG391" s="154" t="str">
        <f t="shared" si="23"/>
        <v>Ingresar fuente de información</v>
      </c>
      <c r="AH391" s="134"/>
      <c r="AI391" s="155"/>
      <c r="AJ391" s="156"/>
      <c r="AK391" s="157"/>
      <c r="AM391" s="158"/>
      <c r="AN391" s="155" t="str">
        <f t="shared" si="21"/>
        <v xml:space="preserve"> </v>
      </c>
      <c r="AO391" s="156"/>
      <c r="AP391" s="157"/>
      <c r="AQ391" s="161"/>
      <c r="AR391" s="160" t="str">
        <f t="shared" si="25"/>
        <v xml:space="preserve"> </v>
      </c>
    </row>
    <row r="392" spans="1:44">
      <c r="A392" s="71"/>
      <c r="B392" s="142"/>
      <c r="C392" s="143"/>
      <c r="D392" s="143"/>
      <c r="E392" s="143"/>
      <c r="F392" s="144"/>
      <c r="G392" s="142"/>
      <c r="H392" s="144" t="str">
        <f>IF(OR(ISBLANK(I392),ISBLANK(AQ392))," ",IFERROR(VLOOKUP(CONCATENATE(I392,AQ392),Prestaciones!$E$1:$H$488,4,FALSE),IFERROR(VLOOKUP(CONCATENATE(LEFT(I392,6),AQ392),Prestaciones!$E$491:$H$836,4,FALSE),"La prestación no corresponde al grupo poblacional")))</f>
        <v xml:space="preserve"> </v>
      </c>
      <c r="I392" s="145"/>
      <c r="J392" s="145" t="str">
        <f>IF(OR(ISBLANK(I392),ISBLANK(AQ392))," ",IFERROR(VLOOKUP(CONCATENATE(I392,AQ392),Prestaciones!$E$1:$G$488,3,FALSE),IFERROR(VLOOKUP(CONCATENATE(LEFT(I392,6),AQ392),Prestaciones!$E$491:$H$836,3,FALSE),"La prestación no corresponde al grupo poblacional")))</f>
        <v xml:space="preserve"> </v>
      </c>
      <c r="K392" s="146"/>
      <c r="L392" s="146"/>
      <c r="M392" s="147"/>
      <c r="N392" s="148"/>
      <c r="O392" s="149"/>
      <c r="P392" s="150"/>
      <c r="Q392" s="151"/>
      <c r="R392" s="151"/>
      <c r="S392" s="151"/>
      <c r="T392" s="147"/>
      <c r="U392" s="147"/>
      <c r="V392" s="147"/>
      <c r="W392" s="149"/>
      <c r="X392" s="149"/>
      <c r="Y392" s="147"/>
      <c r="Z392" s="147"/>
      <c r="AA392" s="147"/>
      <c r="AB392" s="147"/>
      <c r="AC392" s="147"/>
      <c r="AD392" s="147"/>
      <c r="AE392" s="152"/>
      <c r="AF392" s="153" t="str">
        <f t="shared" si="22"/>
        <v xml:space="preserve"> </v>
      </c>
      <c r="AG392" s="154" t="str">
        <f t="shared" si="23"/>
        <v>Ingresar fuente de información</v>
      </c>
      <c r="AH392" s="134"/>
      <c r="AI392" s="155"/>
      <c r="AJ392" s="156"/>
      <c r="AK392" s="157"/>
      <c r="AM392" s="158"/>
      <c r="AN392" s="155" t="str">
        <f t="shared" si="21"/>
        <v xml:space="preserve"> </v>
      </c>
      <c r="AO392" s="156"/>
      <c r="AP392" s="157"/>
      <c r="AQ392" s="161"/>
      <c r="AR392" s="160" t="str">
        <f t="shared" si="25"/>
        <v xml:space="preserve"> </v>
      </c>
    </row>
    <row r="393" spans="1:44">
      <c r="A393" s="71"/>
      <c r="B393" s="142"/>
      <c r="C393" s="143"/>
      <c r="D393" s="143"/>
      <c r="E393" s="143"/>
      <c r="F393" s="144"/>
      <c r="G393" s="142"/>
      <c r="H393" s="144" t="str">
        <f>IF(OR(ISBLANK(I393),ISBLANK(AQ393))," ",IFERROR(VLOOKUP(CONCATENATE(I393,AQ393),Prestaciones!$E$1:$H$488,4,FALSE),IFERROR(VLOOKUP(CONCATENATE(LEFT(I393,6),AQ393),Prestaciones!$E$491:$H$836,4,FALSE),"La prestación no corresponde al grupo poblacional")))</f>
        <v xml:space="preserve"> </v>
      </c>
      <c r="I393" s="145"/>
      <c r="J393" s="145" t="str">
        <f>IF(OR(ISBLANK(I393),ISBLANK(AQ393))," ",IFERROR(VLOOKUP(CONCATENATE(I393,AQ393),Prestaciones!$E$1:$G$488,3,FALSE),IFERROR(VLOOKUP(CONCATENATE(LEFT(I393,6),AQ393),Prestaciones!$E$491:$H$836,3,FALSE),"La prestación no corresponde al grupo poblacional")))</f>
        <v xml:space="preserve"> </v>
      </c>
      <c r="K393" s="146"/>
      <c r="L393" s="146"/>
      <c r="M393" s="147"/>
      <c r="N393" s="148"/>
      <c r="O393" s="149"/>
      <c r="P393" s="150"/>
      <c r="Q393" s="151"/>
      <c r="R393" s="151"/>
      <c r="S393" s="151"/>
      <c r="T393" s="147"/>
      <c r="U393" s="147"/>
      <c r="V393" s="147"/>
      <c r="W393" s="149"/>
      <c r="X393" s="149"/>
      <c r="Y393" s="147"/>
      <c r="Z393" s="147"/>
      <c r="AA393" s="147"/>
      <c r="AB393" s="147"/>
      <c r="AC393" s="147"/>
      <c r="AD393" s="147"/>
      <c r="AE393" s="152"/>
      <c r="AF393" s="153" t="str">
        <f t="shared" si="22"/>
        <v xml:space="preserve"> </v>
      </c>
      <c r="AG393" s="154" t="str">
        <f t="shared" si="23"/>
        <v>Ingresar fuente de información</v>
      </c>
      <c r="AH393" s="134"/>
      <c r="AI393" s="155"/>
      <c r="AJ393" s="156"/>
      <c r="AK393" s="157"/>
      <c r="AM393" s="158"/>
      <c r="AN393" s="155" t="str">
        <f t="shared" si="21"/>
        <v xml:space="preserve"> </v>
      </c>
      <c r="AO393" s="156"/>
      <c r="AP393" s="157"/>
      <c r="AQ393" s="161"/>
      <c r="AR393" s="160" t="str">
        <f t="shared" si="25"/>
        <v xml:space="preserve"> </v>
      </c>
    </row>
    <row r="394" spans="1:44">
      <c r="A394" s="71"/>
      <c r="B394" s="142"/>
      <c r="C394" s="143"/>
      <c r="D394" s="143"/>
      <c r="E394" s="143"/>
      <c r="F394" s="144"/>
      <c r="G394" s="142"/>
      <c r="H394" s="144" t="str">
        <f>IF(OR(ISBLANK(I394),ISBLANK(AQ394))," ",IFERROR(VLOOKUP(CONCATENATE(I394,AQ394),Prestaciones!$E$1:$H$488,4,FALSE),IFERROR(VLOOKUP(CONCATENATE(LEFT(I394,6),AQ394),Prestaciones!$E$491:$H$836,4,FALSE),"La prestación no corresponde al grupo poblacional")))</f>
        <v xml:space="preserve"> </v>
      </c>
      <c r="I394" s="145"/>
      <c r="J394" s="145" t="str">
        <f>IF(OR(ISBLANK(I394),ISBLANK(AQ394))," ",IFERROR(VLOOKUP(CONCATENATE(I394,AQ394),Prestaciones!$E$1:$G$488,3,FALSE),IFERROR(VLOOKUP(CONCATENATE(LEFT(I394,6),AQ394),Prestaciones!$E$491:$H$836,3,FALSE),"La prestación no corresponde al grupo poblacional")))</f>
        <v xml:space="preserve"> </v>
      </c>
      <c r="K394" s="146"/>
      <c r="L394" s="146"/>
      <c r="M394" s="147"/>
      <c r="N394" s="148"/>
      <c r="O394" s="149"/>
      <c r="P394" s="150"/>
      <c r="Q394" s="151"/>
      <c r="R394" s="151"/>
      <c r="S394" s="151"/>
      <c r="T394" s="147"/>
      <c r="U394" s="147"/>
      <c r="V394" s="147"/>
      <c r="W394" s="149"/>
      <c r="X394" s="149"/>
      <c r="Y394" s="147"/>
      <c r="Z394" s="147"/>
      <c r="AA394" s="147"/>
      <c r="AB394" s="147"/>
      <c r="AC394" s="147"/>
      <c r="AD394" s="147"/>
      <c r="AE394" s="152"/>
      <c r="AF394" s="153" t="str">
        <f t="shared" si="22"/>
        <v xml:space="preserve"> </v>
      </c>
      <c r="AG394" s="154" t="str">
        <f t="shared" si="23"/>
        <v>Ingresar fuente de información</v>
      </c>
      <c r="AH394" s="134"/>
      <c r="AI394" s="155"/>
      <c r="AJ394" s="156"/>
      <c r="AK394" s="157"/>
      <c r="AM394" s="158"/>
      <c r="AN394" s="155" t="str">
        <f t="shared" si="21"/>
        <v xml:space="preserve"> </v>
      </c>
      <c r="AO394" s="156"/>
      <c r="AP394" s="157"/>
      <c r="AQ394" s="161"/>
      <c r="AR394" s="160" t="str">
        <f t="shared" si="25"/>
        <v xml:space="preserve"> </v>
      </c>
    </row>
    <row r="395" spans="1:44">
      <c r="A395" s="71"/>
      <c r="B395" s="142"/>
      <c r="C395" s="143"/>
      <c r="D395" s="143"/>
      <c r="E395" s="143"/>
      <c r="F395" s="144"/>
      <c r="G395" s="142"/>
      <c r="H395" s="144" t="str">
        <f>IF(OR(ISBLANK(I395),ISBLANK(AQ395))," ",IFERROR(VLOOKUP(CONCATENATE(I395,AQ395),Prestaciones!$E$1:$H$488,4,FALSE),IFERROR(VLOOKUP(CONCATENATE(LEFT(I395,6),AQ395),Prestaciones!$E$491:$H$836,4,FALSE),"La prestación no corresponde al grupo poblacional")))</f>
        <v xml:space="preserve"> </v>
      </c>
      <c r="I395" s="145"/>
      <c r="J395" s="145" t="str">
        <f>IF(OR(ISBLANK(I395),ISBLANK(AQ395))," ",IFERROR(VLOOKUP(CONCATENATE(I395,AQ395),Prestaciones!$E$1:$G$488,3,FALSE),IFERROR(VLOOKUP(CONCATENATE(LEFT(I395,6),AQ395),Prestaciones!$E$491:$H$836,3,FALSE),"La prestación no corresponde al grupo poblacional")))</f>
        <v xml:space="preserve"> </v>
      </c>
      <c r="K395" s="146"/>
      <c r="L395" s="146"/>
      <c r="M395" s="147"/>
      <c r="N395" s="148"/>
      <c r="O395" s="149"/>
      <c r="P395" s="150"/>
      <c r="Q395" s="151"/>
      <c r="R395" s="151"/>
      <c r="S395" s="151"/>
      <c r="T395" s="147"/>
      <c r="U395" s="147"/>
      <c r="V395" s="147"/>
      <c r="W395" s="149"/>
      <c r="X395" s="149"/>
      <c r="Y395" s="147"/>
      <c r="Z395" s="147"/>
      <c r="AA395" s="147"/>
      <c r="AB395" s="147"/>
      <c r="AC395" s="147"/>
      <c r="AD395" s="147"/>
      <c r="AE395" s="152"/>
      <c r="AF395" s="153" t="str">
        <f t="shared" si="22"/>
        <v xml:space="preserve"> </v>
      </c>
      <c r="AG395" s="154" t="str">
        <f t="shared" si="23"/>
        <v>Ingresar fuente de información</v>
      </c>
      <c r="AH395" s="134"/>
      <c r="AI395" s="155"/>
      <c r="AJ395" s="156"/>
      <c r="AK395" s="157"/>
      <c r="AM395" s="158"/>
      <c r="AN395" s="155" t="str">
        <f t="shared" si="21"/>
        <v xml:space="preserve"> </v>
      </c>
      <c r="AO395" s="156"/>
      <c r="AP395" s="157"/>
      <c r="AQ395" s="161"/>
      <c r="AR395" s="160" t="str">
        <f t="shared" si="25"/>
        <v xml:space="preserve"> </v>
      </c>
    </row>
    <row r="396" spans="1:44">
      <c r="A396" s="71"/>
      <c r="B396" s="142"/>
      <c r="C396" s="143"/>
      <c r="D396" s="143"/>
      <c r="E396" s="143"/>
      <c r="F396" s="144"/>
      <c r="G396" s="142"/>
      <c r="H396" s="144" t="str">
        <f>IF(OR(ISBLANK(I396),ISBLANK(AQ396))," ",IFERROR(VLOOKUP(CONCATENATE(I396,AQ396),Prestaciones!$E$1:$H$488,4,FALSE),IFERROR(VLOOKUP(CONCATENATE(LEFT(I396,6),AQ396),Prestaciones!$E$491:$H$836,4,FALSE),"La prestación no corresponde al grupo poblacional")))</f>
        <v xml:space="preserve"> </v>
      </c>
      <c r="I396" s="145"/>
      <c r="J396" s="145" t="str">
        <f>IF(OR(ISBLANK(I396),ISBLANK(AQ396))," ",IFERROR(VLOOKUP(CONCATENATE(I396,AQ396),Prestaciones!$E$1:$G$488,3,FALSE),IFERROR(VLOOKUP(CONCATENATE(LEFT(I396,6),AQ396),Prestaciones!$E$491:$H$836,3,FALSE),"La prestación no corresponde al grupo poblacional")))</f>
        <v xml:space="preserve"> </v>
      </c>
      <c r="K396" s="146"/>
      <c r="L396" s="146"/>
      <c r="M396" s="147"/>
      <c r="N396" s="148"/>
      <c r="O396" s="149"/>
      <c r="P396" s="150"/>
      <c r="Q396" s="151"/>
      <c r="R396" s="151"/>
      <c r="S396" s="151"/>
      <c r="T396" s="147"/>
      <c r="U396" s="147"/>
      <c r="V396" s="147"/>
      <c r="W396" s="149"/>
      <c r="X396" s="149"/>
      <c r="Y396" s="147"/>
      <c r="Z396" s="147"/>
      <c r="AA396" s="147"/>
      <c r="AB396" s="147"/>
      <c r="AC396" s="147"/>
      <c r="AD396" s="147"/>
      <c r="AE396" s="152"/>
      <c r="AF396" s="153" t="str">
        <f t="shared" si="22"/>
        <v xml:space="preserve"> </v>
      </c>
      <c r="AG396" s="154" t="str">
        <f t="shared" si="23"/>
        <v>Ingresar fuente de información</v>
      </c>
      <c r="AH396" s="134"/>
      <c r="AI396" s="155"/>
      <c r="AJ396" s="156"/>
      <c r="AK396" s="157"/>
      <c r="AM396" s="158"/>
      <c r="AN396" s="155" t="str">
        <f t="shared" ref="AN396:AN414" si="26">IF(ISBLANK(AM396)," ",IF(AM396=0,"Valido",IF(AM396=1,"No consta fuente de informacion valida",IF(AM396=2,"Prestación inexistente",IF(AM396=3,"Datos requeridos incompletos",IF(AM396=4,"Codificación erronea",IF(AM396=5,"Fuente invalida","Categoria invalida")))))))</f>
        <v xml:space="preserve"> </v>
      </c>
      <c r="AO396" s="156"/>
      <c r="AP396" s="157"/>
      <c r="AQ396" s="161"/>
      <c r="AR396" s="160" t="str">
        <f t="shared" si="25"/>
        <v xml:space="preserve"> </v>
      </c>
    </row>
    <row r="397" spans="1:44">
      <c r="A397" s="71"/>
      <c r="B397" s="142"/>
      <c r="C397" s="143"/>
      <c r="D397" s="143"/>
      <c r="E397" s="143"/>
      <c r="F397" s="144"/>
      <c r="G397" s="142"/>
      <c r="H397" s="144" t="str">
        <f>IF(OR(ISBLANK(I397),ISBLANK(AQ397))," ",IFERROR(VLOOKUP(CONCATENATE(I397,AQ397),Prestaciones!$E$1:$H$488,4,FALSE),IFERROR(VLOOKUP(CONCATENATE(LEFT(I397,6),AQ397),Prestaciones!$E$491:$H$836,4,FALSE),"La prestación no corresponde al grupo poblacional")))</f>
        <v xml:space="preserve"> </v>
      </c>
      <c r="I397" s="145"/>
      <c r="J397" s="145" t="str">
        <f>IF(OR(ISBLANK(I397),ISBLANK(AQ397))," ",IFERROR(VLOOKUP(CONCATENATE(I397,AQ397),Prestaciones!$E$1:$G$488,3,FALSE),IFERROR(VLOOKUP(CONCATENATE(LEFT(I397,6),AQ397),Prestaciones!$E$491:$H$836,3,FALSE),"La prestación no corresponde al grupo poblacional")))</f>
        <v xml:space="preserve"> </v>
      </c>
      <c r="K397" s="146"/>
      <c r="L397" s="146"/>
      <c r="M397" s="147"/>
      <c r="N397" s="148"/>
      <c r="O397" s="149"/>
      <c r="P397" s="150"/>
      <c r="Q397" s="151"/>
      <c r="R397" s="151"/>
      <c r="S397" s="151"/>
      <c r="T397" s="147"/>
      <c r="U397" s="147"/>
      <c r="V397" s="147"/>
      <c r="W397" s="149"/>
      <c r="X397" s="149"/>
      <c r="Y397" s="147"/>
      <c r="Z397" s="147"/>
      <c r="AA397" s="147"/>
      <c r="AB397" s="147"/>
      <c r="AC397" s="147"/>
      <c r="AD397" s="147"/>
      <c r="AE397" s="152"/>
      <c r="AF397" s="153" t="str">
        <f t="shared" si="22"/>
        <v xml:space="preserve"> </v>
      </c>
      <c r="AG397" s="154" t="str">
        <f t="shared" si="23"/>
        <v>Ingresar fuente de información</v>
      </c>
      <c r="AH397" s="134"/>
      <c r="AI397" s="155"/>
      <c r="AJ397" s="156"/>
      <c r="AK397" s="157"/>
      <c r="AM397" s="158"/>
      <c r="AN397" s="155" t="str">
        <f t="shared" si="26"/>
        <v xml:space="preserve"> </v>
      </c>
      <c r="AO397" s="156"/>
      <c r="AP397" s="157"/>
      <c r="AQ397" s="161"/>
      <c r="AR397" s="160" t="str">
        <f t="shared" si="25"/>
        <v xml:space="preserve"> </v>
      </c>
    </row>
    <row r="398" spans="1:44">
      <c r="A398" s="71"/>
      <c r="B398" s="142"/>
      <c r="C398" s="143"/>
      <c r="D398" s="143"/>
      <c r="E398" s="143"/>
      <c r="F398" s="144"/>
      <c r="G398" s="142"/>
      <c r="H398" s="144" t="str">
        <f>IF(OR(ISBLANK(I398),ISBLANK(AQ398))," ",IFERROR(VLOOKUP(CONCATENATE(I398,AQ398),Prestaciones!$E$1:$H$488,4,FALSE),IFERROR(VLOOKUP(CONCATENATE(LEFT(I398,6),AQ398),Prestaciones!$E$491:$H$836,4,FALSE),"La prestación no corresponde al grupo poblacional")))</f>
        <v xml:space="preserve"> </v>
      </c>
      <c r="I398" s="145"/>
      <c r="J398" s="145" t="str">
        <f>IF(OR(ISBLANK(I398),ISBLANK(AQ398))," ",IFERROR(VLOOKUP(CONCATENATE(I398,AQ398),Prestaciones!$E$1:$G$488,3,FALSE),IFERROR(VLOOKUP(CONCATENATE(LEFT(I398,6),AQ398),Prestaciones!$E$491:$H$836,3,FALSE),"La prestación no corresponde al grupo poblacional")))</f>
        <v xml:space="preserve"> </v>
      </c>
      <c r="K398" s="146"/>
      <c r="L398" s="146"/>
      <c r="M398" s="147"/>
      <c r="N398" s="148"/>
      <c r="O398" s="149"/>
      <c r="P398" s="150"/>
      <c r="Q398" s="151"/>
      <c r="R398" s="151"/>
      <c r="S398" s="151"/>
      <c r="T398" s="147"/>
      <c r="U398" s="147"/>
      <c r="V398" s="147"/>
      <c r="W398" s="149"/>
      <c r="X398" s="149"/>
      <c r="Y398" s="147"/>
      <c r="Z398" s="147"/>
      <c r="AA398" s="147"/>
      <c r="AB398" s="147"/>
      <c r="AC398" s="147"/>
      <c r="AD398" s="147"/>
      <c r="AE398" s="152"/>
      <c r="AF398" s="153" t="str">
        <f t="shared" si="22"/>
        <v xml:space="preserve"> </v>
      </c>
      <c r="AG398" s="154" t="str">
        <f t="shared" si="23"/>
        <v>Ingresar fuente de información</v>
      </c>
      <c r="AH398" s="134"/>
      <c r="AI398" s="155"/>
      <c r="AJ398" s="156"/>
      <c r="AK398" s="157"/>
      <c r="AM398" s="158"/>
      <c r="AN398" s="155" t="str">
        <f t="shared" si="26"/>
        <v xml:space="preserve"> </v>
      </c>
      <c r="AO398" s="156"/>
      <c r="AP398" s="157"/>
      <c r="AQ398" s="161"/>
      <c r="AR398" s="160" t="str">
        <f t="shared" si="25"/>
        <v xml:space="preserve"> </v>
      </c>
    </row>
    <row r="399" spans="1:44">
      <c r="A399" s="71"/>
      <c r="B399" s="142"/>
      <c r="C399" s="143"/>
      <c r="D399" s="143"/>
      <c r="E399" s="143"/>
      <c r="F399" s="144"/>
      <c r="G399" s="142"/>
      <c r="H399" s="144" t="str">
        <f>IF(OR(ISBLANK(I399),ISBLANK(AQ399))," ",IFERROR(VLOOKUP(CONCATENATE(I399,AQ399),Prestaciones!$E$1:$H$488,4,FALSE),IFERROR(VLOOKUP(CONCATENATE(LEFT(I399,6),AQ399),Prestaciones!$E$491:$H$836,4,FALSE),"La prestación no corresponde al grupo poblacional")))</f>
        <v xml:space="preserve"> </v>
      </c>
      <c r="I399" s="145"/>
      <c r="J399" s="145" t="str">
        <f>IF(OR(ISBLANK(I399),ISBLANK(AQ399))," ",IFERROR(VLOOKUP(CONCATENATE(I399,AQ399),Prestaciones!$E$1:$G$488,3,FALSE),IFERROR(VLOOKUP(CONCATENATE(LEFT(I399,6),AQ399),Prestaciones!$E$491:$H$836,3,FALSE),"La prestación no corresponde al grupo poblacional")))</f>
        <v xml:space="preserve"> </v>
      </c>
      <c r="K399" s="146"/>
      <c r="L399" s="146"/>
      <c r="M399" s="147"/>
      <c r="N399" s="148"/>
      <c r="O399" s="149"/>
      <c r="P399" s="150"/>
      <c r="Q399" s="151"/>
      <c r="R399" s="151"/>
      <c r="S399" s="151"/>
      <c r="T399" s="147"/>
      <c r="U399" s="147"/>
      <c r="V399" s="147"/>
      <c r="W399" s="149"/>
      <c r="X399" s="149"/>
      <c r="Y399" s="147"/>
      <c r="Z399" s="147"/>
      <c r="AA399" s="147"/>
      <c r="AB399" s="147"/>
      <c r="AC399" s="147"/>
      <c r="AD399" s="147"/>
      <c r="AE399" s="152"/>
      <c r="AF399" s="153" t="str">
        <f t="shared" si="22"/>
        <v xml:space="preserve"> </v>
      </c>
      <c r="AG399" s="154" t="str">
        <f t="shared" si="23"/>
        <v>Ingresar fuente de información</v>
      </c>
      <c r="AH399" s="134"/>
      <c r="AI399" s="155"/>
      <c r="AJ399" s="156"/>
      <c r="AK399" s="157"/>
      <c r="AM399" s="158"/>
      <c r="AN399" s="155" t="str">
        <f t="shared" si="26"/>
        <v xml:space="preserve"> </v>
      </c>
      <c r="AO399" s="156"/>
      <c r="AP399" s="157"/>
      <c r="AQ399" s="161"/>
      <c r="AR399" s="160" t="str">
        <f t="shared" si="25"/>
        <v xml:space="preserve"> </v>
      </c>
    </row>
    <row r="400" spans="1:44">
      <c r="A400" s="71"/>
      <c r="B400" s="142"/>
      <c r="C400" s="143"/>
      <c r="D400" s="143"/>
      <c r="E400" s="143"/>
      <c r="F400" s="144"/>
      <c r="G400" s="142"/>
      <c r="H400" s="144" t="str">
        <f>IF(OR(ISBLANK(I400),ISBLANK(AQ400))," ",IFERROR(VLOOKUP(CONCATENATE(I400,AQ400),Prestaciones!$E$1:$H$488,4,FALSE),IFERROR(VLOOKUP(CONCATENATE(LEFT(I400,6),AQ400),Prestaciones!$E$491:$H$836,4,FALSE),"La prestación no corresponde al grupo poblacional")))</f>
        <v xml:space="preserve"> </v>
      </c>
      <c r="I400" s="145"/>
      <c r="J400" s="145" t="str">
        <f>IF(OR(ISBLANK(I400),ISBLANK(AQ400))," ",IFERROR(VLOOKUP(CONCATENATE(I400,AQ400),Prestaciones!$E$1:$G$488,3,FALSE),IFERROR(VLOOKUP(CONCATENATE(LEFT(I400,6),AQ400),Prestaciones!$E$491:$H$836,3,FALSE),"La prestación no corresponde al grupo poblacional")))</f>
        <v xml:space="preserve"> </v>
      </c>
      <c r="K400" s="146"/>
      <c r="L400" s="146"/>
      <c r="M400" s="147"/>
      <c r="N400" s="148"/>
      <c r="O400" s="149"/>
      <c r="P400" s="150"/>
      <c r="Q400" s="151"/>
      <c r="R400" s="151"/>
      <c r="S400" s="151"/>
      <c r="T400" s="147"/>
      <c r="U400" s="147"/>
      <c r="V400" s="147"/>
      <c r="W400" s="149"/>
      <c r="X400" s="149"/>
      <c r="Y400" s="147"/>
      <c r="Z400" s="147"/>
      <c r="AA400" s="147"/>
      <c r="AB400" s="147"/>
      <c r="AC400" s="147"/>
      <c r="AD400" s="147"/>
      <c r="AE400" s="152"/>
      <c r="AF400" s="153" t="str">
        <f t="shared" si="22"/>
        <v xml:space="preserve"> </v>
      </c>
      <c r="AG400" s="154" t="str">
        <f t="shared" si="23"/>
        <v>Ingresar fuente de información</v>
      </c>
      <c r="AH400" s="134"/>
      <c r="AI400" s="155"/>
      <c r="AJ400" s="156"/>
      <c r="AK400" s="157"/>
      <c r="AM400" s="158"/>
      <c r="AN400" s="155" t="str">
        <f t="shared" si="26"/>
        <v xml:space="preserve"> </v>
      </c>
      <c r="AO400" s="156"/>
      <c r="AP400" s="157"/>
      <c r="AQ400" s="161"/>
      <c r="AR400" s="160" t="str">
        <f t="shared" si="25"/>
        <v xml:space="preserve"> </v>
      </c>
    </row>
    <row r="401" spans="1:44">
      <c r="A401" s="71"/>
      <c r="B401" s="142"/>
      <c r="C401" s="143"/>
      <c r="D401" s="143"/>
      <c r="E401" s="143"/>
      <c r="F401" s="144"/>
      <c r="G401" s="142"/>
      <c r="H401" s="144" t="str">
        <f>IF(OR(ISBLANK(I401),ISBLANK(AQ401))," ",IFERROR(VLOOKUP(CONCATENATE(I401,AQ401),Prestaciones!$E$1:$H$488,4,FALSE),IFERROR(VLOOKUP(CONCATENATE(LEFT(I401,6),AQ401),Prestaciones!$E$491:$H$836,4,FALSE),"La prestación no corresponde al grupo poblacional")))</f>
        <v xml:space="preserve"> </v>
      </c>
      <c r="I401" s="145"/>
      <c r="J401" s="145" t="str">
        <f>IF(OR(ISBLANK(I401),ISBLANK(AQ401))," ",IFERROR(VLOOKUP(CONCATENATE(I401,AQ401),Prestaciones!$E$1:$G$488,3,FALSE),IFERROR(VLOOKUP(CONCATENATE(LEFT(I401,6),AQ401),Prestaciones!$E$491:$H$836,3,FALSE),"La prestación no corresponde al grupo poblacional")))</f>
        <v xml:space="preserve"> </v>
      </c>
      <c r="K401" s="146"/>
      <c r="L401" s="146"/>
      <c r="M401" s="147"/>
      <c r="N401" s="148"/>
      <c r="O401" s="149"/>
      <c r="P401" s="150"/>
      <c r="Q401" s="151"/>
      <c r="R401" s="151"/>
      <c r="S401" s="151"/>
      <c r="T401" s="147"/>
      <c r="U401" s="147"/>
      <c r="V401" s="147"/>
      <c r="W401" s="149"/>
      <c r="X401" s="149"/>
      <c r="Y401" s="147"/>
      <c r="Z401" s="147"/>
      <c r="AA401" s="147"/>
      <c r="AB401" s="147"/>
      <c r="AC401" s="147"/>
      <c r="AD401" s="147"/>
      <c r="AE401" s="152"/>
      <c r="AF401" s="153" t="str">
        <f t="shared" si="22"/>
        <v xml:space="preserve"> </v>
      </c>
      <c r="AG401" s="154" t="str">
        <f t="shared" si="23"/>
        <v>Ingresar fuente de información</v>
      </c>
      <c r="AH401" s="134"/>
      <c r="AI401" s="155"/>
      <c r="AJ401" s="156"/>
      <c r="AK401" s="157"/>
      <c r="AM401" s="158"/>
      <c r="AN401" s="155" t="str">
        <f t="shared" si="26"/>
        <v xml:space="preserve"> </v>
      </c>
      <c r="AO401" s="156"/>
      <c r="AP401" s="157"/>
      <c r="AQ401" s="161"/>
      <c r="AR401" s="160" t="str">
        <f t="shared" si="25"/>
        <v xml:space="preserve"> </v>
      </c>
    </row>
    <row r="402" spans="1:44">
      <c r="A402" s="71"/>
      <c r="B402" s="142"/>
      <c r="C402" s="143"/>
      <c r="D402" s="143"/>
      <c r="E402" s="143"/>
      <c r="F402" s="144"/>
      <c r="G402" s="142"/>
      <c r="H402" s="144" t="str">
        <f>IF(OR(ISBLANK(I402),ISBLANK(AQ402))," ",IFERROR(VLOOKUP(CONCATENATE(I402,AQ402),Prestaciones!$E$1:$H$488,4,FALSE),IFERROR(VLOOKUP(CONCATENATE(LEFT(I402,6),AQ402),Prestaciones!$E$491:$H$836,4,FALSE),"La prestación no corresponde al grupo poblacional")))</f>
        <v xml:space="preserve"> </v>
      </c>
      <c r="I402" s="145"/>
      <c r="J402" s="145" t="str">
        <f>IF(OR(ISBLANK(I402),ISBLANK(AQ402))," ",IFERROR(VLOOKUP(CONCATENATE(I402,AQ402),Prestaciones!$E$1:$G$488,3,FALSE),IFERROR(VLOOKUP(CONCATENATE(LEFT(I402,6),AQ402),Prestaciones!$E$491:$H$836,3,FALSE),"La prestación no corresponde al grupo poblacional")))</f>
        <v xml:space="preserve"> </v>
      </c>
      <c r="K402" s="146"/>
      <c r="L402" s="146"/>
      <c r="M402" s="147"/>
      <c r="N402" s="148"/>
      <c r="O402" s="149"/>
      <c r="P402" s="150"/>
      <c r="Q402" s="151"/>
      <c r="R402" s="151"/>
      <c r="S402" s="151"/>
      <c r="T402" s="147"/>
      <c r="U402" s="147"/>
      <c r="V402" s="147"/>
      <c r="W402" s="149"/>
      <c r="X402" s="149"/>
      <c r="Y402" s="147"/>
      <c r="Z402" s="147"/>
      <c r="AA402" s="147"/>
      <c r="AB402" s="147"/>
      <c r="AC402" s="147"/>
      <c r="AD402" s="147"/>
      <c r="AE402" s="152"/>
      <c r="AF402" s="153" t="str">
        <f t="shared" ref="AF402:AF410" si="27">IF(ISBLANK(P402)," ",(K402-P402)/365)</f>
        <v xml:space="preserve"> </v>
      </c>
      <c r="AG402" s="154" t="str">
        <f t="shared" si="23"/>
        <v>Ingresar fuente de información</v>
      </c>
      <c r="AH402" s="134"/>
      <c r="AI402" s="155"/>
      <c r="AJ402" s="156"/>
      <c r="AK402" s="157"/>
      <c r="AM402" s="158"/>
      <c r="AN402" s="155" t="str">
        <f t="shared" si="26"/>
        <v xml:space="preserve"> </v>
      </c>
      <c r="AO402" s="156"/>
      <c r="AP402" s="157"/>
      <c r="AQ402" s="161"/>
      <c r="AR402" s="160" t="str">
        <f t="shared" si="25"/>
        <v xml:space="preserve"> </v>
      </c>
    </row>
    <row r="403" spans="1:44">
      <c r="A403" s="71"/>
      <c r="B403" s="142"/>
      <c r="C403" s="143"/>
      <c r="D403" s="143"/>
      <c r="E403" s="143"/>
      <c r="F403" s="144"/>
      <c r="G403" s="142"/>
      <c r="H403" s="144" t="str">
        <f>IF(OR(ISBLANK(I403),ISBLANK(AQ403))," ",IFERROR(VLOOKUP(CONCATENATE(I403,AQ403),Prestaciones!$E$1:$H$488,4,FALSE),IFERROR(VLOOKUP(CONCATENATE(LEFT(I403,6),AQ403),Prestaciones!$E$491:$H$836,4,FALSE),"La prestación no corresponde al grupo poblacional")))</f>
        <v xml:space="preserve"> </v>
      </c>
      <c r="I403" s="145"/>
      <c r="J403" s="145" t="str">
        <f>IF(OR(ISBLANK(I403),ISBLANK(AQ403))," ",IFERROR(VLOOKUP(CONCATENATE(I403,AQ403),Prestaciones!$E$1:$G$488,3,FALSE),IFERROR(VLOOKUP(CONCATENATE(LEFT(I403,6),AQ403),Prestaciones!$E$491:$H$836,3,FALSE),"La prestación no corresponde al grupo poblacional")))</f>
        <v xml:space="preserve"> </v>
      </c>
      <c r="K403" s="146"/>
      <c r="L403" s="146"/>
      <c r="M403" s="147"/>
      <c r="N403" s="148"/>
      <c r="O403" s="149"/>
      <c r="P403" s="150"/>
      <c r="Q403" s="151"/>
      <c r="R403" s="151"/>
      <c r="S403" s="151"/>
      <c r="T403" s="147"/>
      <c r="U403" s="147"/>
      <c r="V403" s="147"/>
      <c r="W403" s="149"/>
      <c r="X403" s="149"/>
      <c r="Y403" s="147"/>
      <c r="Z403" s="147"/>
      <c r="AA403" s="147"/>
      <c r="AB403" s="147"/>
      <c r="AC403" s="147"/>
      <c r="AD403" s="147"/>
      <c r="AE403" s="152"/>
      <c r="AF403" s="153" t="str">
        <f t="shared" si="27"/>
        <v xml:space="preserve"> </v>
      </c>
      <c r="AG403" s="154" t="str">
        <f t="shared" si="23"/>
        <v>Ingresar fuente de información</v>
      </c>
      <c r="AH403" s="134"/>
      <c r="AI403" s="155"/>
      <c r="AJ403" s="156"/>
      <c r="AK403" s="157"/>
      <c r="AM403" s="158"/>
      <c r="AN403" s="155" t="str">
        <f t="shared" si="26"/>
        <v xml:space="preserve"> </v>
      </c>
      <c r="AO403" s="156"/>
      <c r="AP403" s="157"/>
      <c r="AQ403" s="161"/>
      <c r="AR403" s="160" t="str">
        <f t="shared" si="25"/>
        <v xml:space="preserve"> </v>
      </c>
    </row>
    <row r="404" spans="1:44">
      <c r="A404" s="71"/>
      <c r="B404" s="142"/>
      <c r="C404" s="143"/>
      <c r="D404" s="143"/>
      <c r="E404" s="143"/>
      <c r="F404" s="144"/>
      <c r="G404" s="142"/>
      <c r="H404" s="144" t="str">
        <f>IF(OR(ISBLANK(I404),ISBLANK(AQ404))," ",IFERROR(VLOOKUP(CONCATENATE(I404,AQ404),Prestaciones!$E$1:$H$488,4,FALSE),IFERROR(VLOOKUP(CONCATENATE(LEFT(I404,6),AQ404),Prestaciones!$E$491:$H$836,4,FALSE),"La prestación no corresponde al grupo poblacional")))</f>
        <v xml:space="preserve"> </v>
      </c>
      <c r="I404" s="145"/>
      <c r="J404" s="145" t="str">
        <f>IF(OR(ISBLANK(I404),ISBLANK(AQ404))," ",IFERROR(VLOOKUP(CONCATENATE(I404,AQ404),Prestaciones!$E$1:$G$488,3,FALSE),IFERROR(VLOOKUP(CONCATENATE(LEFT(I404,6),AQ404),Prestaciones!$E$491:$H$836,3,FALSE),"La prestación no corresponde al grupo poblacional")))</f>
        <v xml:space="preserve"> </v>
      </c>
      <c r="K404" s="146"/>
      <c r="L404" s="146"/>
      <c r="M404" s="147"/>
      <c r="N404" s="148"/>
      <c r="O404" s="149"/>
      <c r="P404" s="150"/>
      <c r="Q404" s="151"/>
      <c r="R404" s="151"/>
      <c r="S404" s="151"/>
      <c r="T404" s="147"/>
      <c r="U404" s="147"/>
      <c r="V404" s="147"/>
      <c r="W404" s="149"/>
      <c r="X404" s="149"/>
      <c r="Y404" s="147"/>
      <c r="Z404" s="147"/>
      <c r="AA404" s="147"/>
      <c r="AB404" s="147"/>
      <c r="AC404" s="147"/>
      <c r="AD404" s="147"/>
      <c r="AE404" s="152"/>
      <c r="AF404" s="153" t="str">
        <f t="shared" si="27"/>
        <v xml:space="preserve"> </v>
      </c>
      <c r="AG404" s="154" t="str">
        <f t="shared" si="23"/>
        <v>Ingresar fuente de información</v>
      </c>
      <c r="AH404" s="134"/>
      <c r="AI404" s="155"/>
      <c r="AJ404" s="156"/>
      <c r="AK404" s="157"/>
      <c r="AM404" s="158"/>
      <c r="AN404" s="155" t="str">
        <f t="shared" si="26"/>
        <v xml:space="preserve"> </v>
      </c>
      <c r="AO404" s="156"/>
      <c r="AP404" s="157"/>
      <c r="AQ404" s="161"/>
      <c r="AR404" s="160" t="str">
        <f t="shared" si="25"/>
        <v xml:space="preserve"> </v>
      </c>
    </row>
    <row r="405" spans="1:44">
      <c r="A405" s="71"/>
      <c r="B405" s="142"/>
      <c r="C405" s="143"/>
      <c r="D405" s="143"/>
      <c r="E405" s="143"/>
      <c r="F405" s="144"/>
      <c r="G405" s="142"/>
      <c r="H405" s="144" t="str">
        <f>IF(OR(ISBLANK(I405),ISBLANK(AQ405))," ",IFERROR(VLOOKUP(CONCATENATE(I405,AQ405),Prestaciones!$E$1:$H$488,4,FALSE),IFERROR(VLOOKUP(CONCATENATE(LEFT(I405,6),AQ405),Prestaciones!$E$491:$H$836,4,FALSE),"La prestación no corresponde al grupo poblacional")))</f>
        <v xml:space="preserve"> </v>
      </c>
      <c r="I405" s="145"/>
      <c r="J405" s="145" t="str">
        <f>IF(OR(ISBLANK(I405),ISBLANK(AQ405))," ",IFERROR(VLOOKUP(CONCATENATE(I405,AQ405),Prestaciones!$E$1:$G$488,3,FALSE),IFERROR(VLOOKUP(CONCATENATE(LEFT(I405,6),AQ405),Prestaciones!$E$491:$H$836,3,FALSE),"La prestación no corresponde al grupo poblacional")))</f>
        <v xml:space="preserve"> </v>
      </c>
      <c r="K405" s="146"/>
      <c r="L405" s="146"/>
      <c r="M405" s="147"/>
      <c r="N405" s="148"/>
      <c r="O405" s="149"/>
      <c r="P405" s="150"/>
      <c r="Q405" s="151"/>
      <c r="R405" s="151"/>
      <c r="S405" s="151"/>
      <c r="T405" s="147"/>
      <c r="U405" s="147"/>
      <c r="V405" s="147"/>
      <c r="W405" s="149"/>
      <c r="X405" s="149"/>
      <c r="Y405" s="147"/>
      <c r="Z405" s="147"/>
      <c r="AA405" s="147"/>
      <c r="AB405" s="147"/>
      <c r="AC405" s="147"/>
      <c r="AD405" s="147"/>
      <c r="AE405" s="152"/>
      <c r="AF405" s="153" t="str">
        <f t="shared" si="27"/>
        <v xml:space="preserve"> </v>
      </c>
      <c r="AG405" s="154" t="str">
        <f t="shared" si="23"/>
        <v>Ingresar fuente de información</v>
      </c>
      <c r="AH405" s="134"/>
      <c r="AI405" s="155"/>
      <c r="AJ405" s="156"/>
      <c r="AK405" s="157"/>
      <c r="AM405" s="158"/>
      <c r="AN405" s="155" t="str">
        <f t="shared" si="26"/>
        <v xml:space="preserve"> </v>
      </c>
      <c r="AO405" s="156"/>
      <c r="AP405" s="157"/>
      <c r="AQ405" s="161"/>
      <c r="AR405" s="160" t="str">
        <f t="shared" si="25"/>
        <v xml:space="preserve"> </v>
      </c>
    </row>
    <row r="406" spans="1:44">
      <c r="A406" s="71"/>
      <c r="B406" s="142"/>
      <c r="C406" s="143"/>
      <c r="D406" s="143"/>
      <c r="E406" s="143"/>
      <c r="F406" s="144"/>
      <c r="G406" s="142"/>
      <c r="H406" s="144" t="str">
        <f>IF(OR(ISBLANK(I406),ISBLANK(AQ406))," ",IFERROR(VLOOKUP(CONCATENATE(I406,AQ406),Prestaciones!$E$1:$H$488,4,FALSE),IFERROR(VLOOKUP(CONCATENATE(LEFT(I406,6),AQ406),Prestaciones!$E$491:$H$836,4,FALSE),"La prestación no corresponde al grupo poblacional")))</f>
        <v xml:space="preserve"> </v>
      </c>
      <c r="I406" s="145"/>
      <c r="J406" s="145" t="str">
        <f>IF(OR(ISBLANK(I406),ISBLANK(AQ406))," ",IFERROR(VLOOKUP(CONCATENATE(I406,AQ406),Prestaciones!$E$1:$G$488,3,FALSE),IFERROR(VLOOKUP(CONCATENATE(LEFT(I406,6),AQ406),Prestaciones!$E$491:$H$836,3,FALSE),"La prestación no corresponde al grupo poblacional")))</f>
        <v xml:space="preserve"> </v>
      </c>
      <c r="K406" s="146"/>
      <c r="L406" s="146"/>
      <c r="M406" s="147"/>
      <c r="N406" s="148"/>
      <c r="O406" s="149"/>
      <c r="P406" s="150"/>
      <c r="Q406" s="151"/>
      <c r="R406" s="151"/>
      <c r="S406" s="151"/>
      <c r="T406" s="147"/>
      <c r="U406" s="147"/>
      <c r="V406" s="147"/>
      <c r="W406" s="149"/>
      <c r="X406" s="149"/>
      <c r="Y406" s="147"/>
      <c r="Z406" s="147"/>
      <c r="AA406" s="147"/>
      <c r="AB406" s="147"/>
      <c r="AC406" s="147"/>
      <c r="AD406" s="147"/>
      <c r="AE406" s="152"/>
      <c r="AF406" s="153" t="str">
        <f t="shared" si="27"/>
        <v xml:space="preserve"> </v>
      </c>
      <c r="AG406" s="154" t="str">
        <f t="shared" si="23"/>
        <v>Ingresar fuente de información</v>
      </c>
      <c r="AH406" s="134"/>
      <c r="AI406" s="155"/>
      <c r="AJ406" s="156"/>
      <c r="AK406" s="157"/>
      <c r="AM406" s="158"/>
      <c r="AN406" s="155" t="str">
        <f t="shared" si="26"/>
        <v xml:space="preserve"> </v>
      </c>
      <c r="AO406" s="156"/>
      <c r="AP406" s="157"/>
      <c r="AQ406" s="161"/>
      <c r="AR406" s="160" t="str">
        <f t="shared" si="25"/>
        <v xml:space="preserve"> </v>
      </c>
    </row>
    <row r="407" spans="1:44">
      <c r="A407" s="71"/>
      <c r="B407" s="142"/>
      <c r="C407" s="143"/>
      <c r="D407" s="143"/>
      <c r="E407" s="143"/>
      <c r="F407" s="144"/>
      <c r="G407" s="142"/>
      <c r="H407" s="144" t="str">
        <f>IF(OR(ISBLANK(I407),ISBLANK(AQ407))," ",IFERROR(VLOOKUP(CONCATENATE(I407,AQ407),Prestaciones!$E$1:$H$488,4,FALSE),IFERROR(VLOOKUP(CONCATENATE(LEFT(I407,6),AQ407),Prestaciones!$E$491:$H$836,4,FALSE),"La prestación no corresponde al grupo poblacional")))</f>
        <v xml:space="preserve"> </v>
      </c>
      <c r="I407" s="145"/>
      <c r="J407" s="145" t="str">
        <f>IF(OR(ISBLANK(I407),ISBLANK(AQ407))," ",IFERROR(VLOOKUP(CONCATENATE(I407,AQ407),Prestaciones!$E$1:$G$488,3,FALSE),IFERROR(VLOOKUP(CONCATENATE(LEFT(I407,6),AQ407),Prestaciones!$E$491:$H$836,3,FALSE),"La prestación no corresponde al grupo poblacional")))</f>
        <v xml:space="preserve"> </v>
      </c>
      <c r="K407" s="146"/>
      <c r="L407" s="146"/>
      <c r="M407" s="147"/>
      <c r="N407" s="148"/>
      <c r="O407" s="149"/>
      <c r="P407" s="150"/>
      <c r="Q407" s="151"/>
      <c r="R407" s="151"/>
      <c r="S407" s="151"/>
      <c r="T407" s="147"/>
      <c r="U407" s="147"/>
      <c r="V407" s="147"/>
      <c r="W407" s="149"/>
      <c r="X407" s="149"/>
      <c r="Y407" s="147"/>
      <c r="Z407" s="147"/>
      <c r="AA407" s="147"/>
      <c r="AB407" s="147"/>
      <c r="AC407" s="147"/>
      <c r="AD407" s="147"/>
      <c r="AE407" s="152"/>
      <c r="AF407" s="153" t="str">
        <f t="shared" si="27"/>
        <v xml:space="preserve"> </v>
      </c>
      <c r="AG407" s="154" t="str">
        <f t="shared" si="23"/>
        <v>Ingresar fuente de información</v>
      </c>
      <c r="AH407" s="134"/>
      <c r="AI407" s="155"/>
      <c r="AJ407" s="156"/>
      <c r="AK407" s="157"/>
      <c r="AM407" s="158"/>
      <c r="AN407" s="155" t="str">
        <f t="shared" si="26"/>
        <v xml:space="preserve"> </v>
      </c>
      <c r="AO407" s="156"/>
      <c r="AP407" s="157"/>
      <c r="AQ407" s="161"/>
      <c r="AR407" s="160" t="str">
        <f t="shared" si="25"/>
        <v xml:space="preserve"> </v>
      </c>
    </row>
    <row r="408" spans="1:44">
      <c r="A408" s="71"/>
      <c r="B408" s="142"/>
      <c r="C408" s="143"/>
      <c r="D408" s="143"/>
      <c r="E408" s="143"/>
      <c r="F408" s="144"/>
      <c r="G408" s="142"/>
      <c r="H408" s="144" t="str">
        <f>IF(OR(ISBLANK(I408),ISBLANK(AQ408))," ",IFERROR(VLOOKUP(CONCATENATE(I408,AQ408),Prestaciones!$E$1:$H$488,4,FALSE),IFERROR(VLOOKUP(CONCATENATE(LEFT(I408,6),AQ408),Prestaciones!$E$491:$H$836,4,FALSE),"La prestación no corresponde al grupo poblacional")))</f>
        <v xml:space="preserve"> </v>
      </c>
      <c r="I408" s="145"/>
      <c r="J408" s="145" t="str">
        <f>IF(OR(ISBLANK(I408),ISBLANK(AQ408))," ",IFERROR(VLOOKUP(CONCATENATE(I408,AQ408),Prestaciones!$E$1:$G$488,3,FALSE),IFERROR(VLOOKUP(CONCATENATE(LEFT(I408,6),AQ408),Prestaciones!$E$491:$H$836,3,FALSE),"La prestación no corresponde al grupo poblacional")))</f>
        <v xml:space="preserve"> </v>
      </c>
      <c r="K408" s="146"/>
      <c r="L408" s="146"/>
      <c r="M408" s="147"/>
      <c r="N408" s="148"/>
      <c r="O408" s="149"/>
      <c r="P408" s="150"/>
      <c r="Q408" s="151"/>
      <c r="R408" s="151"/>
      <c r="S408" s="151"/>
      <c r="T408" s="147"/>
      <c r="U408" s="147"/>
      <c r="V408" s="147"/>
      <c r="W408" s="149"/>
      <c r="X408" s="149"/>
      <c r="Y408" s="147"/>
      <c r="Z408" s="147"/>
      <c r="AA408" s="147"/>
      <c r="AB408" s="147"/>
      <c r="AC408" s="147"/>
      <c r="AD408" s="147"/>
      <c r="AE408" s="152"/>
      <c r="AF408" s="153" t="str">
        <f t="shared" si="27"/>
        <v xml:space="preserve"> </v>
      </c>
      <c r="AG408" s="154" t="str">
        <f t="shared" si="23"/>
        <v>Ingresar fuente de información</v>
      </c>
      <c r="AH408" s="134"/>
      <c r="AI408" s="155"/>
      <c r="AJ408" s="156"/>
      <c r="AK408" s="157"/>
      <c r="AM408" s="158"/>
      <c r="AN408" s="155" t="str">
        <f t="shared" si="26"/>
        <v xml:space="preserve"> </v>
      </c>
      <c r="AO408" s="156"/>
      <c r="AP408" s="157"/>
      <c r="AQ408" s="161"/>
      <c r="AR408" s="160" t="str">
        <f t="shared" si="25"/>
        <v xml:space="preserve"> </v>
      </c>
    </row>
    <row r="409" spans="1:44">
      <c r="A409" s="71"/>
      <c r="B409" s="142"/>
      <c r="C409" s="143"/>
      <c r="D409" s="143"/>
      <c r="E409" s="143"/>
      <c r="F409" s="144"/>
      <c r="G409" s="142"/>
      <c r="H409" s="144" t="str">
        <f>IF(OR(ISBLANK(I409),ISBLANK(AQ409))," ",IFERROR(VLOOKUP(CONCATENATE(I409,AQ409),Prestaciones!$E$1:$H$488,4,FALSE),IFERROR(VLOOKUP(CONCATENATE(LEFT(I409,6),AQ409),Prestaciones!$E$491:$H$836,4,FALSE),"La prestación no corresponde al grupo poblacional")))</f>
        <v xml:space="preserve"> </v>
      </c>
      <c r="I409" s="145"/>
      <c r="J409" s="145" t="str">
        <f>IF(OR(ISBLANK(I409),ISBLANK(AQ409))," ",IFERROR(VLOOKUP(CONCATENATE(I409,AQ409),Prestaciones!$E$1:$G$488,3,FALSE),IFERROR(VLOOKUP(CONCATENATE(LEFT(I409,6),AQ409),Prestaciones!$E$491:$H$836,3,FALSE),"La prestación no corresponde al grupo poblacional")))</f>
        <v xml:space="preserve"> </v>
      </c>
      <c r="K409" s="146"/>
      <c r="L409" s="146"/>
      <c r="M409" s="147"/>
      <c r="N409" s="148"/>
      <c r="O409" s="149"/>
      <c r="P409" s="150"/>
      <c r="Q409" s="151"/>
      <c r="R409" s="151"/>
      <c r="S409" s="151"/>
      <c r="T409" s="147"/>
      <c r="U409" s="147"/>
      <c r="V409" s="147"/>
      <c r="W409" s="149"/>
      <c r="X409" s="149"/>
      <c r="Y409" s="147"/>
      <c r="Z409" s="147"/>
      <c r="AA409" s="147"/>
      <c r="AB409" s="147"/>
      <c r="AC409" s="147"/>
      <c r="AD409" s="147"/>
      <c r="AE409" s="152"/>
      <c r="AF409" s="153" t="str">
        <f t="shared" si="27"/>
        <v xml:space="preserve"> </v>
      </c>
      <c r="AG409" s="154" t="str">
        <f t="shared" si="23"/>
        <v>Ingresar fuente de información</v>
      </c>
      <c r="AH409" s="134"/>
      <c r="AI409" s="155"/>
      <c r="AJ409" s="156"/>
      <c r="AK409" s="157"/>
      <c r="AM409" s="158"/>
      <c r="AN409" s="155" t="str">
        <f t="shared" si="26"/>
        <v xml:space="preserve"> </v>
      </c>
      <c r="AO409" s="156"/>
      <c r="AP409" s="157"/>
      <c r="AQ409" s="161"/>
      <c r="AR409" s="160" t="str">
        <f t="shared" si="25"/>
        <v xml:space="preserve"> </v>
      </c>
    </row>
    <row r="410" spans="1:44">
      <c r="A410" s="71"/>
      <c r="B410" s="142"/>
      <c r="C410" s="143"/>
      <c r="D410" s="143"/>
      <c r="E410" s="143"/>
      <c r="F410" s="144"/>
      <c r="G410" s="142"/>
      <c r="H410" s="144" t="str">
        <f>IF(OR(ISBLANK(I410),ISBLANK(AQ410))," ",IFERROR(VLOOKUP(CONCATENATE(I410,AQ410),Prestaciones!$E$1:$H$488,4,FALSE),IFERROR(VLOOKUP(CONCATENATE(LEFT(I410,6),AQ410),Prestaciones!$E$491:$H$836,4,FALSE),"La prestación no corresponde al grupo poblacional")))</f>
        <v xml:space="preserve"> </v>
      </c>
      <c r="I410" s="145"/>
      <c r="J410" s="145" t="str">
        <f>IF(OR(ISBLANK(I410),ISBLANK(AQ410))," ",IFERROR(VLOOKUP(CONCATENATE(I410,AQ410),Prestaciones!$E$1:$G$488,3,FALSE),IFERROR(VLOOKUP(CONCATENATE(LEFT(I410,6),AQ410),Prestaciones!$E$491:$H$836,3,FALSE),"La prestación no corresponde al grupo poblacional")))</f>
        <v xml:space="preserve"> </v>
      </c>
      <c r="K410" s="146"/>
      <c r="L410" s="146"/>
      <c r="M410" s="147"/>
      <c r="N410" s="148"/>
      <c r="O410" s="149"/>
      <c r="P410" s="150"/>
      <c r="Q410" s="151"/>
      <c r="R410" s="151"/>
      <c r="S410" s="151"/>
      <c r="T410" s="147"/>
      <c r="U410" s="147"/>
      <c r="V410" s="147"/>
      <c r="W410" s="149"/>
      <c r="X410" s="149"/>
      <c r="Y410" s="147"/>
      <c r="Z410" s="147"/>
      <c r="AA410" s="147"/>
      <c r="AB410" s="147"/>
      <c r="AC410" s="147"/>
      <c r="AD410" s="147"/>
      <c r="AE410" s="152"/>
      <c r="AF410" s="153" t="str">
        <f t="shared" si="27"/>
        <v xml:space="preserve"> </v>
      </c>
      <c r="AG410" s="154" t="str">
        <f t="shared" si="23"/>
        <v>Ingresar fuente de información</v>
      </c>
      <c r="AH410" s="134"/>
      <c r="AI410" s="155"/>
      <c r="AJ410" s="156"/>
      <c r="AK410" s="157"/>
      <c r="AM410" s="158"/>
      <c r="AN410" s="155" t="str">
        <f t="shared" si="26"/>
        <v xml:space="preserve"> </v>
      </c>
      <c r="AO410" s="156"/>
      <c r="AP410" s="157"/>
      <c r="AQ410" s="161"/>
      <c r="AR410" s="160" t="str">
        <f t="shared" si="25"/>
        <v xml:space="preserve"> </v>
      </c>
    </row>
    <row r="411" spans="1:44">
      <c r="A411" s="71"/>
      <c r="B411" s="142"/>
      <c r="C411" s="143"/>
      <c r="D411" s="143"/>
      <c r="E411" s="143"/>
      <c r="F411" s="144"/>
      <c r="G411" s="142"/>
      <c r="H411" s="144" t="str">
        <f>IF(OR(ISBLANK(I411),ISBLANK(AQ411))," ",IFERROR(VLOOKUP(CONCATENATE(I411,AQ411),Prestaciones!$E$1:$H$488,4,FALSE),IFERROR(VLOOKUP(CONCATENATE(LEFT(I411,6),AQ411),Prestaciones!$E$491:$H$836,4,FALSE),"La prestación no corresponde al grupo poblacional")))</f>
        <v xml:space="preserve"> </v>
      </c>
      <c r="I411" s="145"/>
      <c r="J411" s="145" t="str">
        <f>IF(OR(ISBLANK(I411),ISBLANK(AQ411))," ",IFERROR(VLOOKUP(CONCATENATE(I411,AQ411),Prestaciones!$E$1:$G$488,3,FALSE),IFERROR(VLOOKUP(CONCATENATE(LEFT(I411,6),AQ411),Prestaciones!$E$491:$H$836,3,FALSE),"La prestación no corresponde al grupo poblacional")))</f>
        <v xml:space="preserve"> </v>
      </c>
      <c r="K411" s="146"/>
      <c r="L411" s="146"/>
      <c r="M411" s="147"/>
      <c r="N411" s="148"/>
      <c r="O411" s="149"/>
      <c r="P411" s="150"/>
      <c r="Q411" s="151"/>
      <c r="R411" s="151"/>
      <c r="S411" s="151"/>
      <c r="T411" s="147"/>
      <c r="U411" s="147"/>
      <c r="V411" s="147"/>
      <c r="W411" s="149"/>
      <c r="X411" s="149"/>
      <c r="Y411" s="147"/>
      <c r="Z411" s="147"/>
      <c r="AA411" s="147"/>
      <c r="AB411" s="147"/>
      <c r="AC411" s="147"/>
      <c r="AD411" s="147"/>
      <c r="AE411" s="152"/>
      <c r="AF411" s="153" t="str">
        <f>IF(ISBLANK(P411)," ",(K411-P411)/365)</f>
        <v xml:space="preserve"> </v>
      </c>
      <c r="AG411" s="154" t="str">
        <f t="shared" si="23"/>
        <v>Ingresar fuente de información</v>
      </c>
      <c r="AH411" s="134"/>
      <c r="AI411" s="155"/>
      <c r="AJ411" s="156"/>
      <c r="AK411" s="157"/>
      <c r="AM411" s="158"/>
      <c r="AN411" s="155" t="str">
        <f t="shared" si="26"/>
        <v xml:space="preserve"> </v>
      </c>
      <c r="AO411" s="156"/>
      <c r="AP411" s="157"/>
      <c r="AQ411" s="161"/>
      <c r="AR411" s="160" t="str">
        <f t="shared" si="25"/>
        <v xml:space="preserve"> </v>
      </c>
    </row>
    <row r="412" spans="1:44">
      <c r="A412" s="71"/>
      <c r="B412" s="142"/>
      <c r="C412" s="143"/>
      <c r="D412" s="143"/>
      <c r="E412" s="143"/>
      <c r="F412" s="144"/>
      <c r="G412" s="142"/>
      <c r="H412" s="144" t="str">
        <f>IF(OR(ISBLANK(I412),ISBLANK(AQ412))," ",IFERROR(VLOOKUP(CONCATENATE(I412,AQ412),Prestaciones!$E$1:$H$488,4,FALSE),IFERROR(VLOOKUP(CONCATENATE(LEFT(I412,6),AQ412),Prestaciones!$E$491:$H$836,4,FALSE),"La prestación no corresponde al grupo poblacional")))</f>
        <v xml:space="preserve"> </v>
      </c>
      <c r="I412" s="145"/>
      <c r="J412" s="145" t="str">
        <f>IF(OR(ISBLANK(I412),ISBLANK(AQ412))," ",IFERROR(VLOOKUP(CONCATENATE(I412,AQ412),Prestaciones!$E$1:$G$488,3,FALSE),IFERROR(VLOOKUP(CONCATENATE(LEFT(I412,6),AQ412),Prestaciones!$E$491:$H$836,3,FALSE),"La prestación no corresponde al grupo poblacional")))</f>
        <v xml:space="preserve"> </v>
      </c>
      <c r="K412" s="146"/>
      <c r="L412" s="146"/>
      <c r="M412" s="147"/>
      <c r="N412" s="148"/>
      <c r="O412" s="149"/>
      <c r="P412" s="150"/>
      <c r="Q412" s="151"/>
      <c r="R412" s="151"/>
      <c r="S412" s="151"/>
      <c r="T412" s="147"/>
      <c r="U412" s="147"/>
      <c r="V412" s="147"/>
      <c r="W412" s="149"/>
      <c r="X412" s="149"/>
      <c r="Y412" s="147"/>
      <c r="Z412" s="147"/>
      <c r="AA412" s="147"/>
      <c r="AB412" s="147"/>
      <c r="AC412" s="147"/>
      <c r="AD412" s="147"/>
      <c r="AE412" s="152"/>
      <c r="AF412" s="153" t="str">
        <f>IF(ISBLANK(P412)," ",(K412-P412)/365)</f>
        <v xml:space="preserve"> </v>
      </c>
      <c r="AG412" s="154" t="str">
        <f t="shared" si="23"/>
        <v>Ingresar fuente de información</v>
      </c>
      <c r="AH412" s="134"/>
      <c r="AI412" s="155"/>
      <c r="AJ412" s="156"/>
      <c r="AK412" s="157"/>
      <c r="AM412" s="158"/>
      <c r="AN412" s="155" t="str">
        <f t="shared" si="26"/>
        <v xml:space="preserve"> </v>
      </c>
      <c r="AO412" s="156"/>
      <c r="AP412" s="157"/>
      <c r="AQ412" s="161"/>
      <c r="AR412" s="160" t="str">
        <f t="shared" si="25"/>
        <v xml:space="preserve"> </v>
      </c>
    </row>
    <row r="413" spans="1:44">
      <c r="A413" s="71"/>
      <c r="B413" s="142"/>
      <c r="C413" s="143"/>
      <c r="D413" s="143"/>
      <c r="E413" s="143"/>
      <c r="F413" s="144"/>
      <c r="G413" s="142"/>
      <c r="H413" s="144" t="str">
        <f>IF(OR(ISBLANK(I413),ISBLANK(AQ413))," ",IFERROR(VLOOKUP(CONCATENATE(I413,AQ413),Prestaciones!$E$1:$H$488,4,FALSE),IFERROR(VLOOKUP(CONCATENATE(LEFT(I413,6),AQ413),Prestaciones!$E$491:$H$836,4,FALSE),"La prestación no corresponde al grupo poblacional")))</f>
        <v xml:space="preserve"> </v>
      </c>
      <c r="I413" s="145"/>
      <c r="J413" s="145" t="str">
        <f>IF(OR(ISBLANK(I413),ISBLANK(AQ413))," ",IFERROR(VLOOKUP(CONCATENATE(I413,AQ413),Prestaciones!$E$1:$G$488,3,FALSE),IFERROR(VLOOKUP(CONCATENATE(LEFT(I413,6),AQ413),Prestaciones!$E$491:$H$836,3,FALSE),"La prestación no corresponde al grupo poblacional")))</f>
        <v xml:space="preserve"> </v>
      </c>
      <c r="K413" s="146"/>
      <c r="L413" s="146"/>
      <c r="M413" s="147"/>
      <c r="N413" s="148"/>
      <c r="O413" s="149"/>
      <c r="P413" s="150"/>
      <c r="Q413" s="151"/>
      <c r="R413" s="151"/>
      <c r="S413" s="151"/>
      <c r="T413" s="147"/>
      <c r="U413" s="147"/>
      <c r="V413" s="147"/>
      <c r="W413" s="149"/>
      <c r="X413" s="149"/>
      <c r="Y413" s="147"/>
      <c r="Z413" s="147"/>
      <c r="AA413" s="147"/>
      <c r="AB413" s="147"/>
      <c r="AC413" s="147"/>
      <c r="AD413" s="147"/>
      <c r="AE413" s="152"/>
      <c r="AF413" s="153" t="str">
        <f>IF(ISBLANK(P413)," ",(K413-P413)/365)</f>
        <v xml:space="preserve"> </v>
      </c>
      <c r="AG413" s="154" t="str">
        <f t="shared" si="23"/>
        <v>Ingresar fuente de información</v>
      </c>
      <c r="AH413" s="134"/>
      <c r="AI413" s="155"/>
      <c r="AJ413" s="156"/>
      <c r="AK413" s="157"/>
      <c r="AM413" s="158"/>
      <c r="AN413" s="155" t="str">
        <f t="shared" si="26"/>
        <v xml:space="preserve"> </v>
      </c>
      <c r="AO413" s="156"/>
      <c r="AP413" s="157"/>
      <c r="AQ413" s="161"/>
      <c r="AR413" s="160" t="str">
        <f t="shared" si="25"/>
        <v xml:space="preserve"> </v>
      </c>
    </row>
    <row r="414" spans="1:44" ht="15" thickBot="1">
      <c r="A414" s="71"/>
      <c r="B414" s="163"/>
      <c r="C414" s="164"/>
      <c r="D414" s="164"/>
      <c r="E414" s="164"/>
      <c r="F414" s="165"/>
      <c r="G414" s="163"/>
      <c r="H414" s="165" t="str">
        <f>IF(OR(ISBLANK(I414),ISBLANK(AQ414))," ",IFERROR(VLOOKUP(CONCATENATE(I414,AQ414),Prestaciones!$E$1:$H$488,4,FALSE),IFERROR(VLOOKUP(CONCATENATE(LEFT(I414,6),AQ414),Prestaciones!$E$491:$H$836,4,FALSE),"La prestación no corresponde al grupo poblacional")))</f>
        <v xml:space="preserve"> </v>
      </c>
      <c r="I414" s="166"/>
      <c r="J414" s="166" t="str">
        <f>IF(OR(ISBLANK(I414),ISBLANK(AQ414))," ",IFERROR(VLOOKUP(CONCATENATE(I414,AQ414),Prestaciones!$E$1:$G$488,3,FALSE),IFERROR(VLOOKUP(CONCATENATE(LEFT(I414,6),AQ414),Prestaciones!$E$491:$H$836,3,FALSE),"La prestación no corresponde al grupo poblacional")))</f>
        <v xml:space="preserve"> </v>
      </c>
      <c r="K414" s="167"/>
      <c r="L414" s="167"/>
      <c r="M414" s="168"/>
      <c r="N414" s="169"/>
      <c r="O414" s="170"/>
      <c r="P414" s="171"/>
      <c r="Q414" s="172"/>
      <c r="R414" s="172"/>
      <c r="S414" s="172"/>
      <c r="T414" s="168"/>
      <c r="U414" s="168"/>
      <c r="V414" s="168"/>
      <c r="W414" s="170"/>
      <c r="X414" s="170"/>
      <c r="Y414" s="168"/>
      <c r="Z414" s="168"/>
      <c r="AA414" s="168"/>
      <c r="AB414" s="168"/>
      <c r="AC414" s="168"/>
      <c r="AD414" s="168"/>
      <c r="AE414" s="173"/>
      <c r="AF414" s="174" t="str">
        <f>IF(ISBLANK(P414)," ",(K414-P414)/365)</f>
        <v xml:space="preserve"> </v>
      </c>
      <c r="AG414" s="175" t="str">
        <f>IF(M414="No consta fuente de información","Se debe labrar acta",IF(M414="Prestación inexistente","Se debe labrar acta e indicar el tipo de fuente de información en observaciones",IF(M414="","Ingresar fuente de información",IF(AND(OR(M414="HC",M414="Ficha odontológica",M414="Libro de enfermería",M414="SIP",M414="Registro vacunatorio",M414="HCPB",M414="Ficha médica",M414="Libro del servicio de imágenes",M414="Registro del servicio de anatomía patológica",M414="Sistema informático",M414="Caso duplicado"),(OR(ISBLANK(O414),ISBLANK(Q414),ISBLANK(R414),ISBLANK(S414),ISBLANK(T414),ISBLANK(U414),ISBLANK(V414),ISBLANK(W414),ISBLANK(X414),ISBLANK(Y414),ISBLANK(Z414),ISBLANK(AA414),ISBLANK(AB414),ISBLANK(AC414),ISBLANK(AD414)))),"Completar todos los campos","OK"))))</f>
        <v>Ingresar fuente de información</v>
      </c>
      <c r="AH414" s="134"/>
      <c r="AI414" s="176"/>
      <c r="AJ414" s="177"/>
      <c r="AK414" s="178"/>
      <c r="AM414" s="179"/>
      <c r="AN414" s="176" t="str">
        <f t="shared" si="26"/>
        <v xml:space="preserve"> </v>
      </c>
      <c r="AO414" s="177"/>
      <c r="AP414" s="178"/>
      <c r="AQ414" s="180"/>
      <c r="AR414" s="181" t="str">
        <f t="shared" si="25"/>
        <v xml:space="preserve"> </v>
      </c>
    </row>
    <row r="415" spans="1:44" ht="15" thickTop="1"/>
    <row r="416" spans="1:44">
      <c r="B416" s="62" t="s">
        <v>271</v>
      </c>
    </row>
  </sheetData>
  <sheetProtection formatCells="0" formatRows="0" sort="0" autoFilter="0" pivotTables="0"/>
  <protectedRanges>
    <protectedRange sqref="E6:H6 L1:O1048576 Q1:AE1048576 AG1:AG1048576" name="Permitidos"/>
  </protectedRanges>
  <scenarios current="0" show="0">
    <scenario name="ayuda" count="1" user="José María Allegue" comment="Creado por José María Allegue el 15/04/2016_x000a_Modificado por José María Allegue el 15/04/2016">
      <inputCells r="M105" val="HC"/>
    </scenario>
  </scenarios>
  <autoFilter ref="B10:AR414"/>
  <sortState ref="B11:AF394">
    <sortCondition ref="B11:B394"/>
    <sortCondition ref="D11:D394"/>
    <sortCondition ref="K11:K394"/>
  </sortState>
  <mergeCells count="1">
    <mergeCell ref="AN4:AO4"/>
  </mergeCells>
  <conditionalFormatting sqref="AG11:AG414">
    <cfRule type="containsText" dxfId="31" priority="108" operator="containsText" text="Ingresar fuente de información">
      <formula>NOT(ISERROR(SEARCH("Ingresar fuente de información",AG11)))</formula>
    </cfRule>
    <cfRule type="containsText" dxfId="30" priority="109" operator="containsText" text="Ok">
      <formula>NOT(ISERROR(SEARCH("Ok",AG11)))</formula>
    </cfRule>
    <cfRule type="containsText" dxfId="29" priority="110" operator="containsText" text="Completar todos los campos">
      <formula>NOT(ISERROR(SEARCH("Completar todos los campos",AG11)))</formula>
    </cfRule>
    <cfRule type="containsText" dxfId="28" priority="111" operator="containsText" text="Se debe labrar acta">
      <formula>NOT(ISERROR(SEARCH("Se debe labrar acta",AG11)))</formula>
    </cfRule>
  </conditionalFormatting>
  <conditionalFormatting sqref="M11:M414">
    <cfRule type="containsText" dxfId="27" priority="26" operator="containsText" text="Prestación inexistente">
      <formula>NOT(ISERROR(SEARCH("Prestación inexistente",M11)))</formula>
    </cfRule>
    <cfRule type="containsText" dxfId="26" priority="27" operator="containsText" text="No consta fuente de información">
      <formula>NOT(ISERROR(SEARCH("No consta fuente de información",M11)))</formula>
    </cfRule>
  </conditionalFormatting>
  <conditionalFormatting sqref="M415:N1048576 M11:M414">
    <cfRule type="expression" dxfId="25" priority="21">
      <formula>M11="OTRA"</formula>
    </cfRule>
  </conditionalFormatting>
  <conditionalFormatting sqref="L2:L1048576 O2 R2 U2 X2 AA2 AD2 AG2 AJ2 AM2 AP2">
    <cfRule type="cellIs" dxfId="24" priority="7" operator="equal">
      <formula>"Labrar acta"</formula>
    </cfRule>
    <cfRule type="cellIs" dxfId="23" priority="8" operator="equal">
      <formula>"Completo"</formula>
    </cfRule>
    <cfRule type="cellIs" dxfId="22" priority="9" operator="equal">
      <formula>"Incompleto"</formula>
    </cfRule>
  </conditionalFormatting>
  <conditionalFormatting sqref="M2:M8 P2 S2 V2 Y2 AB2 AE2 AH2 AK2 AN2 AQ2 M10:M1048576">
    <cfRule type="cellIs" dxfId="21" priority="6" operator="equal">
      <formula>"Caso duplicado"</formula>
    </cfRule>
  </conditionalFormatting>
  <conditionalFormatting sqref="O3:O8 Q3:AD8 Q10:AD1048576 O10:O1048576">
    <cfRule type="cellIs" dxfId="20" priority="2" operator="equal">
      <formula>"Dato no obligatorio"</formula>
    </cfRule>
  </conditionalFormatting>
  <conditionalFormatting sqref="L2:L1048576">
    <cfRule type="cellIs" dxfId="19" priority="1" operator="equal">
      <formula>"Caso duplicado"</formula>
    </cfRule>
  </conditionalFormatting>
  <dataValidations xWindow="1042" yWindow="462" count="10">
    <dataValidation type="date" allowBlank="1" showInputMessage="1" showErrorMessage="1" promptTitle="Verificar fecha" sqref="AJ6 AO6">
      <formula1>41792</formula1>
      <formula2>43101</formula2>
    </dataValidation>
    <dataValidation type="date" allowBlank="1" showInputMessage="1" showErrorMessage="1" promptTitle="Verificar fecha" sqref="H6:I6">
      <formula1>42157</formula1>
      <formula2>43101</formula2>
    </dataValidation>
    <dataValidation type="list" allowBlank="1" showInputMessage="1" showErrorMessage="1" sqref="AI11:AI414">
      <formula1>"Correcto, No consta fuente de información, Prestación inexistente, Datos requeridos incompletos, Codificación Errónea"</formula1>
    </dataValidation>
    <dataValidation type="date" allowBlank="1" showInputMessage="1" showErrorMessage="1" errorTitle="Fecha" error="Se incluyen las fechas en formato DD/MM/AAAA (día/mes/año)" sqref="P11:P414">
      <formula1>1</formula1>
      <formula2>43101</formula2>
    </dataValidation>
    <dataValidation allowBlank="1" showInputMessage="1" showErrorMessage="1" prompt="Esta columna es para control del EQUIPO CENTRAL" sqref="H11:H414 J11:J414"/>
    <dataValidation type="list" allowBlank="1" showInputMessage="1" showErrorMessage="1" sqref="M11:M414">
      <formula1>"HC,FM,HCPB,FOD,LE,Epicrisis,LL,REGAP,LSI,RGRUP,SI,RV,SIP,SITAM,No consta fuente de información,Prestación inexistente,Caso duplicado"</formula1>
    </dataValidation>
    <dataValidation type="list" allowBlank="1" showInputMessage="1" showErrorMessage="1" sqref="R11:R414">
      <formula1>"Evaluación genitourinaria y examen mamario,Evaluación genitourinaria y colonoscopia,Odontograma,Medición de agudeza visual,Evaluación genitourinaria,Examen mamario,Colonoscopia,No consta,No requiere"</formula1>
    </dataValidation>
    <dataValidation type="list" allowBlank="1" showInputMessage="1" showErrorMessage="1" sqref="S11:X1048576 AB11:AD1048576">
      <formula1>"Si,No"</formula1>
    </dataValidation>
    <dataValidation type="list" allowBlank="1" showInputMessage="1" showErrorMessage="1" sqref="Y11:Z1048576">
      <formula1>"Si,No,No requiere"</formula1>
    </dataValidation>
    <dataValidation type="list" allowBlank="1" showInputMessage="1" showErrorMessage="1" sqref="AA11:AA1048576">
      <formula1>"Si,No,No Requiere"</formula1>
    </dataValidation>
  </dataValidations>
  <pageMargins left="0.7" right="0.7" top="0.75" bottom="0.75" header="0.3" footer="0.3"/>
  <pageSetup paperSize="9" orientation="portrait" r:id="rId1"/>
  <headerFooter>
    <oddHeader xml:space="preserve">&amp;C
</oddHead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B1:J32"/>
  <sheetViews>
    <sheetView topLeftCell="B1" workbookViewId="0">
      <selection activeCell="C1" sqref="C1"/>
    </sheetView>
  </sheetViews>
  <sheetFormatPr baseColWidth="10" defaultColWidth="11.42578125" defaultRowHeight="15"/>
  <cols>
    <col min="1" max="1" width="2.85546875" style="17" customWidth="1"/>
    <col min="2" max="2" width="16" style="17" customWidth="1"/>
    <col min="3" max="3" width="15.7109375" style="17" customWidth="1"/>
    <col min="4" max="8" width="11.42578125" style="17"/>
    <col min="9" max="9" width="29.85546875" style="17" customWidth="1"/>
    <col min="10" max="10" width="23.140625" style="17" customWidth="1"/>
    <col min="11" max="16384" width="11.42578125" style="17"/>
  </cols>
  <sheetData>
    <row r="1" spans="2:10" ht="9" customHeight="1"/>
    <row r="2" spans="2:10">
      <c r="B2" s="212" t="s">
        <v>173</v>
      </c>
      <c r="C2" s="212"/>
      <c r="D2" s="212"/>
      <c r="E2" s="212"/>
      <c r="F2" s="212"/>
      <c r="I2" s="15" t="s">
        <v>10</v>
      </c>
      <c r="J2" s="15" t="s">
        <v>11</v>
      </c>
    </row>
    <row r="3" spans="2:10">
      <c r="B3" s="15" t="s">
        <v>12</v>
      </c>
      <c r="C3" s="15" t="s">
        <v>13</v>
      </c>
      <c r="D3" s="15" t="s">
        <v>14</v>
      </c>
      <c r="E3" s="15" t="s">
        <v>15</v>
      </c>
      <c r="F3" s="15" t="s">
        <v>16</v>
      </c>
      <c r="I3" s="18" t="str">
        <f>B2</f>
        <v>Para niños de 0 a 9 años</v>
      </c>
      <c r="J3" s="20"/>
    </row>
    <row r="4" spans="2:10">
      <c r="B4" s="18"/>
      <c r="C4" s="19"/>
      <c r="D4" s="19"/>
      <c r="E4" s="20"/>
      <c r="F4" s="20"/>
      <c r="I4" s="23" t="str">
        <f>B13</f>
        <v>Para adolescentes de 10 a 19 años</v>
      </c>
      <c r="J4" s="26"/>
    </row>
    <row r="5" spans="2:10">
      <c r="B5" s="18"/>
      <c r="C5" s="19"/>
      <c r="D5" s="19"/>
      <c r="E5" s="20"/>
      <c r="F5" s="20"/>
      <c r="I5" s="24" t="str">
        <f>B24</f>
        <v>Para adultos de 20 a 64 años</v>
      </c>
      <c r="J5" s="28"/>
    </row>
    <row r="6" spans="2:10">
      <c r="B6" s="18"/>
      <c r="C6" s="19"/>
      <c r="D6" s="19"/>
      <c r="E6" s="20"/>
      <c r="F6" s="20"/>
      <c r="I6" s="12" t="s">
        <v>22</v>
      </c>
      <c r="J6" s="12">
        <f>SUM(J3:J5)</f>
        <v>0</v>
      </c>
    </row>
    <row r="7" spans="2:10">
      <c r="B7" s="18"/>
      <c r="C7" s="19"/>
      <c r="D7" s="19"/>
      <c r="E7" s="20"/>
      <c r="F7" s="20"/>
    </row>
    <row r="8" spans="2:10">
      <c r="B8" s="18"/>
      <c r="C8" s="19"/>
      <c r="D8" s="19"/>
      <c r="E8" s="20"/>
      <c r="F8" s="20"/>
    </row>
    <row r="9" spans="2:10">
      <c r="B9" s="21"/>
      <c r="C9" s="21"/>
      <c r="D9" s="21"/>
      <c r="E9" s="22"/>
      <c r="F9" s="22"/>
    </row>
    <row r="10" spans="2:10">
      <c r="B10" s="213" t="s">
        <v>8</v>
      </c>
      <c r="C10" s="213"/>
      <c r="D10" s="213"/>
      <c r="E10" s="12">
        <f>SUM(E4:E9)</f>
        <v>0</v>
      </c>
      <c r="F10" s="12">
        <f>SUM(F4:F9)</f>
        <v>0</v>
      </c>
    </row>
    <row r="13" spans="2:10">
      <c r="B13" s="212" t="s">
        <v>174</v>
      </c>
      <c r="C13" s="212"/>
      <c r="D13" s="212"/>
      <c r="E13" s="212"/>
      <c r="F13" s="212"/>
    </row>
    <row r="14" spans="2:10">
      <c r="B14" s="15" t="s">
        <v>12</v>
      </c>
      <c r="C14" s="15" t="s">
        <v>13</v>
      </c>
      <c r="D14" s="15" t="s">
        <v>14</v>
      </c>
      <c r="E14" s="15" t="s">
        <v>15</v>
      </c>
      <c r="F14" s="15" t="s">
        <v>16</v>
      </c>
    </row>
    <row r="15" spans="2:10" s="31" customFormat="1">
      <c r="B15" s="18"/>
      <c r="C15" s="18"/>
      <c r="D15" s="18"/>
      <c r="E15" s="20"/>
      <c r="F15" s="20"/>
    </row>
    <row r="16" spans="2:10" s="31" customFormat="1">
      <c r="B16" s="23"/>
      <c r="C16" s="23"/>
      <c r="D16" s="23"/>
      <c r="E16" s="26"/>
      <c r="F16" s="26"/>
    </row>
    <row r="17" spans="2:6" s="31" customFormat="1">
      <c r="B17" s="23"/>
      <c r="C17" s="23"/>
      <c r="D17" s="23"/>
      <c r="E17" s="26"/>
      <c r="F17" s="26"/>
    </row>
    <row r="18" spans="2:6" s="31" customFormat="1">
      <c r="B18" s="23"/>
      <c r="C18" s="23"/>
      <c r="D18" s="23"/>
      <c r="E18" s="26"/>
      <c r="F18" s="26"/>
    </row>
    <row r="19" spans="2:6" s="31" customFormat="1">
      <c r="B19" s="23"/>
      <c r="C19" s="23"/>
      <c r="D19" s="23"/>
      <c r="E19" s="26"/>
      <c r="F19" s="26"/>
    </row>
    <row r="20" spans="2:6" s="31" customFormat="1">
      <c r="B20" s="24"/>
      <c r="C20" s="24"/>
      <c r="D20" s="24"/>
      <c r="E20" s="28"/>
      <c r="F20" s="28"/>
    </row>
    <row r="21" spans="2:6" s="31" customFormat="1">
      <c r="B21" s="211" t="s">
        <v>8</v>
      </c>
      <c r="C21" s="211"/>
      <c r="D21" s="211"/>
      <c r="E21" s="13">
        <f>SUM(E15:E20)</f>
        <v>0</v>
      </c>
      <c r="F21" s="13">
        <f>SUM(F15:F20)</f>
        <v>0</v>
      </c>
    </row>
    <row r="24" spans="2:6">
      <c r="B24" s="212" t="s">
        <v>175</v>
      </c>
      <c r="C24" s="212"/>
      <c r="D24" s="212"/>
      <c r="E24" s="212"/>
      <c r="F24" s="212"/>
    </row>
    <row r="25" spans="2:6">
      <c r="B25" s="15" t="s">
        <v>12</v>
      </c>
      <c r="C25" s="15" t="s">
        <v>13</v>
      </c>
      <c r="D25" s="15" t="s">
        <v>14</v>
      </c>
      <c r="E25" s="15" t="s">
        <v>15</v>
      </c>
      <c r="F25" s="15" t="s">
        <v>16</v>
      </c>
    </row>
    <row r="26" spans="2:6">
      <c r="B26" s="19"/>
      <c r="C26" s="19"/>
      <c r="D26" s="19"/>
      <c r="E26" s="20"/>
      <c r="F26" s="20"/>
    </row>
    <row r="27" spans="2:6">
      <c r="B27" s="25"/>
      <c r="C27" s="25"/>
      <c r="D27" s="25"/>
      <c r="E27" s="26"/>
      <c r="F27" s="26"/>
    </row>
    <row r="28" spans="2:6">
      <c r="B28" s="25"/>
      <c r="C28" s="25"/>
      <c r="D28" s="25"/>
      <c r="E28" s="26"/>
      <c r="F28" s="26"/>
    </row>
    <row r="29" spans="2:6">
      <c r="B29" s="25"/>
      <c r="C29" s="25"/>
      <c r="D29" s="25"/>
      <c r="E29" s="26"/>
      <c r="F29" s="26"/>
    </row>
    <row r="30" spans="2:6">
      <c r="B30" s="23"/>
      <c r="C30" s="25"/>
      <c r="D30" s="25"/>
      <c r="E30" s="26"/>
      <c r="F30" s="26"/>
    </row>
    <row r="31" spans="2:6">
      <c r="B31" s="24"/>
      <c r="C31" s="27"/>
      <c r="D31" s="27"/>
      <c r="E31" s="28"/>
      <c r="F31" s="28"/>
    </row>
    <row r="32" spans="2:6">
      <c r="B32" s="211" t="s">
        <v>8</v>
      </c>
      <c r="C32" s="211"/>
      <c r="D32" s="211"/>
      <c r="E32" s="13">
        <f>SUM(E26:E31)</f>
        <v>0</v>
      </c>
      <c r="F32" s="13">
        <f>SUM(F26:F31)</f>
        <v>0</v>
      </c>
    </row>
  </sheetData>
  <mergeCells count="6">
    <mergeCell ref="B32:D32"/>
    <mergeCell ref="B2:F2"/>
    <mergeCell ref="B10:D10"/>
    <mergeCell ref="B13:F13"/>
    <mergeCell ref="B21:D21"/>
    <mergeCell ref="B24:F24"/>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C1:F19"/>
  <sheetViews>
    <sheetView workbookViewId="0">
      <selection activeCell="C1" sqref="C1"/>
    </sheetView>
  </sheetViews>
  <sheetFormatPr baseColWidth="10" defaultColWidth="11.42578125" defaultRowHeight="15"/>
  <cols>
    <col min="1" max="1" width="1.5703125" style="17" customWidth="1"/>
    <col min="2" max="2" width="5.7109375" style="17" customWidth="1"/>
    <col min="3" max="3" width="25.42578125" style="17" customWidth="1"/>
    <col min="4" max="4" width="42.28515625" style="17" customWidth="1"/>
    <col min="5" max="5" width="24.28515625" style="17" customWidth="1"/>
    <col min="6" max="6" width="30.42578125" style="17" customWidth="1"/>
    <col min="7" max="16384" width="11.42578125" style="17"/>
  </cols>
  <sheetData>
    <row r="1" spans="3:6" ht="8.25" customHeight="1"/>
    <row r="2" spans="3:6" ht="15" customHeight="1">
      <c r="C2" s="14" t="s">
        <v>7</v>
      </c>
      <c r="D2" s="14" t="s">
        <v>177</v>
      </c>
      <c r="E2" s="14" t="s">
        <v>37</v>
      </c>
      <c r="F2" s="14" t="s">
        <v>176</v>
      </c>
    </row>
    <row r="3" spans="3:6">
      <c r="C3" s="18"/>
      <c r="D3" s="19"/>
      <c r="E3" s="20"/>
      <c r="F3" s="20"/>
    </row>
    <row r="4" spans="3:6">
      <c r="C4" s="23"/>
      <c r="D4" s="25"/>
      <c r="E4" s="26"/>
      <c r="F4" s="26"/>
    </row>
    <row r="5" spans="3:6">
      <c r="C5" s="23"/>
      <c r="D5" s="25"/>
      <c r="E5" s="26"/>
      <c r="F5" s="26"/>
    </row>
    <row r="6" spans="3:6">
      <c r="C6" s="23"/>
      <c r="D6" s="25"/>
      <c r="E6" s="26"/>
      <c r="F6" s="26"/>
    </row>
    <row r="7" spans="3:6">
      <c r="C7" s="23"/>
      <c r="D7" s="25"/>
      <c r="E7" s="26"/>
      <c r="F7" s="26"/>
    </row>
    <row r="8" spans="3:6">
      <c r="C8" s="23"/>
      <c r="D8" s="25"/>
      <c r="E8" s="26"/>
      <c r="F8" s="26"/>
    </row>
    <row r="9" spans="3:6">
      <c r="C9" s="23"/>
      <c r="D9" s="25"/>
      <c r="E9" s="26"/>
      <c r="F9" s="26"/>
    </row>
    <row r="10" spans="3:6">
      <c r="C10" s="23"/>
      <c r="D10" s="25"/>
      <c r="E10" s="26"/>
      <c r="F10" s="26"/>
    </row>
    <row r="11" spans="3:6">
      <c r="C11" s="23"/>
      <c r="D11" s="25"/>
      <c r="E11" s="26"/>
      <c r="F11" s="26"/>
    </row>
    <row r="12" spans="3:6">
      <c r="C12" s="23"/>
      <c r="D12" s="25"/>
      <c r="E12" s="26"/>
      <c r="F12" s="26"/>
    </row>
    <row r="13" spans="3:6">
      <c r="C13" s="23"/>
      <c r="D13" s="25"/>
      <c r="E13" s="26"/>
      <c r="F13" s="26"/>
    </row>
    <row r="14" spans="3:6">
      <c r="C14" s="23"/>
      <c r="D14" s="25"/>
      <c r="E14" s="26"/>
      <c r="F14" s="26"/>
    </row>
    <row r="15" spans="3:6">
      <c r="C15" s="23"/>
      <c r="D15" s="25"/>
      <c r="E15" s="26"/>
      <c r="F15" s="26"/>
    </row>
    <row r="16" spans="3:6">
      <c r="C16" s="24"/>
      <c r="D16" s="27"/>
      <c r="E16" s="28"/>
      <c r="F16" s="28"/>
    </row>
    <row r="17" spans="3:6">
      <c r="C17" s="16" t="s">
        <v>8</v>
      </c>
      <c r="D17" s="13"/>
      <c r="E17" s="13"/>
      <c r="F17" s="13">
        <f>SUM(F3:F16)</f>
        <v>0</v>
      </c>
    </row>
    <row r="19" spans="3:6" ht="28.5" customHeight="1"/>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B2:E22"/>
  <sheetViews>
    <sheetView workbookViewId="0">
      <selection activeCell="C1" sqref="C1"/>
    </sheetView>
  </sheetViews>
  <sheetFormatPr baseColWidth="10" defaultColWidth="11.42578125" defaultRowHeight="10.5"/>
  <cols>
    <col min="1" max="1" width="11.42578125" style="37"/>
    <col min="2" max="2" width="12.140625" style="37" customWidth="1"/>
    <col min="3" max="3" width="18.28515625" style="37" customWidth="1"/>
    <col min="4" max="4" width="18.7109375" style="37" customWidth="1"/>
    <col min="5" max="5" width="21" style="37" customWidth="1"/>
    <col min="6" max="16384" width="11.42578125" style="37"/>
  </cols>
  <sheetData>
    <row r="2" spans="2:5" ht="42">
      <c r="B2" s="34" t="s">
        <v>178</v>
      </c>
      <c r="C2" s="34" t="s">
        <v>179</v>
      </c>
      <c r="D2" s="14" t="s">
        <v>180</v>
      </c>
      <c r="E2" s="14" t="s">
        <v>181</v>
      </c>
    </row>
    <row r="3" spans="2:5" ht="18" customHeight="1">
      <c r="B3" s="214">
        <v>2016</v>
      </c>
      <c r="C3" s="23" t="s">
        <v>182</v>
      </c>
      <c r="D3" s="35"/>
      <c r="E3" s="32"/>
    </row>
    <row r="4" spans="2:5" ht="18" customHeight="1">
      <c r="B4" s="215"/>
      <c r="C4" s="23" t="s">
        <v>183</v>
      </c>
      <c r="D4" s="35"/>
      <c r="E4" s="32"/>
    </row>
    <row r="5" spans="2:5" ht="18" customHeight="1">
      <c r="B5" s="215"/>
      <c r="C5" s="23" t="s">
        <v>184</v>
      </c>
      <c r="D5" s="35"/>
      <c r="E5" s="32"/>
    </row>
    <row r="6" spans="2:5" ht="18" customHeight="1">
      <c r="B6" s="215"/>
      <c r="C6" s="23" t="s">
        <v>185</v>
      </c>
      <c r="D6" s="35"/>
      <c r="E6" s="32"/>
    </row>
    <row r="7" spans="2:5" ht="18" customHeight="1">
      <c r="B7" s="215"/>
      <c r="C7" s="23" t="s">
        <v>186</v>
      </c>
      <c r="D7" s="35"/>
      <c r="E7" s="32"/>
    </row>
    <row r="8" spans="2:5" ht="18" customHeight="1">
      <c r="B8" s="215"/>
      <c r="C8" s="23" t="s">
        <v>187</v>
      </c>
      <c r="D8" s="35"/>
      <c r="E8" s="32"/>
    </row>
    <row r="9" spans="2:5" ht="18" customHeight="1">
      <c r="B9" s="215"/>
      <c r="C9" s="23" t="s">
        <v>188</v>
      </c>
      <c r="D9" s="35"/>
      <c r="E9" s="32"/>
    </row>
    <row r="10" spans="2:5" ht="18" customHeight="1">
      <c r="B10" s="215"/>
      <c r="C10" s="23" t="s">
        <v>189</v>
      </c>
      <c r="D10" s="35"/>
      <c r="E10" s="32"/>
    </row>
    <row r="11" spans="2:5" ht="18" customHeight="1">
      <c r="B11" s="215"/>
      <c r="C11" s="23" t="s">
        <v>190</v>
      </c>
      <c r="D11" s="35"/>
      <c r="E11" s="32"/>
    </row>
    <row r="12" spans="2:5" ht="18" customHeight="1">
      <c r="B12" s="215"/>
      <c r="C12" s="24" t="s">
        <v>191</v>
      </c>
      <c r="D12" s="36"/>
      <c r="E12" s="33"/>
    </row>
    <row r="13" spans="2:5" ht="18" customHeight="1">
      <c r="B13" s="215"/>
      <c r="C13" s="24" t="s">
        <v>262</v>
      </c>
      <c r="D13" s="40"/>
      <c r="E13" s="33"/>
    </row>
    <row r="14" spans="2:5" ht="18" customHeight="1">
      <c r="B14" s="216"/>
      <c r="C14" s="24" t="s">
        <v>263</v>
      </c>
      <c r="D14" s="40"/>
      <c r="E14" s="33"/>
    </row>
    <row r="15" spans="2:5" ht="18" customHeight="1">
      <c r="B15" s="214">
        <v>2017</v>
      </c>
      <c r="C15" s="24" t="s">
        <v>182</v>
      </c>
      <c r="D15" s="40"/>
      <c r="E15" s="33"/>
    </row>
    <row r="16" spans="2:5" ht="18" customHeight="1">
      <c r="B16" s="215"/>
      <c r="C16" s="24" t="s">
        <v>183</v>
      </c>
      <c r="D16" s="40"/>
      <c r="E16" s="33"/>
    </row>
    <row r="17" spans="2:5" ht="18" customHeight="1">
      <c r="B17" s="215"/>
      <c r="C17" s="24" t="s">
        <v>184</v>
      </c>
      <c r="D17" s="40"/>
      <c r="E17" s="33"/>
    </row>
    <row r="18" spans="2:5" ht="18" customHeight="1">
      <c r="B18" s="215"/>
      <c r="C18" s="24" t="s">
        <v>185</v>
      </c>
      <c r="D18" s="40"/>
      <c r="E18" s="33"/>
    </row>
    <row r="19" spans="2:5" ht="18" customHeight="1">
      <c r="B19" s="38"/>
    </row>
    <row r="20" spans="2:5">
      <c r="B20" s="38"/>
    </row>
    <row r="21" spans="2:5">
      <c r="B21" s="38"/>
    </row>
    <row r="22" spans="2:5">
      <c r="B22" s="38"/>
    </row>
  </sheetData>
  <mergeCells count="2">
    <mergeCell ref="B3:B14"/>
    <mergeCell ref="B15:B18"/>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theme="0" tint="-0.499984740745262"/>
  </sheetPr>
  <dimension ref="A1:AE216"/>
  <sheetViews>
    <sheetView zoomScale="90" zoomScaleNormal="90" workbookViewId="0">
      <pane ySplit="1" topLeftCell="A2" activePane="bottomLeft" state="frozen"/>
      <selection pane="bottomLeft"/>
    </sheetView>
  </sheetViews>
  <sheetFormatPr baseColWidth="10" defaultColWidth="14.7109375" defaultRowHeight="15"/>
  <cols>
    <col min="1" max="1" width="16.5703125" style="29" bestFit="1" customWidth="1"/>
    <col min="2" max="3" width="14.7109375" style="29"/>
    <col min="4" max="4" width="20.28515625" style="30" customWidth="1"/>
    <col min="5" max="6" width="10.140625" style="30" bestFit="1" customWidth="1"/>
    <col min="7" max="7" width="8.140625" style="30" bestFit="1" customWidth="1"/>
    <col min="8" max="8" width="9.28515625" style="30" bestFit="1" customWidth="1"/>
    <col min="9" max="9" width="35.7109375" style="30" customWidth="1"/>
    <col min="10" max="10" width="25.85546875" style="30" bestFit="1" customWidth="1"/>
    <col min="11" max="11" width="17" style="30" bestFit="1" customWidth="1"/>
    <col min="12" max="12" width="29.140625" style="30" bestFit="1" customWidth="1"/>
    <col min="13" max="13" width="25.5703125" style="30" bestFit="1" customWidth="1"/>
    <col min="14" max="14" width="49" style="30" bestFit="1" customWidth="1"/>
    <col min="15" max="15" width="11" style="30" bestFit="1" customWidth="1"/>
    <col min="16" max="16" width="10.28515625" style="30" bestFit="1" customWidth="1"/>
    <col min="17" max="17" width="19.42578125" style="30" bestFit="1" customWidth="1"/>
    <col min="18" max="18" width="11.42578125" style="30" bestFit="1" customWidth="1"/>
    <col min="19" max="19" width="27.140625" style="30" bestFit="1" customWidth="1"/>
    <col min="20" max="20" width="51" style="30" bestFit="1" customWidth="1"/>
    <col min="21" max="21" width="44.7109375" style="30" bestFit="1" customWidth="1"/>
    <col min="22" max="22" width="30" style="30" bestFit="1" customWidth="1"/>
    <col min="23" max="23" width="23.5703125" style="30" bestFit="1" customWidth="1"/>
    <col min="24" max="24" width="22.5703125" style="30" bestFit="1" customWidth="1"/>
    <col min="25" max="25" width="15.5703125" style="30" bestFit="1" customWidth="1"/>
    <col min="26" max="26" width="31.140625" style="30" bestFit="1" customWidth="1"/>
    <col min="27" max="27" width="19.28515625" style="30" bestFit="1" customWidth="1"/>
    <col min="28" max="28" width="32.85546875" style="30" bestFit="1" customWidth="1"/>
    <col min="29" max="29" width="27.140625" style="30" bestFit="1" customWidth="1"/>
    <col min="30" max="30" width="91.140625" style="30" bestFit="1" customWidth="1"/>
    <col min="31" max="16384" width="14.7109375" style="31"/>
  </cols>
  <sheetData>
    <row r="1" spans="1:31" s="192" customFormat="1" ht="15.75">
      <c r="A1" s="46" t="s">
        <v>274</v>
      </c>
      <c r="B1" s="46" t="s">
        <v>40</v>
      </c>
      <c r="C1" s="46" t="s">
        <v>275</v>
      </c>
      <c r="D1" s="47" t="s">
        <v>38</v>
      </c>
      <c r="E1" s="47" t="s">
        <v>3</v>
      </c>
      <c r="F1" s="47" t="s">
        <v>4</v>
      </c>
      <c r="G1" s="47" t="s">
        <v>276</v>
      </c>
      <c r="H1" s="47" t="s">
        <v>5</v>
      </c>
      <c r="I1" s="47" t="s">
        <v>277</v>
      </c>
      <c r="J1" s="47" t="s">
        <v>278</v>
      </c>
      <c r="K1" s="47" t="s">
        <v>279</v>
      </c>
      <c r="L1" s="47" t="s">
        <v>210</v>
      </c>
      <c r="M1" s="47" t="s">
        <v>209</v>
      </c>
      <c r="N1" s="47" t="s">
        <v>280</v>
      </c>
      <c r="O1" s="47" t="s">
        <v>281</v>
      </c>
      <c r="P1" s="47" t="s">
        <v>282</v>
      </c>
      <c r="Q1" s="47" t="s">
        <v>283</v>
      </c>
      <c r="R1" s="47" t="s">
        <v>284</v>
      </c>
      <c r="S1" s="47" t="s">
        <v>285</v>
      </c>
      <c r="T1" s="47" t="s">
        <v>286</v>
      </c>
      <c r="U1" s="47" t="s">
        <v>287</v>
      </c>
      <c r="V1" s="47" t="s">
        <v>288</v>
      </c>
      <c r="W1" s="47" t="s">
        <v>289</v>
      </c>
      <c r="X1" s="47" t="s">
        <v>290</v>
      </c>
      <c r="Y1" s="47" t="s">
        <v>6</v>
      </c>
      <c r="Z1" s="47" t="s">
        <v>291</v>
      </c>
      <c r="AA1" s="47" t="s">
        <v>292</v>
      </c>
      <c r="AB1" s="47" t="s">
        <v>293</v>
      </c>
      <c r="AC1" s="47" t="s">
        <v>307</v>
      </c>
      <c r="AD1" s="47" t="s">
        <v>318</v>
      </c>
      <c r="AE1" s="197" t="s">
        <v>650</v>
      </c>
    </row>
    <row r="2" spans="1:31">
      <c r="A2" s="61" t="s">
        <v>232</v>
      </c>
      <c r="B2" s="61" t="s">
        <v>106</v>
      </c>
      <c r="C2" s="61"/>
      <c r="D2" s="59" t="s">
        <v>105</v>
      </c>
      <c r="E2" s="59"/>
      <c r="F2" s="59"/>
      <c r="G2" s="59"/>
      <c r="H2" s="59"/>
      <c r="I2" s="59"/>
      <c r="J2" s="59"/>
      <c r="K2" s="59"/>
      <c r="L2" s="59"/>
      <c r="M2" s="59"/>
      <c r="N2" s="59"/>
      <c r="O2" s="59" t="s">
        <v>306</v>
      </c>
      <c r="P2" s="59" t="s">
        <v>306</v>
      </c>
      <c r="Q2" s="59"/>
      <c r="R2" s="59"/>
      <c r="S2" s="59"/>
      <c r="T2" s="59"/>
      <c r="U2" s="59"/>
      <c r="V2" s="59"/>
      <c r="W2" s="59"/>
      <c r="X2" s="59"/>
      <c r="Y2" s="59"/>
      <c r="Z2" s="59"/>
      <c r="AA2" s="59"/>
      <c r="AB2" s="59"/>
      <c r="AC2" s="59"/>
      <c r="AD2" s="59"/>
      <c r="AE2" s="198"/>
    </row>
    <row r="3" spans="1:31">
      <c r="A3" s="61" t="s">
        <v>232</v>
      </c>
      <c r="B3" s="61" t="s">
        <v>104</v>
      </c>
      <c r="C3" s="61"/>
      <c r="D3" s="59" t="s">
        <v>103</v>
      </c>
      <c r="E3" s="59"/>
      <c r="F3" s="59"/>
      <c r="G3" s="59"/>
      <c r="H3" s="59"/>
      <c r="I3" s="59"/>
      <c r="J3" s="59"/>
      <c r="K3" s="59"/>
      <c r="L3" s="59"/>
      <c r="M3" s="59"/>
      <c r="N3" s="59"/>
      <c r="O3" s="59" t="s">
        <v>306</v>
      </c>
      <c r="P3" s="59" t="s">
        <v>306</v>
      </c>
      <c r="Q3" s="59"/>
      <c r="R3" s="59"/>
      <c r="S3" s="59"/>
      <c r="T3" s="59"/>
      <c r="U3" s="59"/>
      <c r="V3" s="59"/>
      <c r="W3" s="59"/>
      <c r="X3" s="59"/>
      <c r="Y3" s="59"/>
      <c r="Z3" s="59"/>
      <c r="AA3" s="59"/>
      <c r="AB3" s="59"/>
      <c r="AC3" s="59"/>
      <c r="AD3" s="59"/>
      <c r="AE3" s="198"/>
    </row>
    <row r="4" spans="1:31">
      <c r="A4" s="61" t="s">
        <v>232</v>
      </c>
      <c r="B4" s="61" t="s">
        <v>384</v>
      </c>
      <c r="C4" s="61"/>
      <c r="D4" s="59" t="s">
        <v>117</v>
      </c>
      <c r="E4" s="59"/>
      <c r="F4" s="59"/>
      <c r="G4" s="59"/>
      <c r="H4" s="59"/>
      <c r="I4" s="59"/>
      <c r="J4" s="59"/>
      <c r="K4" s="59" t="s">
        <v>306</v>
      </c>
      <c r="L4" s="59"/>
      <c r="M4" s="59"/>
      <c r="N4" s="59"/>
      <c r="O4" s="59" t="s">
        <v>306</v>
      </c>
      <c r="P4" s="59" t="s">
        <v>306</v>
      </c>
      <c r="Q4" s="59"/>
      <c r="R4" s="59"/>
      <c r="S4" s="59"/>
      <c r="T4" s="59"/>
      <c r="U4" s="59"/>
      <c r="V4" s="59"/>
      <c r="W4" s="59"/>
      <c r="X4" s="59"/>
      <c r="Y4" s="59"/>
      <c r="Z4" s="59"/>
      <c r="AA4" s="59"/>
      <c r="AB4" s="59"/>
      <c r="AC4" s="59"/>
      <c r="AD4" s="59"/>
      <c r="AE4" s="198"/>
    </row>
    <row r="5" spans="1:31">
      <c r="A5" s="61" t="s">
        <v>232</v>
      </c>
      <c r="B5" s="61" t="s">
        <v>384</v>
      </c>
      <c r="C5" s="61"/>
      <c r="D5" s="59" t="s">
        <v>118</v>
      </c>
      <c r="E5" s="59"/>
      <c r="F5" s="59"/>
      <c r="G5" s="59"/>
      <c r="H5" s="59"/>
      <c r="I5" s="59"/>
      <c r="J5" s="59"/>
      <c r="K5" s="59" t="s">
        <v>306</v>
      </c>
      <c r="L5" s="59"/>
      <c r="M5" s="59"/>
      <c r="N5" s="59"/>
      <c r="O5" s="59" t="s">
        <v>306</v>
      </c>
      <c r="P5" s="59" t="s">
        <v>306</v>
      </c>
      <c r="Q5" s="59"/>
      <c r="R5" s="59"/>
      <c r="S5" s="59"/>
      <c r="T5" s="59"/>
      <c r="U5" s="59"/>
      <c r="V5" s="59"/>
      <c r="W5" s="59"/>
      <c r="X5" s="59"/>
      <c r="Y5" s="59"/>
      <c r="Z5" s="59"/>
      <c r="AA5" s="59"/>
      <c r="AB5" s="59"/>
      <c r="AC5" s="59"/>
      <c r="AD5" s="59"/>
      <c r="AE5" s="198"/>
    </row>
    <row r="6" spans="1:31">
      <c r="A6" s="61" t="s">
        <v>232</v>
      </c>
      <c r="B6" s="61" t="s">
        <v>384</v>
      </c>
      <c r="C6" s="61"/>
      <c r="D6" s="59" t="s">
        <v>119</v>
      </c>
      <c r="E6" s="59"/>
      <c r="F6" s="59"/>
      <c r="G6" s="59"/>
      <c r="H6" s="59"/>
      <c r="I6" s="59"/>
      <c r="J6" s="59"/>
      <c r="K6" s="59" t="s">
        <v>306</v>
      </c>
      <c r="L6" s="59"/>
      <c r="M6" s="59"/>
      <c r="N6" s="59"/>
      <c r="O6" s="59" t="s">
        <v>306</v>
      </c>
      <c r="P6" s="59" t="s">
        <v>306</v>
      </c>
      <c r="Q6" s="59"/>
      <c r="R6" s="59"/>
      <c r="S6" s="59"/>
      <c r="T6" s="59"/>
      <c r="U6" s="59"/>
      <c r="V6" s="59"/>
      <c r="W6" s="59"/>
      <c r="X6" s="59"/>
      <c r="Y6" s="59"/>
      <c r="Z6" s="59"/>
      <c r="AA6" s="59"/>
      <c r="AB6" s="59"/>
      <c r="AC6" s="59"/>
      <c r="AD6" s="59"/>
      <c r="AE6" s="198"/>
    </row>
    <row r="7" spans="1:31">
      <c r="A7" s="61" t="s">
        <v>232</v>
      </c>
      <c r="B7" s="61" t="s">
        <v>384</v>
      </c>
      <c r="C7" s="61"/>
      <c r="D7" s="59" t="s">
        <v>121</v>
      </c>
      <c r="E7" s="59"/>
      <c r="F7" s="59"/>
      <c r="G7" s="59"/>
      <c r="H7" s="59"/>
      <c r="I7" s="59"/>
      <c r="J7" s="59"/>
      <c r="K7" s="59" t="s">
        <v>306</v>
      </c>
      <c r="L7" s="59"/>
      <c r="M7" s="59"/>
      <c r="N7" s="59"/>
      <c r="O7" s="59" t="s">
        <v>306</v>
      </c>
      <c r="P7" s="59" t="s">
        <v>306</v>
      </c>
      <c r="Q7" s="59"/>
      <c r="R7" s="59"/>
      <c r="S7" s="59"/>
      <c r="T7" s="59"/>
      <c r="U7" s="59"/>
      <c r="V7" s="59"/>
      <c r="W7" s="59"/>
      <c r="X7" s="59"/>
      <c r="Y7" s="59"/>
      <c r="Z7" s="59"/>
      <c r="AA7" s="59"/>
      <c r="AB7" s="59"/>
      <c r="AC7" s="59"/>
      <c r="AD7" s="59"/>
      <c r="AE7" s="198"/>
    </row>
    <row r="8" spans="1:31">
      <c r="A8" s="61" t="s">
        <v>232</v>
      </c>
      <c r="B8" s="61" t="s">
        <v>384</v>
      </c>
      <c r="C8" s="61"/>
      <c r="D8" s="59" t="s">
        <v>120</v>
      </c>
      <c r="E8" s="59"/>
      <c r="F8" s="59"/>
      <c r="G8" s="59"/>
      <c r="H8" s="59"/>
      <c r="I8" s="59"/>
      <c r="J8" s="59"/>
      <c r="K8" s="59" t="s">
        <v>306</v>
      </c>
      <c r="L8" s="59"/>
      <c r="M8" s="59"/>
      <c r="N8" s="59"/>
      <c r="O8" s="59" t="s">
        <v>306</v>
      </c>
      <c r="P8" s="59" t="s">
        <v>306</v>
      </c>
      <c r="Q8" s="59"/>
      <c r="R8" s="59"/>
      <c r="S8" s="59"/>
      <c r="T8" s="59"/>
      <c r="U8" s="59"/>
      <c r="V8" s="59"/>
      <c r="W8" s="59"/>
      <c r="X8" s="59"/>
      <c r="Y8" s="59"/>
      <c r="Z8" s="59"/>
      <c r="AA8" s="59"/>
      <c r="AB8" s="59"/>
      <c r="AC8" s="59"/>
      <c r="AD8" s="59"/>
      <c r="AE8" s="198"/>
    </row>
    <row r="9" spans="1:31">
      <c r="A9" s="61" t="s">
        <v>232</v>
      </c>
      <c r="B9" s="61" t="s">
        <v>384</v>
      </c>
      <c r="C9" s="61"/>
      <c r="D9" s="59" t="s">
        <v>122</v>
      </c>
      <c r="E9" s="59"/>
      <c r="F9" s="59"/>
      <c r="G9" s="59"/>
      <c r="H9" s="59"/>
      <c r="I9" s="59"/>
      <c r="J9" s="59"/>
      <c r="K9" s="59" t="s">
        <v>306</v>
      </c>
      <c r="L9" s="59"/>
      <c r="M9" s="59"/>
      <c r="N9" s="59"/>
      <c r="O9" s="59" t="s">
        <v>306</v>
      </c>
      <c r="P9" s="59" t="s">
        <v>306</v>
      </c>
      <c r="Q9" s="59"/>
      <c r="R9" s="59"/>
      <c r="S9" s="59"/>
      <c r="T9" s="59"/>
      <c r="U9" s="59"/>
      <c r="V9" s="59"/>
      <c r="W9" s="59"/>
      <c r="X9" s="59"/>
      <c r="Y9" s="59"/>
      <c r="Z9" s="59"/>
      <c r="AA9" s="59"/>
      <c r="AB9" s="59"/>
      <c r="AC9" s="59"/>
      <c r="AD9" s="59"/>
      <c r="AE9" s="198"/>
    </row>
    <row r="10" spans="1:31">
      <c r="A10" s="61" t="s">
        <v>232</v>
      </c>
      <c r="B10" s="61" t="s">
        <v>384</v>
      </c>
      <c r="C10" s="61"/>
      <c r="D10" s="59" t="s">
        <v>123</v>
      </c>
      <c r="E10" s="59"/>
      <c r="F10" s="59"/>
      <c r="G10" s="59"/>
      <c r="H10" s="59"/>
      <c r="I10" s="59"/>
      <c r="J10" s="59"/>
      <c r="K10" s="59" t="s">
        <v>306</v>
      </c>
      <c r="L10" s="59"/>
      <c r="M10" s="59"/>
      <c r="N10" s="59"/>
      <c r="O10" s="59" t="s">
        <v>306</v>
      </c>
      <c r="P10" s="59" t="s">
        <v>306</v>
      </c>
      <c r="Q10" s="59"/>
      <c r="R10" s="59"/>
      <c r="S10" s="59"/>
      <c r="T10" s="59"/>
      <c r="U10" s="59"/>
      <c r="V10" s="59"/>
      <c r="W10" s="59"/>
      <c r="X10" s="59"/>
      <c r="Y10" s="59"/>
      <c r="Z10" s="59"/>
      <c r="AA10" s="59"/>
      <c r="AB10" s="59"/>
      <c r="AC10" s="59"/>
      <c r="AD10" s="59"/>
      <c r="AE10" s="198"/>
    </row>
    <row r="11" spans="1:31">
      <c r="A11" s="61" t="s">
        <v>232</v>
      </c>
      <c r="B11" s="61" t="s">
        <v>384</v>
      </c>
      <c r="C11" s="61"/>
      <c r="D11" s="59" t="s">
        <v>128</v>
      </c>
      <c r="E11" s="59"/>
      <c r="F11" s="59"/>
      <c r="G11" s="59"/>
      <c r="H11" s="59"/>
      <c r="I11" s="59"/>
      <c r="J11" s="59"/>
      <c r="K11" s="59" t="s">
        <v>306</v>
      </c>
      <c r="L11" s="59"/>
      <c r="M11" s="59"/>
      <c r="N11" s="59"/>
      <c r="O11" s="59" t="s">
        <v>306</v>
      </c>
      <c r="P11" s="59" t="s">
        <v>306</v>
      </c>
      <c r="Q11" s="59"/>
      <c r="R11" s="59"/>
      <c r="S11" s="59"/>
      <c r="T11" s="59"/>
      <c r="U11" s="59"/>
      <c r="V11" s="59"/>
      <c r="W11" s="59"/>
      <c r="X11" s="59"/>
      <c r="Y11" s="59"/>
      <c r="Z11" s="59"/>
      <c r="AA11" s="59"/>
      <c r="AB11" s="59"/>
      <c r="AC11" s="59"/>
      <c r="AD11" s="59"/>
      <c r="AE11" s="198"/>
    </row>
    <row r="12" spans="1:31">
      <c r="A12" s="61" t="s">
        <v>232</v>
      </c>
      <c r="B12" s="61" t="s">
        <v>384</v>
      </c>
      <c r="C12" s="61"/>
      <c r="D12" s="59" t="s">
        <v>125</v>
      </c>
      <c r="E12" s="59"/>
      <c r="F12" s="59"/>
      <c r="G12" s="59"/>
      <c r="H12" s="59"/>
      <c r="I12" s="59"/>
      <c r="J12" s="59"/>
      <c r="K12" s="59" t="s">
        <v>306</v>
      </c>
      <c r="L12" s="59"/>
      <c r="M12" s="59"/>
      <c r="N12" s="59"/>
      <c r="O12" s="59" t="s">
        <v>306</v>
      </c>
      <c r="P12" s="59" t="s">
        <v>306</v>
      </c>
      <c r="Q12" s="59"/>
      <c r="R12" s="59"/>
      <c r="S12" s="59"/>
      <c r="T12" s="59"/>
      <c r="U12" s="59"/>
      <c r="V12" s="59"/>
      <c r="W12" s="59"/>
      <c r="X12" s="59"/>
      <c r="Y12" s="59"/>
      <c r="Z12" s="59"/>
      <c r="AA12" s="59"/>
      <c r="AB12" s="59"/>
      <c r="AC12" s="59"/>
      <c r="AD12" s="59"/>
      <c r="AE12" s="198"/>
    </row>
    <row r="13" spans="1:31">
      <c r="A13" s="61" t="s">
        <v>232</v>
      </c>
      <c r="B13" s="61" t="s">
        <v>384</v>
      </c>
      <c r="C13" s="61"/>
      <c r="D13" s="59" t="s">
        <v>126</v>
      </c>
      <c r="E13" s="59"/>
      <c r="F13" s="59"/>
      <c r="G13" s="59"/>
      <c r="H13" s="59"/>
      <c r="I13" s="59"/>
      <c r="J13" s="59"/>
      <c r="K13" s="59" t="s">
        <v>306</v>
      </c>
      <c r="L13" s="59"/>
      <c r="M13" s="59"/>
      <c r="N13" s="59"/>
      <c r="O13" s="59" t="s">
        <v>306</v>
      </c>
      <c r="P13" s="59" t="s">
        <v>306</v>
      </c>
      <c r="Q13" s="59"/>
      <c r="R13" s="59"/>
      <c r="S13" s="59"/>
      <c r="T13" s="59"/>
      <c r="U13" s="59"/>
      <c r="V13" s="59"/>
      <c r="W13" s="59"/>
      <c r="X13" s="59"/>
      <c r="Y13" s="59"/>
      <c r="Z13" s="59"/>
      <c r="AA13" s="59"/>
      <c r="AB13" s="59"/>
      <c r="AC13" s="59"/>
      <c r="AD13" s="59"/>
      <c r="AE13" s="198"/>
    </row>
    <row r="14" spans="1:31">
      <c r="A14" s="61" t="s">
        <v>232</v>
      </c>
      <c r="B14" s="61" t="s">
        <v>384</v>
      </c>
      <c r="C14" s="61"/>
      <c r="D14" s="59" t="s">
        <v>127</v>
      </c>
      <c r="E14" s="59"/>
      <c r="F14" s="59"/>
      <c r="G14" s="59"/>
      <c r="H14" s="59"/>
      <c r="I14" s="59"/>
      <c r="J14" s="59"/>
      <c r="K14" s="59" t="s">
        <v>306</v>
      </c>
      <c r="L14" s="59"/>
      <c r="M14" s="59"/>
      <c r="N14" s="59"/>
      <c r="O14" s="59" t="s">
        <v>306</v>
      </c>
      <c r="P14" s="59" t="s">
        <v>306</v>
      </c>
      <c r="Q14" s="59"/>
      <c r="R14" s="59"/>
      <c r="S14" s="59"/>
      <c r="T14" s="59"/>
      <c r="U14" s="59"/>
      <c r="V14" s="59"/>
      <c r="W14" s="59"/>
      <c r="X14" s="59"/>
      <c r="Y14" s="59"/>
      <c r="Z14" s="59"/>
      <c r="AA14" s="59"/>
      <c r="AB14" s="59"/>
      <c r="AC14" s="59"/>
      <c r="AD14" s="59"/>
      <c r="AE14" s="198"/>
    </row>
    <row r="15" spans="1:31">
      <c r="A15" s="61" t="s">
        <v>232</v>
      </c>
      <c r="B15" s="61" t="s">
        <v>384</v>
      </c>
      <c r="C15" s="61"/>
      <c r="D15" s="59" t="s">
        <v>124</v>
      </c>
      <c r="E15" s="59"/>
      <c r="F15" s="59"/>
      <c r="G15" s="59"/>
      <c r="H15" s="59"/>
      <c r="I15" s="59"/>
      <c r="J15" s="59"/>
      <c r="K15" s="59" t="s">
        <v>306</v>
      </c>
      <c r="L15" s="59"/>
      <c r="M15" s="59"/>
      <c r="N15" s="59"/>
      <c r="O15" s="59" t="s">
        <v>306</v>
      </c>
      <c r="P15" s="59" t="s">
        <v>306</v>
      </c>
      <c r="Q15" s="59"/>
      <c r="R15" s="59"/>
      <c r="S15" s="59"/>
      <c r="T15" s="59"/>
      <c r="U15" s="59"/>
      <c r="V15" s="59"/>
      <c r="W15" s="59"/>
      <c r="X15" s="59"/>
      <c r="Y15" s="59"/>
      <c r="Z15" s="59"/>
      <c r="AA15" s="59"/>
      <c r="AB15" s="59"/>
      <c r="AC15" s="59"/>
      <c r="AD15" s="59"/>
      <c r="AE15" s="198"/>
    </row>
    <row r="16" spans="1:31">
      <c r="A16" s="61" t="s">
        <v>232</v>
      </c>
      <c r="B16" s="61" t="s">
        <v>384</v>
      </c>
      <c r="C16" s="61"/>
      <c r="D16" s="59" t="s">
        <v>129</v>
      </c>
      <c r="E16" s="59"/>
      <c r="F16" s="59"/>
      <c r="G16" s="59"/>
      <c r="H16" s="59"/>
      <c r="I16" s="59"/>
      <c r="J16" s="59"/>
      <c r="K16" s="59" t="s">
        <v>306</v>
      </c>
      <c r="L16" s="59"/>
      <c r="M16" s="59"/>
      <c r="N16" s="59"/>
      <c r="O16" s="59" t="s">
        <v>306</v>
      </c>
      <c r="P16" s="59" t="s">
        <v>306</v>
      </c>
      <c r="Q16" s="59"/>
      <c r="R16" s="59"/>
      <c r="S16" s="59"/>
      <c r="T16" s="59"/>
      <c r="U16" s="59"/>
      <c r="V16" s="59"/>
      <c r="W16" s="59"/>
      <c r="X16" s="59"/>
      <c r="Y16" s="59"/>
      <c r="Z16" s="59"/>
      <c r="AA16" s="59"/>
      <c r="AB16" s="59"/>
      <c r="AC16" s="59"/>
      <c r="AD16" s="59"/>
      <c r="AE16" s="198"/>
    </row>
    <row r="17" spans="1:31">
      <c r="A17" s="61" t="s">
        <v>232</v>
      </c>
      <c r="B17" s="61" t="s">
        <v>384</v>
      </c>
      <c r="C17" s="61"/>
      <c r="D17" s="59" t="s">
        <v>131</v>
      </c>
      <c r="E17" s="59"/>
      <c r="F17" s="59"/>
      <c r="G17" s="59"/>
      <c r="H17" s="59"/>
      <c r="I17" s="59"/>
      <c r="J17" s="59"/>
      <c r="K17" s="59" t="s">
        <v>306</v>
      </c>
      <c r="L17" s="59"/>
      <c r="M17" s="59"/>
      <c r="N17" s="59"/>
      <c r="O17" s="59" t="s">
        <v>306</v>
      </c>
      <c r="P17" s="59" t="s">
        <v>306</v>
      </c>
      <c r="Q17" s="59"/>
      <c r="R17" s="59"/>
      <c r="S17" s="59"/>
      <c r="T17" s="59"/>
      <c r="U17" s="59"/>
      <c r="V17" s="59"/>
      <c r="W17" s="59"/>
      <c r="X17" s="59"/>
      <c r="Y17" s="59"/>
      <c r="Z17" s="59"/>
      <c r="AA17" s="59"/>
      <c r="AB17" s="59"/>
      <c r="AC17" s="59"/>
      <c r="AD17" s="59"/>
      <c r="AE17" s="198"/>
    </row>
    <row r="18" spans="1:31">
      <c r="A18" s="61" t="s">
        <v>232</v>
      </c>
      <c r="B18" s="61" t="s">
        <v>384</v>
      </c>
      <c r="C18" s="61"/>
      <c r="D18" s="59" t="s">
        <v>132</v>
      </c>
      <c r="E18" s="59"/>
      <c r="F18" s="59"/>
      <c r="G18" s="59"/>
      <c r="H18" s="59"/>
      <c r="I18" s="59"/>
      <c r="J18" s="59"/>
      <c r="K18" s="59" t="s">
        <v>306</v>
      </c>
      <c r="L18" s="59"/>
      <c r="M18" s="59"/>
      <c r="N18" s="59"/>
      <c r="O18" s="59" t="s">
        <v>306</v>
      </c>
      <c r="P18" s="59" t="s">
        <v>306</v>
      </c>
      <c r="Q18" s="59"/>
      <c r="R18" s="59"/>
      <c r="S18" s="59"/>
      <c r="T18" s="59"/>
      <c r="U18" s="59"/>
      <c r="V18" s="59"/>
      <c r="W18" s="59"/>
      <c r="X18" s="59"/>
      <c r="Y18" s="59"/>
      <c r="Z18" s="59"/>
      <c r="AA18" s="59"/>
      <c r="AB18" s="59"/>
      <c r="AC18" s="59"/>
      <c r="AD18" s="59"/>
      <c r="AE18" s="198"/>
    </row>
    <row r="19" spans="1:31">
      <c r="A19" s="61" t="s">
        <v>232</v>
      </c>
      <c r="B19" s="61" t="s">
        <v>384</v>
      </c>
      <c r="C19" s="61"/>
      <c r="D19" s="59" t="s">
        <v>130</v>
      </c>
      <c r="E19" s="59"/>
      <c r="F19" s="59"/>
      <c r="G19" s="59"/>
      <c r="H19" s="59"/>
      <c r="I19" s="59"/>
      <c r="J19" s="59"/>
      <c r="K19" s="59" t="s">
        <v>306</v>
      </c>
      <c r="L19" s="59"/>
      <c r="M19" s="59"/>
      <c r="N19" s="59"/>
      <c r="O19" s="59" t="s">
        <v>306</v>
      </c>
      <c r="P19" s="59" t="s">
        <v>306</v>
      </c>
      <c r="Q19" s="59"/>
      <c r="R19" s="59"/>
      <c r="S19" s="59"/>
      <c r="T19" s="59"/>
      <c r="U19" s="59"/>
      <c r="V19" s="59"/>
      <c r="W19" s="59"/>
      <c r="X19" s="59"/>
      <c r="Y19" s="59"/>
      <c r="Z19" s="59"/>
      <c r="AA19" s="59"/>
      <c r="AB19" s="59"/>
      <c r="AC19" s="59"/>
      <c r="AD19" s="59"/>
      <c r="AE19" s="198"/>
    </row>
    <row r="20" spans="1:31">
      <c r="A20" s="61" t="s">
        <v>232</v>
      </c>
      <c r="B20" s="61" t="s">
        <v>384</v>
      </c>
      <c r="C20" s="61"/>
      <c r="D20" s="59" t="s">
        <v>133</v>
      </c>
      <c r="E20" s="59"/>
      <c r="F20" s="59"/>
      <c r="G20" s="59"/>
      <c r="H20" s="59"/>
      <c r="I20" s="59"/>
      <c r="J20" s="59"/>
      <c r="K20" s="59" t="s">
        <v>306</v>
      </c>
      <c r="L20" s="59"/>
      <c r="M20" s="59"/>
      <c r="N20" s="59"/>
      <c r="O20" s="59" t="s">
        <v>306</v>
      </c>
      <c r="P20" s="59" t="s">
        <v>306</v>
      </c>
      <c r="Q20" s="59"/>
      <c r="R20" s="59"/>
      <c r="S20" s="59"/>
      <c r="T20" s="59"/>
      <c r="U20" s="59"/>
      <c r="V20" s="59"/>
      <c r="W20" s="59"/>
      <c r="X20" s="59"/>
      <c r="Y20" s="59"/>
      <c r="Z20" s="59"/>
      <c r="AA20" s="59"/>
      <c r="AB20" s="59"/>
      <c r="AC20" s="59"/>
      <c r="AD20" s="59"/>
      <c r="AE20" s="198"/>
    </row>
    <row r="21" spans="1:31">
      <c r="A21" s="61" t="s">
        <v>232</v>
      </c>
      <c r="B21" s="61" t="s">
        <v>384</v>
      </c>
      <c r="C21" s="61"/>
      <c r="D21" s="59" t="s">
        <v>377</v>
      </c>
      <c r="E21" s="59"/>
      <c r="F21" s="59"/>
      <c r="G21" s="59"/>
      <c r="H21" s="59"/>
      <c r="I21" s="59"/>
      <c r="J21" s="59"/>
      <c r="K21" s="59" t="s">
        <v>306</v>
      </c>
      <c r="L21" s="59"/>
      <c r="M21" s="59"/>
      <c r="N21" s="59"/>
      <c r="O21" s="59" t="s">
        <v>306</v>
      </c>
      <c r="P21" s="59" t="s">
        <v>306</v>
      </c>
      <c r="Q21" s="59"/>
      <c r="R21" s="59"/>
      <c r="S21" s="59"/>
      <c r="T21" s="59"/>
      <c r="U21" s="59"/>
      <c r="V21" s="59"/>
      <c r="W21" s="59"/>
      <c r="X21" s="59"/>
      <c r="Y21" s="59"/>
      <c r="Z21" s="59"/>
      <c r="AA21" s="59"/>
      <c r="AB21" s="59"/>
      <c r="AC21" s="59"/>
      <c r="AD21" s="59"/>
      <c r="AE21" s="198"/>
    </row>
    <row r="22" spans="1:31">
      <c r="A22" s="61" t="s">
        <v>232</v>
      </c>
      <c r="B22" s="61" t="s">
        <v>384</v>
      </c>
      <c r="C22" s="61"/>
      <c r="D22" s="59" t="s">
        <v>378</v>
      </c>
      <c r="E22" s="59"/>
      <c r="F22" s="59"/>
      <c r="G22" s="59"/>
      <c r="H22" s="59"/>
      <c r="I22" s="59"/>
      <c r="J22" s="59"/>
      <c r="K22" s="59" t="s">
        <v>306</v>
      </c>
      <c r="L22" s="59"/>
      <c r="M22" s="59"/>
      <c r="N22" s="59"/>
      <c r="O22" s="59" t="s">
        <v>306</v>
      </c>
      <c r="P22" s="59" t="s">
        <v>306</v>
      </c>
      <c r="Q22" s="59"/>
      <c r="R22" s="59"/>
      <c r="S22" s="59"/>
      <c r="T22" s="59"/>
      <c r="U22" s="59"/>
      <c r="V22" s="59"/>
      <c r="W22" s="59"/>
      <c r="X22" s="59"/>
      <c r="Y22" s="59"/>
      <c r="Z22" s="59"/>
      <c r="AA22" s="59"/>
      <c r="AB22" s="59"/>
      <c r="AC22" s="59"/>
      <c r="AD22" s="59"/>
      <c r="AE22" s="198"/>
    </row>
    <row r="23" spans="1:31">
      <c r="A23" s="61" t="s">
        <v>232</v>
      </c>
      <c r="B23" s="61" t="s">
        <v>384</v>
      </c>
      <c r="C23" s="61"/>
      <c r="D23" s="59" t="s">
        <v>379</v>
      </c>
      <c r="E23" s="59"/>
      <c r="F23" s="59"/>
      <c r="G23" s="59"/>
      <c r="H23" s="59"/>
      <c r="I23" s="59"/>
      <c r="J23" s="59"/>
      <c r="K23" s="59" t="s">
        <v>306</v>
      </c>
      <c r="L23" s="59"/>
      <c r="M23" s="59"/>
      <c r="N23" s="59"/>
      <c r="O23" s="59" t="s">
        <v>306</v>
      </c>
      <c r="P23" s="59" t="s">
        <v>306</v>
      </c>
      <c r="Q23" s="59"/>
      <c r="R23" s="59"/>
      <c r="S23" s="59"/>
      <c r="T23" s="59"/>
      <c r="U23" s="59"/>
      <c r="V23" s="59"/>
      <c r="W23" s="59"/>
      <c r="X23" s="59"/>
      <c r="Y23" s="59"/>
      <c r="Z23" s="59"/>
      <c r="AA23" s="59"/>
      <c r="AB23" s="59"/>
      <c r="AC23" s="59"/>
      <c r="AD23" s="59"/>
      <c r="AE23" s="198"/>
    </row>
    <row r="24" spans="1:31">
      <c r="A24" s="61" t="s">
        <v>232</v>
      </c>
      <c r="B24" s="61" t="s">
        <v>384</v>
      </c>
      <c r="C24" s="61"/>
      <c r="D24" s="59" t="s">
        <v>380</v>
      </c>
      <c r="E24" s="59"/>
      <c r="F24" s="59"/>
      <c r="G24" s="59"/>
      <c r="H24" s="59"/>
      <c r="I24" s="59"/>
      <c r="J24" s="59"/>
      <c r="K24" s="59" t="s">
        <v>306</v>
      </c>
      <c r="L24" s="59"/>
      <c r="M24" s="59"/>
      <c r="N24" s="59"/>
      <c r="O24" s="59" t="s">
        <v>306</v>
      </c>
      <c r="P24" s="59" t="s">
        <v>306</v>
      </c>
      <c r="Q24" s="59"/>
      <c r="R24" s="59"/>
      <c r="S24" s="59"/>
      <c r="T24" s="59"/>
      <c r="U24" s="59"/>
      <c r="V24" s="59"/>
      <c r="W24" s="59"/>
      <c r="X24" s="59"/>
      <c r="Y24" s="59"/>
      <c r="Z24" s="59"/>
      <c r="AA24" s="59"/>
      <c r="AB24" s="59"/>
      <c r="AC24" s="59"/>
      <c r="AD24" s="59"/>
      <c r="AE24" s="198"/>
    </row>
    <row r="25" spans="1:31">
      <c r="A25" s="61" t="s">
        <v>232</v>
      </c>
      <c r="B25" s="61" t="s">
        <v>384</v>
      </c>
      <c r="C25" s="61"/>
      <c r="D25" s="59" t="s">
        <v>381</v>
      </c>
      <c r="E25" s="59"/>
      <c r="F25" s="59"/>
      <c r="G25" s="59"/>
      <c r="H25" s="59"/>
      <c r="I25" s="59"/>
      <c r="J25" s="59"/>
      <c r="K25" s="59" t="s">
        <v>306</v>
      </c>
      <c r="L25" s="59"/>
      <c r="M25" s="59"/>
      <c r="N25" s="59"/>
      <c r="O25" s="59" t="s">
        <v>306</v>
      </c>
      <c r="P25" s="59" t="s">
        <v>306</v>
      </c>
      <c r="Q25" s="59"/>
      <c r="R25" s="59"/>
      <c r="S25" s="59"/>
      <c r="T25" s="59"/>
      <c r="U25" s="59"/>
      <c r="V25" s="59"/>
      <c r="W25" s="59"/>
      <c r="X25" s="59"/>
      <c r="Y25" s="59"/>
      <c r="Z25" s="59"/>
      <c r="AA25" s="59"/>
      <c r="AB25" s="59"/>
      <c r="AC25" s="59"/>
      <c r="AD25" s="59"/>
      <c r="AE25" s="198"/>
    </row>
    <row r="26" spans="1:31">
      <c r="A26" s="61" t="s">
        <v>232</v>
      </c>
      <c r="B26" s="61" t="s">
        <v>398</v>
      </c>
      <c r="C26" s="61"/>
      <c r="D26" s="59" t="s">
        <v>111</v>
      </c>
      <c r="E26" s="59"/>
      <c r="F26" s="59"/>
      <c r="G26" s="59"/>
      <c r="H26" s="59"/>
      <c r="I26" s="59"/>
      <c r="J26" s="59"/>
      <c r="K26" s="59"/>
      <c r="L26" s="59"/>
      <c r="M26" s="59"/>
      <c r="N26" s="59"/>
      <c r="O26" s="59" t="s">
        <v>306</v>
      </c>
      <c r="P26" s="59" t="s">
        <v>306</v>
      </c>
      <c r="Q26" s="59"/>
      <c r="R26" s="59"/>
      <c r="S26" s="59"/>
      <c r="T26" s="59"/>
      <c r="U26" s="59"/>
      <c r="V26" s="59"/>
      <c r="W26" s="59"/>
      <c r="X26" s="59"/>
      <c r="Y26" s="59"/>
      <c r="Z26" s="59"/>
      <c r="AA26" s="59"/>
      <c r="AB26" s="59"/>
      <c r="AC26" s="59"/>
      <c r="AD26" s="59"/>
      <c r="AE26" s="198"/>
    </row>
    <row r="27" spans="1:31">
      <c r="A27" s="61" t="s">
        <v>232</v>
      </c>
      <c r="B27" s="61" t="s">
        <v>110</v>
      </c>
      <c r="C27" s="61"/>
      <c r="D27" s="59" t="s">
        <v>109</v>
      </c>
      <c r="E27" s="59"/>
      <c r="F27" s="59"/>
      <c r="G27" s="59"/>
      <c r="H27" s="59"/>
      <c r="I27" s="59"/>
      <c r="J27" s="59"/>
      <c r="K27" s="59"/>
      <c r="L27" s="59"/>
      <c r="M27" s="59"/>
      <c r="N27" s="59"/>
      <c r="O27" s="59" t="s">
        <v>306</v>
      </c>
      <c r="P27" s="59" t="s">
        <v>306</v>
      </c>
      <c r="Q27" s="59"/>
      <c r="R27" s="59"/>
      <c r="S27" s="59"/>
      <c r="T27" s="59"/>
      <c r="U27" s="59"/>
      <c r="V27" s="59"/>
      <c r="W27" s="59"/>
      <c r="X27" s="59"/>
      <c r="Y27" s="59"/>
      <c r="Z27" s="59"/>
      <c r="AA27" s="59"/>
      <c r="AB27" s="59"/>
      <c r="AC27" s="59"/>
      <c r="AD27" s="59"/>
      <c r="AE27" s="198"/>
    </row>
    <row r="28" spans="1:31">
      <c r="A28" s="61" t="s">
        <v>232</v>
      </c>
      <c r="B28" s="61" t="s">
        <v>399</v>
      </c>
      <c r="C28" s="61"/>
      <c r="D28" s="59" t="s">
        <v>85</v>
      </c>
      <c r="E28" s="59"/>
      <c r="F28" s="59"/>
      <c r="G28" s="59"/>
      <c r="H28" s="59"/>
      <c r="I28" s="59"/>
      <c r="J28" s="59"/>
      <c r="K28" s="59"/>
      <c r="L28" s="59"/>
      <c r="M28" s="59"/>
      <c r="N28" s="59"/>
      <c r="O28" s="59" t="s">
        <v>306</v>
      </c>
      <c r="P28" s="59" t="s">
        <v>306</v>
      </c>
      <c r="Q28" s="59"/>
      <c r="R28" s="59"/>
      <c r="S28" s="59"/>
      <c r="T28" s="59"/>
      <c r="U28" s="59"/>
      <c r="V28" s="59"/>
      <c r="W28" s="59"/>
      <c r="X28" s="59"/>
      <c r="Y28" s="59"/>
      <c r="Z28" s="59"/>
      <c r="AA28" s="59"/>
      <c r="AB28" s="59"/>
      <c r="AC28" s="59"/>
      <c r="AD28" s="59"/>
      <c r="AE28" s="198"/>
    </row>
    <row r="29" spans="1:31">
      <c r="A29" s="48" t="s">
        <v>232</v>
      </c>
      <c r="B29" s="48" t="s">
        <v>298</v>
      </c>
      <c r="C29" s="48"/>
      <c r="D29" s="51" t="s">
        <v>17</v>
      </c>
      <c r="E29" s="53" t="s">
        <v>306</v>
      </c>
      <c r="F29" s="53" t="s">
        <v>306</v>
      </c>
      <c r="G29" s="53" t="s">
        <v>306</v>
      </c>
      <c r="H29" s="53" t="s">
        <v>306</v>
      </c>
      <c r="I29" s="53"/>
      <c r="J29" s="53" t="s">
        <v>306</v>
      </c>
      <c r="K29" s="53"/>
      <c r="L29" s="53"/>
      <c r="M29" s="53"/>
      <c r="N29" s="49" t="s">
        <v>306</v>
      </c>
      <c r="O29" s="49" t="s">
        <v>306</v>
      </c>
      <c r="P29" s="49" t="s">
        <v>306</v>
      </c>
      <c r="Q29" s="53"/>
      <c r="R29" s="53"/>
      <c r="S29" s="53"/>
      <c r="T29" s="53"/>
      <c r="U29" s="53"/>
      <c r="V29" s="53"/>
      <c r="W29" s="53"/>
      <c r="X29" s="53"/>
      <c r="Y29" s="54" t="s">
        <v>306</v>
      </c>
      <c r="Z29" s="53" t="s">
        <v>306</v>
      </c>
      <c r="AA29" s="53"/>
      <c r="AB29" s="53"/>
      <c r="AC29" s="53"/>
      <c r="AD29" s="59"/>
      <c r="AE29" s="198"/>
    </row>
    <row r="30" spans="1:31">
      <c r="A30" s="61" t="s">
        <v>232</v>
      </c>
      <c r="B30" s="61" t="s">
        <v>402</v>
      </c>
      <c r="C30" s="61"/>
      <c r="D30" s="59" t="s">
        <v>59</v>
      </c>
      <c r="E30" s="59"/>
      <c r="F30" s="59"/>
      <c r="G30" s="59"/>
      <c r="H30" s="59"/>
      <c r="I30" s="59"/>
      <c r="J30" s="59"/>
      <c r="K30" s="59" t="s">
        <v>306</v>
      </c>
      <c r="L30" s="59"/>
      <c r="M30" s="59"/>
      <c r="N30" s="59"/>
      <c r="O30" s="59" t="s">
        <v>306</v>
      </c>
      <c r="P30" s="59" t="s">
        <v>306</v>
      </c>
      <c r="Q30" s="59"/>
      <c r="R30" s="59"/>
      <c r="S30" s="59"/>
      <c r="T30" s="59"/>
      <c r="U30" s="59"/>
      <c r="V30" s="59"/>
      <c r="W30" s="59"/>
      <c r="X30" s="59"/>
      <c r="Y30" s="59"/>
      <c r="Z30" s="59"/>
      <c r="AA30" s="59"/>
      <c r="AB30" s="59"/>
      <c r="AC30" s="59"/>
      <c r="AD30" s="59"/>
      <c r="AE30" s="198"/>
    </row>
    <row r="31" spans="1:31">
      <c r="A31" s="61" t="s">
        <v>232</v>
      </c>
      <c r="B31" s="61" t="s">
        <v>400</v>
      </c>
      <c r="C31" s="61"/>
      <c r="D31" s="59" t="s">
        <v>57</v>
      </c>
      <c r="E31" s="59"/>
      <c r="F31" s="59"/>
      <c r="G31" s="59"/>
      <c r="H31" s="59"/>
      <c r="I31" s="59" t="s">
        <v>306</v>
      </c>
      <c r="J31" s="59"/>
      <c r="K31" s="59" t="s">
        <v>306</v>
      </c>
      <c r="L31" s="59"/>
      <c r="M31" s="59"/>
      <c r="N31" s="59"/>
      <c r="O31" s="59" t="s">
        <v>306</v>
      </c>
      <c r="P31" s="59" t="s">
        <v>306</v>
      </c>
      <c r="Q31" s="59"/>
      <c r="R31" s="59"/>
      <c r="S31" s="59"/>
      <c r="T31" s="59"/>
      <c r="U31" s="59"/>
      <c r="V31" s="59"/>
      <c r="W31" s="59"/>
      <c r="X31" s="59"/>
      <c r="Y31" s="59"/>
      <c r="Z31" s="59"/>
      <c r="AA31" s="59"/>
      <c r="AB31" s="59"/>
      <c r="AC31" s="59"/>
      <c r="AD31" s="59"/>
      <c r="AE31" s="198"/>
    </row>
    <row r="32" spans="1:31">
      <c r="A32" s="48" t="s">
        <v>232</v>
      </c>
      <c r="B32" s="48" t="s">
        <v>101</v>
      </c>
      <c r="C32" s="48"/>
      <c r="D32" s="49" t="s">
        <v>64</v>
      </c>
      <c r="E32" s="49"/>
      <c r="F32" s="49"/>
      <c r="G32" s="49"/>
      <c r="H32" s="49"/>
      <c r="I32" s="49"/>
      <c r="J32" s="49" t="s">
        <v>306</v>
      </c>
      <c r="K32" s="49" t="s">
        <v>306</v>
      </c>
      <c r="L32" s="53" t="s">
        <v>306</v>
      </c>
      <c r="M32" s="53" t="s">
        <v>306</v>
      </c>
      <c r="N32" s="49"/>
      <c r="O32" s="49" t="s">
        <v>306</v>
      </c>
      <c r="P32" s="49" t="s">
        <v>306</v>
      </c>
      <c r="Q32" s="49"/>
      <c r="R32" s="49"/>
      <c r="S32" s="49"/>
      <c r="T32" s="49"/>
      <c r="U32" s="49"/>
      <c r="V32" s="49"/>
      <c r="W32" s="49"/>
      <c r="X32" s="49"/>
      <c r="Y32" s="52"/>
      <c r="Z32" s="52"/>
      <c r="AA32" s="52"/>
      <c r="AB32" s="52"/>
      <c r="AC32" s="52"/>
      <c r="AD32" s="59"/>
      <c r="AE32" s="198"/>
    </row>
    <row r="33" spans="1:31">
      <c r="A33" s="61" t="s">
        <v>232</v>
      </c>
      <c r="B33" s="61" t="s">
        <v>107</v>
      </c>
      <c r="C33" s="61"/>
      <c r="D33" s="59" t="s">
        <v>134</v>
      </c>
      <c r="E33" s="59"/>
      <c r="F33" s="59"/>
      <c r="G33" s="59"/>
      <c r="H33" s="59"/>
      <c r="I33" s="59"/>
      <c r="J33" s="59" t="s">
        <v>306</v>
      </c>
      <c r="K33" s="59" t="s">
        <v>306</v>
      </c>
      <c r="L33" s="59" t="s">
        <v>306</v>
      </c>
      <c r="M33" s="59" t="s">
        <v>306</v>
      </c>
      <c r="N33" s="59"/>
      <c r="O33" s="59" t="s">
        <v>306</v>
      </c>
      <c r="P33" s="59" t="s">
        <v>306</v>
      </c>
      <c r="Q33" s="59"/>
      <c r="R33" s="59"/>
      <c r="S33" s="59"/>
      <c r="T33" s="59"/>
      <c r="U33" s="59"/>
      <c r="V33" s="59"/>
      <c r="W33" s="59"/>
      <c r="X33" s="59"/>
      <c r="Y33" s="59"/>
      <c r="Z33" s="59"/>
      <c r="AA33" s="59"/>
      <c r="AB33" s="59"/>
      <c r="AC33" s="59"/>
      <c r="AD33" s="59"/>
      <c r="AE33" s="198"/>
    </row>
    <row r="34" spans="1:31">
      <c r="A34" s="61" t="s">
        <v>232</v>
      </c>
      <c r="B34" s="61" t="s">
        <v>107</v>
      </c>
      <c r="C34" s="61"/>
      <c r="D34" s="59" t="s">
        <v>135</v>
      </c>
      <c r="E34" s="59"/>
      <c r="F34" s="59"/>
      <c r="G34" s="59"/>
      <c r="H34" s="59"/>
      <c r="I34" s="59"/>
      <c r="J34" s="59" t="s">
        <v>306</v>
      </c>
      <c r="K34" s="59" t="s">
        <v>306</v>
      </c>
      <c r="L34" s="59" t="s">
        <v>306</v>
      </c>
      <c r="M34" s="59" t="s">
        <v>306</v>
      </c>
      <c r="N34" s="59"/>
      <c r="O34" s="59" t="s">
        <v>306</v>
      </c>
      <c r="P34" s="59" t="s">
        <v>306</v>
      </c>
      <c r="Q34" s="59"/>
      <c r="R34" s="59"/>
      <c r="S34" s="59"/>
      <c r="T34" s="59"/>
      <c r="U34" s="59"/>
      <c r="V34" s="59"/>
      <c r="W34" s="59"/>
      <c r="X34" s="59"/>
      <c r="Y34" s="59"/>
      <c r="Z34" s="59"/>
      <c r="AA34" s="59"/>
      <c r="AB34" s="59"/>
      <c r="AC34" s="59"/>
      <c r="AD34" s="59"/>
      <c r="AE34" s="198"/>
    </row>
    <row r="35" spans="1:31">
      <c r="A35" s="61" t="s">
        <v>232</v>
      </c>
      <c r="B35" s="61" t="s">
        <v>107</v>
      </c>
      <c r="C35" s="61"/>
      <c r="D35" s="59" t="s">
        <v>136</v>
      </c>
      <c r="E35" s="59"/>
      <c r="F35" s="59"/>
      <c r="G35" s="59"/>
      <c r="H35" s="59"/>
      <c r="I35" s="59"/>
      <c r="J35" s="59" t="s">
        <v>306</v>
      </c>
      <c r="K35" s="59" t="s">
        <v>306</v>
      </c>
      <c r="L35" s="59" t="s">
        <v>306</v>
      </c>
      <c r="M35" s="59" t="s">
        <v>306</v>
      </c>
      <c r="N35" s="59"/>
      <c r="O35" s="59" t="s">
        <v>306</v>
      </c>
      <c r="P35" s="59" t="s">
        <v>306</v>
      </c>
      <c r="Q35" s="59"/>
      <c r="R35" s="59"/>
      <c r="S35" s="59"/>
      <c r="T35" s="59"/>
      <c r="U35" s="59"/>
      <c r="V35" s="59"/>
      <c r="W35" s="59"/>
      <c r="X35" s="59"/>
      <c r="Y35" s="59"/>
      <c r="Z35" s="59"/>
      <c r="AA35" s="59"/>
      <c r="AB35" s="59"/>
      <c r="AC35" s="59"/>
      <c r="AD35" s="59"/>
      <c r="AE35" s="198"/>
    </row>
    <row r="36" spans="1:31">
      <c r="A36" s="61" t="s">
        <v>232</v>
      </c>
      <c r="B36" s="61" t="s">
        <v>100</v>
      </c>
      <c r="C36" s="61"/>
      <c r="D36" s="59" t="s">
        <v>99</v>
      </c>
      <c r="E36" s="59"/>
      <c r="F36" s="59"/>
      <c r="G36" s="59"/>
      <c r="H36" s="59"/>
      <c r="I36" s="59"/>
      <c r="J36" s="59" t="s">
        <v>306</v>
      </c>
      <c r="K36" s="59" t="s">
        <v>306</v>
      </c>
      <c r="L36" s="59" t="s">
        <v>306</v>
      </c>
      <c r="M36" s="59" t="s">
        <v>306</v>
      </c>
      <c r="N36" s="59"/>
      <c r="O36" s="59" t="s">
        <v>306</v>
      </c>
      <c r="P36" s="59" t="s">
        <v>306</v>
      </c>
      <c r="Q36" s="59"/>
      <c r="R36" s="59"/>
      <c r="S36" s="59"/>
      <c r="T36" s="59"/>
      <c r="U36" s="59"/>
      <c r="V36" s="59"/>
      <c r="W36" s="59"/>
      <c r="X36" s="59"/>
      <c r="Y36" s="59"/>
      <c r="Z36" s="59"/>
      <c r="AA36" s="59"/>
      <c r="AB36" s="59"/>
      <c r="AC36" s="59"/>
      <c r="AD36" s="59"/>
      <c r="AE36" s="198"/>
    </row>
    <row r="37" spans="1:31">
      <c r="A37" s="48" t="s">
        <v>232</v>
      </c>
      <c r="B37" s="48" t="s">
        <v>70</v>
      </c>
      <c r="C37" s="48"/>
      <c r="D37" s="53" t="s">
        <v>69</v>
      </c>
      <c r="E37" s="49"/>
      <c r="F37" s="49"/>
      <c r="G37" s="49"/>
      <c r="H37" s="49"/>
      <c r="I37" s="49"/>
      <c r="J37" s="49"/>
      <c r="K37" s="49" t="s">
        <v>306</v>
      </c>
      <c r="L37" s="53" t="s">
        <v>306</v>
      </c>
      <c r="M37" s="53" t="s">
        <v>306</v>
      </c>
      <c r="N37" s="49"/>
      <c r="O37" s="49" t="s">
        <v>306</v>
      </c>
      <c r="P37" s="49" t="s">
        <v>306</v>
      </c>
      <c r="Q37" s="49"/>
      <c r="R37" s="49"/>
      <c r="S37" s="49"/>
      <c r="T37" s="49"/>
      <c r="U37" s="49"/>
      <c r="V37" s="49"/>
      <c r="W37" s="49"/>
      <c r="X37" s="49"/>
      <c r="Y37" s="49"/>
      <c r="Z37" s="49"/>
      <c r="AA37" s="49"/>
      <c r="AB37" s="49"/>
      <c r="AC37" s="49"/>
      <c r="AD37" s="59"/>
      <c r="AE37" s="198"/>
    </row>
    <row r="38" spans="1:31">
      <c r="A38" s="61" t="s">
        <v>232</v>
      </c>
      <c r="B38" s="61" t="s">
        <v>403</v>
      </c>
      <c r="C38" s="61"/>
      <c r="D38" s="59" t="s">
        <v>60</v>
      </c>
      <c r="E38" s="59"/>
      <c r="F38" s="59"/>
      <c r="G38" s="59"/>
      <c r="H38" s="59"/>
      <c r="I38" s="59"/>
      <c r="J38" s="59"/>
      <c r="K38" s="59" t="s">
        <v>306</v>
      </c>
      <c r="L38" s="59"/>
      <c r="M38" s="59"/>
      <c r="N38" s="59"/>
      <c r="O38" s="59" t="s">
        <v>306</v>
      </c>
      <c r="P38" s="59" t="s">
        <v>306</v>
      </c>
      <c r="Q38" s="59"/>
      <c r="R38" s="59"/>
      <c r="S38" s="59"/>
      <c r="T38" s="59"/>
      <c r="U38" s="59"/>
      <c r="V38" s="59"/>
      <c r="W38" s="59"/>
      <c r="X38" s="59"/>
      <c r="Y38" s="59"/>
      <c r="Z38" s="59"/>
      <c r="AA38" s="59"/>
      <c r="AB38" s="59"/>
      <c r="AC38" s="59"/>
      <c r="AD38" s="59"/>
      <c r="AE38" s="198"/>
    </row>
    <row r="39" spans="1:31">
      <c r="A39" s="61" t="s">
        <v>232</v>
      </c>
      <c r="B39" s="61" t="s">
        <v>401</v>
      </c>
      <c r="C39" s="61"/>
      <c r="D39" s="59" t="s">
        <v>58</v>
      </c>
      <c r="E39" s="59"/>
      <c r="F39" s="59"/>
      <c r="G39" s="59"/>
      <c r="H39" s="59"/>
      <c r="I39" s="59"/>
      <c r="J39" s="59"/>
      <c r="K39" s="59" t="s">
        <v>306</v>
      </c>
      <c r="L39" s="59"/>
      <c r="M39" s="59"/>
      <c r="N39" s="59"/>
      <c r="O39" s="59" t="s">
        <v>306</v>
      </c>
      <c r="P39" s="59" t="s">
        <v>306</v>
      </c>
      <c r="Q39" s="59"/>
      <c r="R39" s="59"/>
      <c r="S39" s="59"/>
      <c r="T39" s="59"/>
      <c r="U39" s="59"/>
      <c r="V39" s="59"/>
      <c r="W39" s="59"/>
      <c r="X39" s="59"/>
      <c r="Y39" s="59"/>
      <c r="Z39" s="59"/>
      <c r="AA39" s="59"/>
      <c r="AB39" s="59"/>
      <c r="AC39" s="59"/>
      <c r="AD39" s="59"/>
      <c r="AE39" s="198"/>
    </row>
    <row r="40" spans="1:31">
      <c r="A40" s="61" t="s">
        <v>232</v>
      </c>
      <c r="B40" s="61" t="s">
        <v>108</v>
      </c>
      <c r="C40" s="61"/>
      <c r="D40" s="59" t="s">
        <v>140</v>
      </c>
      <c r="E40" s="59"/>
      <c r="F40" s="59"/>
      <c r="G40" s="59"/>
      <c r="H40" s="59"/>
      <c r="I40" s="59"/>
      <c r="J40" s="59" t="s">
        <v>306</v>
      </c>
      <c r="K40" s="59" t="s">
        <v>306</v>
      </c>
      <c r="L40" s="59" t="s">
        <v>306</v>
      </c>
      <c r="M40" s="59" t="s">
        <v>306</v>
      </c>
      <c r="N40" s="59"/>
      <c r="O40" s="59" t="s">
        <v>306</v>
      </c>
      <c r="P40" s="59" t="s">
        <v>306</v>
      </c>
      <c r="Q40" s="59"/>
      <c r="R40" s="59"/>
      <c r="S40" s="59"/>
      <c r="T40" s="59"/>
      <c r="U40" s="59"/>
      <c r="V40" s="59"/>
      <c r="W40" s="59"/>
      <c r="X40" s="59"/>
      <c r="Y40" s="59"/>
      <c r="Z40" s="59"/>
      <c r="AA40" s="59"/>
      <c r="AB40" s="59"/>
      <c r="AC40" s="59"/>
      <c r="AD40" s="59"/>
      <c r="AE40" s="198"/>
    </row>
    <row r="41" spans="1:31">
      <c r="A41" s="61" t="s">
        <v>232</v>
      </c>
      <c r="B41" s="61" t="s">
        <v>108</v>
      </c>
      <c r="C41" s="61"/>
      <c r="D41" s="59" t="s">
        <v>141</v>
      </c>
      <c r="E41" s="59"/>
      <c r="F41" s="59"/>
      <c r="G41" s="59"/>
      <c r="H41" s="59"/>
      <c r="I41" s="59"/>
      <c r="J41" s="59" t="s">
        <v>306</v>
      </c>
      <c r="K41" s="59" t="s">
        <v>306</v>
      </c>
      <c r="L41" s="59" t="s">
        <v>306</v>
      </c>
      <c r="M41" s="59" t="s">
        <v>306</v>
      </c>
      <c r="N41" s="59"/>
      <c r="O41" s="59" t="s">
        <v>306</v>
      </c>
      <c r="P41" s="59" t="s">
        <v>306</v>
      </c>
      <c r="Q41" s="59"/>
      <c r="R41" s="59"/>
      <c r="S41" s="59"/>
      <c r="T41" s="59"/>
      <c r="U41" s="59"/>
      <c r="V41" s="59"/>
      <c r="W41" s="59"/>
      <c r="X41" s="59"/>
      <c r="Y41" s="59"/>
      <c r="Z41" s="59"/>
      <c r="AA41" s="59"/>
      <c r="AB41" s="59"/>
      <c r="AC41" s="59"/>
      <c r="AD41" s="59"/>
      <c r="AE41" s="198"/>
    </row>
    <row r="42" spans="1:31">
      <c r="A42" s="61" t="s">
        <v>232</v>
      </c>
      <c r="B42" s="61" t="s">
        <v>108</v>
      </c>
      <c r="C42" s="61"/>
      <c r="D42" s="59" t="s">
        <v>142</v>
      </c>
      <c r="E42" s="59"/>
      <c r="F42" s="59"/>
      <c r="G42" s="59"/>
      <c r="H42" s="59"/>
      <c r="I42" s="59"/>
      <c r="J42" s="59" t="s">
        <v>306</v>
      </c>
      <c r="K42" s="59" t="s">
        <v>306</v>
      </c>
      <c r="L42" s="59" t="s">
        <v>306</v>
      </c>
      <c r="M42" s="59" t="s">
        <v>306</v>
      </c>
      <c r="N42" s="59"/>
      <c r="O42" s="59" t="s">
        <v>306</v>
      </c>
      <c r="P42" s="59" t="s">
        <v>306</v>
      </c>
      <c r="Q42" s="59"/>
      <c r="R42" s="59"/>
      <c r="S42" s="59"/>
      <c r="T42" s="59"/>
      <c r="U42" s="59"/>
      <c r="V42" s="59"/>
      <c r="W42" s="59"/>
      <c r="X42" s="59"/>
      <c r="Y42" s="59"/>
      <c r="Z42" s="59"/>
      <c r="AA42" s="59"/>
      <c r="AB42" s="59"/>
      <c r="AC42" s="59"/>
      <c r="AD42" s="59"/>
      <c r="AE42" s="198"/>
    </row>
    <row r="43" spans="1:31">
      <c r="A43" s="48" t="s">
        <v>232</v>
      </c>
      <c r="B43" s="48" t="s">
        <v>301</v>
      </c>
      <c r="C43" s="48"/>
      <c r="D43" s="51" t="s">
        <v>23</v>
      </c>
      <c r="E43" s="53"/>
      <c r="F43" s="53"/>
      <c r="G43" s="53"/>
      <c r="H43" s="53"/>
      <c r="I43" s="53"/>
      <c r="J43" s="53"/>
      <c r="K43" s="53"/>
      <c r="L43" s="53"/>
      <c r="M43" s="53"/>
      <c r="N43" s="53"/>
      <c r="O43" s="49" t="s">
        <v>306</v>
      </c>
      <c r="P43" s="49" t="s">
        <v>306</v>
      </c>
      <c r="Q43" s="53"/>
      <c r="R43" s="53"/>
      <c r="S43" s="53"/>
      <c r="T43" s="53"/>
      <c r="U43" s="53"/>
      <c r="V43" s="53"/>
      <c r="W43" s="53"/>
      <c r="X43" s="53" t="s">
        <v>306</v>
      </c>
      <c r="Y43" s="53"/>
      <c r="Z43" s="53" t="s">
        <v>306</v>
      </c>
      <c r="AA43" s="53"/>
      <c r="AB43" s="53"/>
      <c r="AC43" s="53"/>
      <c r="AD43" s="59"/>
      <c r="AE43" s="198"/>
    </row>
    <row r="44" spans="1:31">
      <c r="A44" s="61" t="s">
        <v>232</v>
      </c>
      <c r="B44" s="61" t="s">
        <v>268</v>
      </c>
      <c r="C44" s="61"/>
      <c r="D44" s="52" t="s">
        <v>266</v>
      </c>
      <c r="E44" s="59"/>
      <c r="F44" s="59"/>
      <c r="G44" s="59"/>
      <c r="H44" s="59"/>
      <c r="I44" s="59" t="s">
        <v>306</v>
      </c>
      <c r="J44" s="59"/>
      <c r="K44" s="59"/>
      <c r="L44" s="59"/>
      <c r="M44" s="59"/>
      <c r="N44" s="59"/>
      <c r="O44" s="59" t="s">
        <v>306</v>
      </c>
      <c r="P44" s="59" t="s">
        <v>306</v>
      </c>
      <c r="Q44" s="59"/>
      <c r="R44" s="59"/>
      <c r="S44" s="59"/>
      <c r="T44" s="59"/>
      <c r="U44" s="59"/>
      <c r="V44" s="59"/>
      <c r="W44" s="59"/>
      <c r="X44" s="59"/>
      <c r="Y44" s="59"/>
      <c r="Z44" s="59"/>
      <c r="AA44" s="59"/>
      <c r="AB44" s="59"/>
      <c r="AC44" s="59"/>
      <c r="AD44" s="59"/>
      <c r="AE44" s="198"/>
    </row>
    <row r="45" spans="1:31">
      <c r="A45" s="61" t="s">
        <v>234</v>
      </c>
      <c r="B45" s="61" t="s">
        <v>268</v>
      </c>
      <c r="C45" s="61"/>
      <c r="D45" s="52" t="s">
        <v>266</v>
      </c>
      <c r="E45" s="59"/>
      <c r="F45" s="59"/>
      <c r="G45" s="59"/>
      <c r="H45" s="59"/>
      <c r="I45" s="59" t="s">
        <v>306</v>
      </c>
      <c r="J45" s="59"/>
      <c r="K45" s="59"/>
      <c r="L45" s="59"/>
      <c r="M45" s="59"/>
      <c r="N45" s="59"/>
      <c r="O45" s="59" t="s">
        <v>306</v>
      </c>
      <c r="P45" s="59" t="s">
        <v>306</v>
      </c>
      <c r="Q45" s="59"/>
      <c r="R45" s="59"/>
      <c r="S45" s="59"/>
      <c r="T45" s="59"/>
      <c r="U45" s="59"/>
      <c r="V45" s="59"/>
      <c r="W45" s="59"/>
      <c r="X45" s="59"/>
      <c r="Y45" s="59"/>
      <c r="Z45" s="59"/>
      <c r="AA45" s="59"/>
      <c r="AB45" s="59"/>
      <c r="AC45" s="59"/>
      <c r="AD45" s="59"/>
      <c r="AE45" s="198"/>
    </row>
    <row r="46" spans="1:31">
      <c r="A46" s="48" t="s">
        <v>232</v>
      </c>
      <c r="B46" s="48" t="s">
        <v>303</v>
      </c>
      <c r="C46" s="48"/>
      <c r="D46" s="49" t="s">
        <v>26</v>
      </c>
      <c r="E46" s="49"/>
      <c r="F46" s="49"/>
      <c r="G46" s="49"/>
      <c r="H46" s="49"/>
      <c r="I46" s="49"/>
      <c r="J46" s="49"/>
      <c r="K46" s="49"/>
      <c r="L46" s="49"/>
      <c r="M46" s="49"/>
      <c r="N46" s="49" t="s">
        <v>306</v>
      </c>
      <c r="O46" s="49" t="s">
        <v>306</v>
      </c>
      <c r="P46" s="49" t="s">
        <v>306</v>
      </c>
      <c r="Q46" s="49"/>
      <c r="R46" s="49"/>
      <c r="S46" s="49"/>
      <c r="T46" s="49"/>
      <c r="U46" s="49"/>
      <c r="V46" s="49"/>
      <c r="W46" s="49"/>
      <c r="X46" s="49"/>
      <c r="Y46" s="52"/>
      <c r="Z46" s="52"/>
      <c r="AA46" s="52"/>
      <c r="AB46" s="52"/>
      <c r="AC46" s="52"/>
      <c r="AD46" s="59"/>
      <c r="AE46" s="198"/>
    </row>
    <row r="47" spans="1:31">
      <c r="A47" s="48" t="s">
        <v>232</v>
      </c>
      <c r="B47" s="48" t="s">
        <v>304</v>
      </c>
      <c r="C47" s="48"/>
      <c r="D47" s="50" t="s">
        <v>27</v>
      </c>
      <c r="E47" s="54"/>
      <c r="F47" s="54"/>
      <c r="G47" s="54"/>
      <c r="H47" s="54"/>
      <c r="I47" s="54"/>
      <c r="J47" s="54"/>
      <c r="K47" s="54"/>
      <c r="L47" s="54"/>
      <c r="M47" s="54"/>
      <c r="N47" s="54" t="s">
        <v>306</v>
      </c>
      <c r="O47" s="49" t="s">
        <v>306</v>
      </c>
      <c r="P47" s="49" t="s">
        <v>306</v>
      </c>
      <c r="Q47" s="55"/>
      <c r="R47" s="55"/>
      <c r="S47" s="55"/>
      <c r="T47" s="55"/>
      <c r="U47" s="55"/>
      <c r="V47" s="55"/>
      <c r="W47" s="55"/>
      <c r="X47" s="52"/>
      <c r="Y47" s="54"/>
      <c r="Z47" s="54"/>
      <c r="AA47" s="54"/>
      <c r="AB47" s="54"/>
      <c r="AC47" s="54"/>
      <c r="AD47" s="59"/>
      <c r="AE47" s="198"/>
    </row>
    <row r="48" spans="1:31">
      <c r="A48" s="48" t="s">
        <v>234</v>
      </c>
      <c r="B48" s="48" t="s">
        <v>259</v>
      </c>
      <c r="C48" s="48"/>
      <c r="D48" s="49" t="s">
        <v>113</v>
      </c>
      <c r="E48" s="49"/>
      <c r="F48" s="49"/>
      <c r="G48" s="49"/>
      <c r="H48" s="49"/>
      <c r="I48" s="49" t="s">
        <v>306</v>
      </c>
      <c r="J48" s="49"/>
      <c r="K48" s="49"/>
      <c r="L48" s="49"/>
      <c r="M48" s="49"/>
      <c r="N48" s="49"/>
      <c r="O48" s="49" t="s">
        <v>306</v>
      </c>
      <c r="P48" s="49" t="s">
        <v>306</v>
      </c>
      <c r="Q48" s="49"/>
      <c r="R48" s="49"/>
      <c r="S48" s="49"/>
      <c r="T48" s="49"/>
      <c r="U48" s="49"/>
      <c r="V48" s="49"/>
      <c r="W48" s="49"/>
      <c r="X48" s="49"/>
      <c r="Y48" s="52"/>
      <c r="Z48" s="52"/>
      <c r="AA48" s="52"/>
      <c r="AB48" s="52"/>
      <c r="AC48" s="52"/>
      <c r="AD48" s="59"/>
      <c r="AE48" s="198"/>
    </row>
    <row r="49" spans="1:31">
      <c r="A49" s="48" t="s">
        <v>240</v>
      </c>
      <c r="B49" s="48" t="s">
        <v>299</v>
      </c>
      <c r="C49" s="48"/>
      <c r="D49" s="50" t="s">
        <v>17</v>
      </c>
      <c r="E49" s="54" t="s">
        <v>306</v>
      </c>
      <c r="F49" s="54" t="s">
        <v>306</v>
      </c>
      <c r="G49" s="54" t="s">
        <v>306</v>
      </c>
      <c r="H49" s="54" t="s">
        <v>306</v>
      </c>
      <c r="I49" s="54"/>
      <c r="J49" s="54" t="s">
        <v>306</v>
      </c>
      <c r="K49" s="54"/>
      <c r="L49" s="54"/>
      <c r="M49" s="53" t="s">
        <v>306</v>
      </c>
      <c r="N49" s="49" t="s">
        <v>306</v>
      </c>
      <c r="O49" s="49" t="s">
        <v>306</v>
      </c>
      <c r="P49" s="49" t="s">
        <v>306</v>
      </c>
      <c r="Q49" s="54"/>
      <c r="R49" s="54"/>
      <c r="S49" s="54"/>
      <c r="T49" s="54"/>
      <c r="U49" s="54"/>
      <c r="V49" s="54"/>
      <c r="W49" s="54"/>
      <c r="X49" s="52"/>
      <c r="Y49" s="54"/>
      <c r="Z49" s="54"/>
      <c r="AA49" s="54"/>
      <c r="AB49" s="54"/>
      <c r="AC49" s="54"/>
      <c r="AD49" s="59"/>
      <c r="AE49" s="198"/>
    </row>
    <row r="50" spans="1:31">
      <c r="A50" s="48" t="s">
        <v>234</v>
      </c>
      <c r="B50" s="48" t="s">
        <v>299</v>
      </c>
      <c r="C50" s="48"/>
      <c r="D50" s="50" t="s">
        <v>17</v>
      </c>
      <c r="E50" s="54" t="s">
        <v>306</v>
      </c>
      <c r="F50" s="54" t="s">
        <v>306</v>
      </c>
      <c r="G50" s="54" t="s">
        <v>306</v>
      </c>
      <c r="H50" s="54" t="s">
        <v>306</v>
      </c>
      <c r="I50" s="54"/>
      <c r="J50" s="54" t="s">
        <v>306</v>
      </c>
      <c r="K50" s="54"/>
      <c r="L50" s="54"/>
      <c r="M50" s="53" t="s">
        <v>306</v>
      </c>
      <c r="N50" s="49" t="s">
        <v>306</v>
      </c>
      <c r="O50" s="49" t="s">
        <v>306</v>
      </c>
      <c r="P50" s="49" t="s">
        <v>306</v>
      </c>
      <c r="Q50" s="54"/>
      <c r="R50" s="54"/>
      <c r="S50" s="54"/>
      <c r="T50" s="54"/>
      <c r="U50" s="54"/>
      <c r="V50" s="54"/>
      <c r="W50" s="54"/>
      <c r="X50" s="52"/>
      <c r="Y50" s="54"/>
      <c r="Z50" s="54"/>
      <c r="AA50" s="54"/>
      <c r="AB50" s="54"/>
      <c r="AC50" s="54"/>
      <c r="AD50" s="59"/>
      <c r="AE50" s="198"/>
    </row>
    <row r="51" spans="1:31">
      <c r="A51" s="48" t="s">
        <v>240</v>
      </c>
      <c r="B51" s="48" t="s">
        <v>300</v>
      </c>
      <c r="C51" s="48"/>
      <c r="D51" s="50" t="s">
        <v>235</v>
      </c>
      <c r="E51" s="54"/>
      <c r="F51" s="54"/>
      <c r="G51" s="54"/>
      <c r="H51" s="54"/>
      <c r="I51" s="54" t="s">
        <v>306</v>
      </c>
      <c r="J51" s="54"/>
      <c r="K51" s="54" t="s">
        <v>306</v>
      </c>
      <c r="L51" s="54"/>
      <c r="M51" s="54"/>
      <c r="N51" s="54"/>
      <c r="O51" s="49" t="s">
        <v>306</v>
      </c>
      <c r="P51" s="49" t="s">
        <v>306</v>
      </c>
      <c r="Q51" s="55"/>
      <c r="R51" s="55"/>
      <c r="S51" s="55"/>
      <c r="T51" s="55"/>
      <c r="U51" s="55"/>
      <c r="V51" s="55"/>
      <c r="W51" s="55"/>
      <c r="X51" s="52"/>
      <c r="Y51" s="54"/>
      <c r="Z51" s="54"/>
      <c r="AA51" s="54"/>
      <c r="AB51" s="54"/>
      <c r="AC51" s="54"/>
      <c r="AD51" s="59"/>
      <c r="AE51" s="198" t="s">
        <v>306</v>
      </c>
    </row>
    <row r="52" spans="1:31">
      <c r="A52" s="48" t="s">
        <v>234</v>
      </c>
      <c r="B52" s="48" t="s">
        <v>301</v>
      </c>
      <c r="C52" s="48"/>
      <c r="D52" s="49" t="s">
        <v>23</v>
      </c>
      <c r="E52" s="49"/>
      <c r="F52" s="49"/>
      <c r="G52" s="49"/>
      <c r="H52" s="49"/>
      <c r="I52" s="49"/>
      <c r="J52" s="49"/>
      <c r="K52" s="49"/>
      <c r="L52" s="49"/>
      <c r="M52" s="49"/>
      <c r="N52" s="49"/>
      <c r="O52" s="49" t="s">
        <v>306</v>
      </c>
      <c r="P52" s="49" t="s">
        <v>306</v>
      </c>
      <c r="Q52" s="49"/>
      <c r="R52" s="49"/>
      <c r="S52" s="49"/>
      <c r="T52" s="49"/>
      <c r="U52" s="49"/>
      <c r="V52" s="49"/>
      <c r="W52" s="49"/>
      <c r="X52" s="49" t="s">
        <v>306</v>
      </c>
      <c r="Y52" s="52"/>
      <c r="Z52" s="52" t="s">
        <v>306</v>
      </c>
      <c r="AA52" s="52"/>
      <c r="AB52" s="52"/>
      <c r="AC52" s="52"/>
      <c r="AD52" s="59"/>
      <c r="AE52" s="198"/>
    </row>
    <row r="53" spans="1:31" ht="15.75">
      <c r="A53" s="61" t="s">
        <v>234</v>
      </c>
      <c r="B53" s="56" t="s">
        <v>79</v>
      </c>
      <c r="C53" s="61"/>
      <c r="D53" s="57" t="s">
        <v>112</v>
      </c>
      <c r="E53" s="58" t="s">
        <v>306</v>
      </c>
      <c r="F53" s="58" t="s">
        <v>306</v>
      </c>
      <c r="G53" s="58" t="s">
        <v>306</v>
      </c>
      <c r="H53" s="58" t="s">
        <v>306</v>
      </c>
      <c r="I53" s="58"/>
      <c r="J53" s="58" t="s">
        <v>306</v>
      </c>
      <c r="K53" s="58"/>
      <c r="L53" s="58"/>
      <c r="M53" s="58"/>
      <c r="N53" s="58" t="s">
        <v>306</v>
      </c>
      <c r="O53" s="58" t="s">
        <v>306</v>
      </c>
      <c r="P53" s="58" t="s">
        <v>306</v>
      </c>
      <c r="Q53" s="58"/>
      <c r="R53" s="58"/>
      <c r="S53" s="58"/>
      <c r="T53" s="58"/>
      <c r="U53" s="58"/>
      <c r="V53" s="58"/>
      <c r="W53" s="58"/>
      <c r="X53" s="58"/>
      <c r="Y53" s="58"/>
      <c r="Z53" s="58"/>
      <c r="AA53" s="58"/>
      <c r="AB53" s="58"/>
      <c r="AC53" s="58"/>
      <c r="AD53" s="58"/>
      <c r="AE53" s="198"/>
    </row>
    <row r="54" spans="1:31" ht="15.75">
      <c r="A54" s="61" t="s">
        <v>240</v>
      </c>
      <c r="B54" s="56" t="s">
        <v>79</v>
      </c>
      <c r="C54" s="61"/>
      <c r="D54" s="57" t="s">
        <v>112</v>
      </c>
      <c r="E54" s="58" t="s">
        <v>306</v>
      </c>
      <c r="F54" s="58" t="s">
        <v>306</v>
      </c>
      <c r="G54" s="58" t="s">
        <v>306</v>
      </c>
      <c r="H54" s="58" t="s">
        <v>306</v>
      </c>
      <c r="I54" s="58"/>
      <c r="J54" s="58" t="s">
        <v>306</v>
      </c>
      <c r="K54" s="58"/>
      <c r="L54" s="58"/>
      <c r="M54" s="58"/>
      <c r="N54" s="58" t="s">
        <v>306</v>
      </c>
      <c r="O54" s="58" t="s">
        <v>306</v>
      </c>
      <c r="P54" s="58" t="s">
        <v>306</v>
      </c>
      <c r="Q54" s="58"/>
      <c r="R54" s="58"/>
      <c r="S54" s="58"/>
      <c r="T54" s="58"/>
      <c r="U54" s="58"/>
      <c r="V54" s="58"/>
      <c r="W54" s="58"/>
      <c r="X54" s="58"/>
      <c r="Y54" s="58"/>
      <c r="Z54" s="58"/>
      <c r="AA54" s="58"/>
      <c r="AB54" s="58"/>
      <c r="AC54" s="58"/>
      <c r="AD54" s="58"/>
      <c r="AE54" s="198"/>
    </row>
    <row r="55" spans="1:31">
      <c r="A55" s="48" t="s">
        <v>240</v>
      </c>
      <c r="B55" s="48" t="s">
        <v>169</v>
      </c>
      <c r="C55" s="48"/>
      <c r="D55" s="50" t="s">
        <v>18</v>
      </c>
      <c r="E55" s="54"/>
      <c r="F55" s="54"/>
      <c r="G55" s="54"/>
      <c r="H55" s="54"/>
      <c r="I55" s="54"/>
      <c r="J55" s="54"/>
      <c r="K55" s="54"/>
      <c r="L55" s="54"/>
      <c r="M55" s="55"/>
      <c r="N55" s="54"/>
      <c r="O55" s="49" t="s">
        <v>306</v>
      </c>
      <c r="P55" s="49" t="s">
        <v>306</v>
      </c>
      <c r="Q55" s="54"/>
      <c r="R55" s="54"/>
      <c r="S55" s="54"/>
      <c r="T55" s="54"/>
      <c r="U55" s="54"/>
      <c r="V55" s="54"/>
      <c r="W55" s="54"/>
      <c r="X55" s="52"/>
      <c r="Y55" s="54"/>
      <c r="Z55" s="54"/>
      <c r="AA55" s="54" t="s">
        <v>306</v>
      </c>
      <c r="AB55" s="54"/>
      <c r="AC55" s="54"/>
      <c r="AD55" s="59"/>
      <c r="AE55" s="198"/>
    </row>
    <row r="56" spans="1:31">
      <c r="A56" s="48" t="s">
        <v>240</v>
      </c>
      <c r="B56" s="48" t="s">
        <v>94</v>
      </c>
      <c r="C56" s="48"/>
      <c r="D56" s="52" t="s">
        <v>78</v>
      </c>
      <c r="E56" s="52"/>
      <c r="F56" s="52"/>
      <c r="G56" s="52"/>
      <c r="H56" s="52"/>
      <c r="I56" s="52"/>
      <c r="J56" s="52"/>
      <c r="K56" s="52" t="s">
        <v>306</v>
      </c>
      <c r="L56" s="53" t="s">
        <v>306</v>
      </c>
      <c r="M56" s="53" t="s">
        <v>306</v>
      </c>
      <c r="N56" s="52"/>
      <c r="O56" s="49" t="s">
        <v>306</v>
      </c>
      <c r="P56" s="49" t="s">
        <v>306</v>
      </c>
      <c r="Q56" s="52"/>
      <c r="R56" s="52"/>
      <c r="S56" s="52"/>
      <c r="T56" s="52"/>
      <c r="U56" s="52"/>
      <c r="V56" s="52"/>
      <c r="W56" s="52"/>
      <c r="X56" s="52"/>
      <c r="Y56" s="52"/>
      <c r="Z56" s="52"/>
      <c r="AA56" s="52"/>
      <c r="AB56" s="52" t="s">
        <v>306</v>
      </c>
      <c r="AC56" s="52"/>
      <c r="AD56" s="59"/>
      <c r="AE56" s="198"/>
    </row>
    <row r="57" spans="1:31" ht="15.75">
      <c r="A57" s="61" t="s">
        <v>240</v>
      </c>
      <c r="B57" s="56" t="s">
        <v>389</v>
      </c>
      <c r="C57" s="61"/>
      <c r="D57" s="57" t="s">
        <v>358</v>
      </c>
      <c r="E57" s="58" t="s">
        <v>306</v>
      </c>
      <c r="F57" s="58" t="s">
        <v>306</v>
      </c>
      <c r="G57" s="58" t="s">
        <v>306</v>
      </c>
      <c r="H57" s="58" t="s">
        <v>306</v>
      </c>
      <c r="I57" s="58" t="s">
        <v>306</v>
      </c>
      <c r="J57" s="58"/>
      <c r="K57" s="58"/>
      <c r="L57" s="58" t="s">
        <v>306</v>
      </c>
      <c r="M57" s="58" t="s">
        <v>306</v>
      </c>
      <c r="N57" s="58"/>
      <c r="O57" s="58" t="s">
        <v>306</v>
      </c>
      <c r="P57" s="58" t="s">
        <v>306</v>
      </c>
      <c r="Q57" s="58"/>
      <c r="R57" s="58"/>
      <c r="S57" s="58"/>
      <c r="T57" s="58"/>
      <c r="U57" s="58"/>
      <c r="V57" s="58"/>
      <c r="W57" s="58"/>
      <c r="X57" s="58"/>
      <c r="Y57" s="58"/>
      <c r="Z57" s="58"/>
      <c r="AA57" s="58"/>
      <c r="AB57" s="58"/>
      <c r="AC57" s="58"/>
      <c r="AD57" s="58"/>
      <c r="AE57" s="198"/>
    </row>
    <row r="58" spans="1:31" ht="15.75">
      <c r="A58" s="61" t="s">
        <v>240</v>
      </c>
      <c r="B58" s="56" t="s">
        <v>389</v>
      </c>
      <c r="C58" s="61"/>
      <c r="D58" s="57" t="s">
        <v>359</v>
      </c>
      <c r="E58" s="58" t="s">
        <v>306</v>
      </c>
      <c r="F58" s="58" t="s">
        <v>306</v>
      </c>
      <c r="G58" s="58" t="s">
        <v>306</v>
      </c>
      <c r="H58" s="58" t="s">
        <v>306</v>
      </c>
      <c r="I58" s="58" t="s">
        <v>306</v>
      </c>
      <c r="J58" s="58"/>
      <c r="K58" s="58"/>
      <c r="L58" s="58" t="s">
        <v>306</v>
      </c>
      <c r="M58" s="58" t="s">
        <v>306</v>
      </c>
      <c r="N58" s="58"/>
      <c r="O58" s="58" t="s">
        <v>306</v>
      </c>
      <c r="P58" s="58" t="s">
        <v>306</v>
      </c>
      <c r="Q58" s="58"/>
      <c r="R58" s="58"/>
      <c r="S58" s="58"/>
      <c r="T58" s="58"/>
      <c r="U58" s="58"/>
      <c r="V58" s="58"/>
      <c r="W58" s="58"/>
      <c r="X58" s="58"/>
      <c r="Y58" s="58"/>
      <c r="Z58" s="58"/>
      <c r="AA58" s="58"/>
      <c r="AB58" s="58"/>
      <c r="AC58" s="58"/>
      <c r="AD58" s="58"/>
      <c r="AE58" s="198"/>
    </row>
    <row r="59" spans="1:31" ht="15.75">
      <c r="A59" s="61" t="s">
        <v>240</v>
      </c>
      <c r="B59" s="56" t="s">
        <v>390</v>
      </c>
      <c r="C59" s="61"/>
      <c r="D59" s="57" t="s">
        <v>360</v>
      </c>
      <c r="E59" s="58"/>
      <c r="F59" s="58"/>
      <c r="G59" s="58" t="s">
        <v>306</v>
      </c>
      <c r="H59" s="58" t="s">
        <v>306</v>
      </c>
      <c r="I59" s="58"/>
      <c r="J59" s="58" t="s">
        <v>306</v>
      </c>
      <c r="K59" s="58"/>
      <c r="L59" s="58" t="s">
        <v>306</v>
      </c>
      <c r="M59" s="58" t="s">
        <v>306</v>
      </c>
      <c r="N59" s="58"/>
      <c r="O59" s="58" t="s">
        <v>306</v>
      </c>
      <c r="P59" s="58" t="s">
        <v>306</v>
      </c>
      <c r="Q59" s="58"/>
      <c r="R59" s="58"/>
      <c r="S59" s="58"/>
      <c r="T59" s="58"/>
      <c r="U59" s="58"/>
      <c r="V59" s="58"/>
      <c r="W59" s="58"/>
      <c r="X59" s="58"/>
      <c r="Y59" s="58"/>
      <c r="Z59" s="58"/>
      <c r="AA59" s="58"/>
      <c r="AB59" s="58"/>
      <c r="AC59" s="58"/>
      <c r="AD59" s="58"/>
      <c r="AE59" s="198"/>
    </row>
    <row r="60" spans="1:31" ht="15.75">
      <c r="A60" s="61" t="s">
        <v>240</v>
      </c>
      <c r="B60" s="56" t="s">
        <v>395</v>
      </c>
      <c r="C60" s="61"/>
      <c r="D60" s="57" t="s">
        <v>365</v>
      </c>
      <c r="E60" s="58" t="s">
        <v>306</v>
      </c>
      <c r="F60" s="58"/>
      <c r="G60" s="58" t="s">
        <v>306</v>
      </c>
      <c r="H60" s="58" t="s">
        <v>306</v>
      </c>
      <c r="I60" s="58"/>
      <c r="J60" s="58"/>
      <c r="K60" s="58"/>
      <c r="L60" s="58"/>
      <c r="M60" s="58"/>
      <c r="N60" s="58"/>
      <c r="O60" s="58" t="s">
        <v>306</v>
      </c>
      <c r="P60" s="58" t="s">
        <v>306</v>
      </c>
      <c r="Q60" s="58"/>
      <c r="R60" s="58"/>
      <c r="S60" s="58"/>
      <c r="T60" s="58"/>
      <c r="U60" s="58"/>
      <c r="V60" s="58"/>
      <c r="W60" s="58"/>
      <c r="X60" s="58"/>
      <c r="Y60" s="58"/>
      <c r="Z60" s="58"/>
      <c r="AA60" s="58"/>
      <c r="AB60" s="58"/>
      <c r="AC60" s="58"/>
      <c r="AD60" s="58"/>
      <c r="AE60" s="198"/>
    </row>
    <row r="61" spans="1:31" ht="15.75">
      <c r="A61" s="61" t="s">
        <v>240</v>
      </c>
      <c r="B61" s="56" t="s">
        <v>395</v>
      </c>
      <c r="C61" s="61"/>
      <c r="D61" s="57" t="s">
        <v>366</v>
      </c>
      <c r="E61" s="58" t="s">
        <v>306</v>
      </c>
      <c r="F61" s="58"/>
      <c r="G61" s="58" t="s">
        <v>306</v>
      </c>
      <c r="H61" s="58" t="s">
        <v>306</v>
      </c>
      <c r="I61" s="58"/>
      <c r="J61" s="58"/>
      <c r="K61" s="58"/>
      <c r="L61" s="58"/>
      <c r="M61" s="58"/>
      <c r="N61" s="58"/>
      <c r="O61" s="58" t="s">
        <v>306</v>
      </c>
      <c r="P61" s="58" t="s">
        <v>306</v>
      </c>
      <c r="Q61" s="58"/>
      <c r="R61" s="58"/>
      <c r="S61" s="58"/>
      <c r="T61" s="58"/>
      <c r="U61" s="58"/>
      <c r="V61" s="58"/>
      <c r="W61" s="58"/>
      <c r="X61" s="58"/>
      <c r="Y61" s="58"/>
      <c r="Z61" s="58"/>
      <c r="AA61" s="58"/>
      <c r="AB61" s="58"/>
      <c r="AC61" s="58"/>
      <c r="AD61" s="58"/>
      <c r="AE61" s="198"/>
    </row>
    <row r="62" spans="1:31" ht="15.75">
      <c r="A62" s="61" t="s">
        <v>240</v>
      </c>
      <c r="B62" s="56" t="s">
        <v>395</v>
      </c>
      <c r="C62" s="61"/>
      <c r="D62" s="57" t="s">
        <v>367</v>
      </c>
      <c r="E62" s="58" t="s">
        <v>306</v>
      </c>
      <c r="F62" s="58"/>
      <c r="G62" s="58" t="s">
        <v>306</v>
      </c>
      <c r="H62" s="58" t="s">
        <v>306</v>
      </c>
      <c r="I62" s="58"/>
      <c r="J62" s="58"/>
      <c r="K62" s="58"/>
      <c r="L62" s="58"/>
      <c r="M62" s="58"/>
      <c r="N62" s="58"/>
      <c r="O62" s="58" t="s">
        <v>306</v>
      </c>
      <c r="P62" s="58" t="s">
        <v>306</v>
      </c>
      <c r="Q62" s="58"/>
      <c r="R62" s="58"/>
      <c r="S62" s="58"/>
      <c r="T62" s="58"/>
      <c r="U62" s="58"/>
      <c r="V62" s="58"/>
      <c r="W62" s="58"/>
      <c r="X62" s="58"/>
      <c r="Y62" s="58"/>
      <c r="Z62" s="58"/>
      <c r="AA62" s="58"/>
      <c r="AB62" s="58"/>
      <c r="AC62" s="58"/>
      <c r="AD62" s="58"/>
      <c r="AE62" s="198"/>
    </row>
    <row r="63" spans="1:31">
      <c r="A63" s="48" t="s">
        <v>234</v>
      </c>
      <c r="B63" s="48" t="s">
        <v>258</v>
      </c>
      <c r="C63" s="48"/>
      <c r="D63" s="49" t="s">
        <v>33</v>
      </c>
      <c r="E63" s="53"/>
      <c r="F63" s="53"/>
      <c r="G63" s="53"/>
      <c r="H63" s="53"/>
      <c r="I63" s="53"/>
      <c r="J63" s="53"/>
      <c r="K63" s="53"/>
      <c r="L63" s="53"/>
      <c r="M63" s="53"/>
      <c r="N63" s="53"/>
      <c r="O63" s="49" t="s">
        <v>306</v>
      </c>
      <c r="P63" s="49" t="s">
        <v>306</v>
      </c>
      <c r="Q63" s="53"/>
      <c r="R63" s="53"/>
      <c r="S63" s="53"/>
      <c r="T63" s="53"/>
      <c r="U63" s="53"/>
      <c r="V63" s="53"/>
      <c r="W63" s="53"/>
      <c r="X63" s="53"/>
      <c r="Y63" s="53"/>
      <c r="Z63" s="53"/>
      <c r="AA63" s="53"/>
      <c r="AB63" s="53"/>
      <c r="AC63" s="53"/>
      <c r="AD63" s="59"/>
      <c r="AE63" s="198"/>
    </row>
    <row r="64" spans="1:31" ht="15.75">
      <c r="A64" s="61" t="s">
        <v>240</v>
      </c>
      <c r="B64" s="56" t="s">
        <v>396</v>
      </c>
      <c r="C64" s="61"/>
      <c r="D64" s="57" t="s">
        <v>368</v>
      </c>
      <c r="E64" s="58"/>
      <c r="F64" s="58"/>
      <c r="G64" s="58"/>
      <c r="H64" s="58"/>
      <c r="I64" s="58" t="s">
        <v>306</v>
      </c>
      <c r="J64" s="58"/>
      <c r="K64" s="58"/>
      <c r="L64" s="58"/>
      <c r="M64" s="58"/>
      <c r="N64" s="58"/>
      <c r="O64" s="58" t="s">
        <v>306</v>
      </c>
      <c r="P64" s="58" t="s">
        <v>306</v>
      </c>
      <c r="Q64" s="58"/>
      <c r="R64" s="58"/>
      <c r="S64" s="58"/>
      <c r="T64" s="58"/>
      <c r="U64" s="58"/>
      <c r="V64" s="58"/>
      <c r="W64" s="58"/>
      <c r="X64" s="58"/>
      <c r="Y64" s="58"/>
      <c r="Z64" s="58"/>
      <c r="AA64" s="58"/>
      <c r="AB64" s="58"/>
      <c r="AC64" s="58"/>
      <c r="AD64" s="58"/>
      <c r="AE64" s="198"/>
    </row>
    <row r="65" spans="1:31" ht="15.75">
      <c r="A65" s="61" t="s">
        <v>240</v>
      </c>
      <c r="B65" s="56" t="s">
        <v>396</v>
      </c>
      <c r="C65" s="61"/>
      <c r="D65" s="57" t="s">
        <v>369</v>
      </c>
      <c r="E65" s="58"/>
      <c r="F65" s="58"/>
      <c r="G65" s="58"/>
      <c r="H65" s="58"/>
      <c r="I65" s="58" t="s">
        <v>306</v>
      </c>
      <c r="J65" s="58"/>
      <c r="K65" s="58"/>
      <c r="L65" s="58"/>
      <c r="M65" s="58"/>
      <c r="N65" s="58"/>
      <c r="O65" s="58" t="s">
        <v>306</v>
      </c>
      <c r="P65" s="58" t="s">
        <v>306</v>
      </c>
      <c r="Q65" s="58"/>
      <c r="R65" s="58"/>
      <c r="S65" s="58"/>
      <c r="T65" s="58"/>
      <c r="U65" s="58"/>
      <c r="V65" s="58"/>
      <c r="W65" s="58"/>
      <c r="X65" s="58"/>
      <c r="Y65" s="58"/>
      <c r="Z65" s="58"/>
      <c r="AA65" s="58"/>
      <c r="AB65" s="58"/>
      <c r="AC65" s="58"/>
      <c r="AD65" s="58"/>
      <c r="AE65" s="198"/>
    </row>
    <row r="66" spans="1:31" ht="15.75">
      <c r="A66" s="61" t="s">
        <v>240</v>
      </c>
      <c r="B66" s="56" t="s">
        <v>396</v>
      </c>
      <c r="C66" s="61"/>
      <c r="D66" s="57" t="s">
        <v>370</v>
      </c>
      <c r="E66" s="58"/>
      <c r="F66" s="58"/>
      <c r="G66" s="58"/>
      <c r="H66" s="58"/>
      <c r="I66" s="58" t="s">
        <v>306</v>
      </c>
      <c r="J66" s="58"/>
      <c r="K66" s="58"/>
      <c r="L66" s="58"/>
      <c r="M66" s="58"/>
      <c r="N66" s="58"/>
      <c r="O66" s="58" t="s">
        <v>306</v>
      </c>
      <c r="P66" s="58" t="s">
        <v>306</v>
      </c>
      <c r="Q66" s="58"/>
      <c r="R66" s="58"/>
      <c r="S66" s="58"/>
      <c r="T66" s="58"/>
      <c r="U66" s="58"/>
      <c r="V66" s="58"/>
      <c r="W66" s="58"/>
      <c r="X66" s="58"/>
      <c r="Y66" s="58"/>
      <c r="Z66" s="58"/>
      <c r="AA66" s="58"/>
      <c r="AB66" s="58"/>
      <c r="AC66" s="58"/>
      <c r="AD66" s="58"/>
      <c r="AE66" s="198"/>
    </row>
    <row r="67" spans="1:31" ht="15.75">
      <c r="A67" s="61" t="s">
        <v>240</v>
      </c>
      <c r="B67" s="56" t="s">
        <v>396</v>
      </c>
      <c r="C67" s="61"/>
      <c r="D67" s="57" t="s">
        <v>371</v>
      </c>
      <c r="E67" s="58"/>
      <c r="F67" s="58"/>
      <c r="G67" s="58"/>
      <c r="H67" s="58"/>
      <c r="I67" s="58" t="s">
        <v>306</v>
      </c>
      <c r="J67" s="58"/>
      <c r="K67" s="58"/>
      <c r="L67" s="58"/>
      <c r="M67" s="58"/>
      <c r="N67" s="58"/>
      <c r="O67" s="58" t="s">
        <v>306</v>
      </c>
      <c r="P67" s="58" t="s">
        <v>306</v>
      </c>
      <c r="Q67" s="58"/>
      <c r="R67" s="58"/>
      <c r="S67" s="58"/>
      <c r="T67" s="58"/>
      <c r="U67" s="58"/>
      <c r="V67" s="58"/>
      <c r="W67" s="58"/>
      <c r="X67" s="58"/>
      <c r="Y67" s="58"/>
      <c r="Z67" s="58"/>
      <c r="AA67" s="58"/>
      <c r="AB67" s="58"/>
      <c r="AC67" s="58"/>
      <c r="AD67" s="58"/>
      <c r="AE67" s="198"/>
    </row>
    <row r="68" spans="1:31" ht="15.75">
      <c r="A68" s="61" t="s">
        <v>240</v>
      </c>
      <c r="B68" s="56" t="s">
        <v>397</v>
      </c>
      <c r="C68" s="61"/>
      <c r="D68" s="57" t="s">
        <v>372</v>
      </c>
      <c r="E68" s="58"/>
      <c r="F68" s="58"/>
      <c r="G68" s="58"/>
      <c r="H68" s="58"/>
      <c r="I68" s="58" t="s">
        <v>306</v>
      </c>
      <c r="J68" s="58"/>
      <c r="K68" s="58"/>
      <c r="L68" s="58"/>
      <c r="M68" s="58"/>
      <c r="N68" s="58"/>
      <c r="O68" s="58" t="s">
        <v>306</v>
      </c>
      <c r="P68" s="58" t="s">
        <v>306</v>
      </c>
      <c r="Q68" s="58"/>
      <c r="R68" s="58"/>
      <c r="S68" s="58"/>
      <c r="T68" s="58"/>
      <c r="U68" s="58"/>
      <c r="V68" s="58"/>
      <c r="W68" s="58"/>
      <c r="X68" s="58"/>
      <c r="Y68" s="58"/>
      <c r="Z68" s="58"/>
      <c r="AA68" s="58"/>
      <c r="AB68" s="58"/>
      <c r="AC68" s="58"/>
      <c r="AD68" s="58"/>
      <c r="AE68" s="198"/>
    </row>
    <row r="69" spans="1:31" ht="15.75">
      <c r="A69" s="61" t="s">
        <v>240</v>
      </c>
      <c r="B69" s="56" t="s">
        <v>397</v>
      </c>
      <c r="C69" s="61"/>
      <c r="D69" s="57" t="s">
        <v>373</v>
      </c>
      <c r="E69" s="58"/>
      <c r="F69" s="58"/>
      <c r="G69" s="58"/>
      <c r="H69" s="58"/>
      <c r="I69" s="58" t="s">
        <v>306</v>
      </c>
      <c r="J69" s="58"/>
      <c r="K69" s="58"/>
      <c r="L69" s="58"/>
      <c r="M69" s="58"/>
      <c r="N69" s="58"/>
      <c r="O69" s="58" t="s">
        <v>306</v>
      </c>
      <c r="P69" s="58" t="s">
        <v>306</v>
      </c>
      <c r="Q69" s="58"/>
      <c r="R69" s="58"/>
      <c r="S69" s="58"/>
      <c r="T69" s="58"/>
      <c r="U69" s="58"/>
      <c r="V69" s="58"/>
      <c r="W69" s="58"/>
      <c r="X69" s="58"/>
      <c r="Y69" s="58"/>
      <c r="Z69" s="58"/>
      <c r="AA69" s="58"/>
      <c r="AB69" s="58"/>
      <c r="AC69" s="58"/>
      <c r="AD69" s="58"/>
      <c r="AE69" s="198"/>
    </row>
    <row r="70" spans="1:31" ht="15.75">
      <c r="A70" s="61" t="s">
        <v>240</v>
      </c>
      <c r="B70" s="56" t="s">
        <v>397</v>
      </c>
      <c r="C70" s="61"/>
      <c r="D70" s="57" t="s">
        <v>374</v>
      </c>
      <c r="E70" s="58"/>
      <c r="F70" s="58"/>
      <c r="G70" s="58"/>
      <c r="H70" s="58"/>
      <c r="I70" s="58" t="s">
        <v>306</v>
      </c>
      <c r="J70" s="58"/>
      <c r="K70" s="58"/>
      <c r="L70" s="58"/>
      <c r="M70" s="58"/>
      <c r="N70" s="58"/>
      <c r="O70" s="58" t="s">
        <v>306</v>
      </c>
      <c r="P70" s="58" t="s">
        <v>306</v>
      </c>
      <c r="Q70" s="58"/>
      <c r="R70" s="58"/>
      <c r="S70" s="58"/>
      <c r="T70" s="58"/>
      <c r="U70" s="58"/>
      <c r="V70" s="58"/>
      <c r="W70" s="58"/>
      <c r="X70" s="58"/>
      <c r="Y70" s="58"/>
      <c r="Z70" s="58"/>
      <c r="AA70" s="58"/>
      <c r="AB70" s="58"/>
      <c r="AC70" s="58"/>
      <c r="AD70" s="58"/>
      <c r="AE70" s="198"/>
    </row>
    <row r="71" spans="1:31" ht="15.75">
      <c r="A71" s="61" t="s">
        <v>240</v>
      </c>
      <c r="B71" s="56" t="s">
        <v>397</v>
      </c>
      <c r="C71" s="61"/>
      <c r="D71" s="57" t="s">
        <v>375</v>
      </c>
      <c r="E71" s="58"/>
      <c r="F71" s="58"/>
      <c r="G71" s="58"/>
      <c r="H71" s="58"/>
      <c r="I71" s="58" t="s">
        <v>306</v>
      </c>
      <c r="J71" s="58"/>
      <c r="K71" s="58"/>
      <c r="L71" s="58"/>
      <c r="M71" s="58"/>
      <c r="N71" s="58"/>
      <c r="O71" s="58" t="s">
        <v>306</v>
      </c>
      <c r="P71" s="58" t="s">
        <v>306</v>
      </c>
      <c r="Q71" s="58"/>
      <c r="R71" s="58"/>
      <c r="S71" s="58"/>
      <c r="T71" s="58"/>
      <c r="U71" s="58"/>
      <c r="V71" s="58"/>
      <c r="W71" s="58"/>
      <c r="X71" s="58"/>
      <c r="Y71" s="58"/>
      <c r="Z71" s="58"/>
      <c r="AA71" s="58"/>
      <c r="AB71" s="58"/>
      <c r="AC71" s="58"/>
      <c r="AD71" s="58"/>
      <c r="AE71" s="198"/>
    </row>
    <row r="72" spans="1:31">
      <c r="A72" s="61" t="s">
        <v>234</v>
      </c>
      <c r="B72" s="61" t="s">
        <v>419</v>
      </c>
      <c r="C72" s="61"/>
      <c r="D72" s="52" t="s">
        <v>351</v>
      </c>
      <c r="E72" s="59"/>
      <c r="F72" s="59"/>
      <c r="G72" s="59"/>
      <c r="H72" s="59"/>
      <c r="I72" s="59" t="s">
        <v>306</v>
      </c>
      <c r="J72" s="59"/>
      <c r="K72" s="59"/>
      <c r="L72" s="59"/>
      <c r="M72" s="59"/>
      <c r="N72" s="59"/>
      <c r="O72" s="59" t="s">
        <v>306</v>
      </c>
      <c r="P72" s="59" t="s">
        <v>306</v>
      </c>
      <c r="Q72" s="59"/>
      <c r="R72" s="59"/>
      <c r="S72" s="59"/>
      <c r="T72" s="59"/>
      <c r="U72" s="59"/>
      <c r="V72" s="59"/>
      <c r="W72" s="59"/>
      <c r="X72" s="59"/>
      <c r="Y72" s="59"/>
      <c r="Z72" s="59"/>
      <c r="AA72" s="59"/>
      <c r="AB72" s="59"/>
      <c r="AC72" s="59"/>
      <c r="AD72" s="59"/>
      <c r="AE72" s="198"/>
    </row>
    <row r="73" spans="1:31">
      <c r="A73" s="61" t="s">
        <v>234</v>
      </c>
      <c r="B73" s="61" t="s">
        <v>424</v>
      </c>
      <c r="C73" s="61"/>
      <c r="D73" s="52" t="s">
        <v>335</v>
      </c>
      <c r="E73" s="59"/>
      <c r="F73" s="59"/>
      <c r="G73" s="59"/>
      <c r="H73" s="59"/>
      <c r="I73" s="59" t="s">
        <v>306</v>
      </c>
      <c r="J73" s="59"/>
      <c r="K73" s="59"/>
      <c r="L73" s="59"/>
      <c r="M73" s="59"/>
      <c r="N73" s="59"/>
      <c r="O73" s="59" t="s">
        <v>306</v>
      </c>
      <c r="P73" s="59" t="s">
        <v>306</v>
      </c>
      <c r="Q73" s="59"/>
      <c r="R73" s="59"/>
      <c r="S73" s="59"/>
      <c r="T73" s="59"/>
      <c r="U73" s="59"/>
      <c r="V73" s="59"/>
      <c r="W73" s="59"/>
      <c r="X73" s="59"/>
      <c r="Y73" s="59"/>
      <c r="Z73" s="59"/>
      <c r="AA73" s="59"/>
      <c r="AB73" s="59"/>
      <c r="AC73" s="59"/>
      <c r="AD73" s="59"/>
      <c r="AE73" s="198"/>
    </row>
    <row r="74" spans="1:31">
      <c r="A74" s="61" t="s">
        <v>240</v>
      </c>
      <c r="B74" s="61" t="s">
        <v>423</v>
      </c>
      <c r="C74" s="61"/>
      <c r="D74" s="52" t="s">
        <v>376</v>
      </c>
      <c r="E74" s="59"/>
      <c r="F74" s="59"/>
      <c r="G74" s="59"/>
      <c r="H74" s="59"/>
      <c r="I74" s="59" t="s">
        <v>306</v>
      </c>
      <c r="J74" s="59"/>
      <c r="K74" s="59"/>
      <c r="L74" s="59"/>
      <c r="M74" s="59"/>
      <c r="N74" s="59"/>
      <c r="O74" s="59" t="s">
        <v>306</v>
      </c>
      <c r="P74" s="59" t="s">
        <v>306</v>
      </c>
      <c r="Q74" s="59"/>
      <c r="R74" s="59"/>
      <c r="S74" s="59"/>
      <c r="T74" s="59"/>
      <c r="U74" s="59"/>
      <c r="V74" s="59"/>
      <c r="W74" s="59"/>
      <c r="X74" s="59"/>
      <c r="Y74" s="59"/>
      <c r="Z74" s="59"/>
      <c r="AA74" s="59"/>
      <c r="AB74" s="59"/>
      <c r="AC74" s="59"/>
      <c r="AD74" s="59"/>
      <c r="AE74" s="198"/>
    </row>
    <row r="75" spans="1:31">
      <c r="A75" s="61" t="s">
        <v>234</v>
      </c>
      <c r="B75" s="61" t="s">
        <v>417</v>
      </c>
      <c r="C75" s="61"/>
      <c r="D75" s="52" t="s">
        <v>347</v>
      </c>
      <c r="E75" s="59"/>
      <c r="F75" s="59"/>
      <c r="G75" s="59"/>
      <c r="H75" s="59"/>
      <c r="I75" s="59" t="s">
        <v>306</v>
      </c>
      <c r="J75" s="59"/>
      <c r="K75" s="59"/>
      <c r="L75" s="59"/>
      <c r="M75" s="59"/>
      <c r="N75" s="59"/>
      <c r="O75" s="59" t="s">
        <v>306</v>
      </c>
      <c r="P75" s="59" t="s">
        <v>306</v>
      </c>
      <c r="Q75" s="59"/>
      <c r="R75" s="59"/>
      <c r="S75" s="59"/>
      <c r="T75" s="59"/>
      <c r="U75" s="59"/>
      <c r="V75" s="59"/>
      <c r="W75" s="59"/>
      <c r="X75" s="59"/>
      <c r="Y75" s="59"/>
      <c r="Z75" s="59"/>
      <c r="AA75" s="59"/>
      <c r="AB75" s="59"/>
      <c r="AC75" s="59"/>
      <c r="AD75" s="59"/>
      <c r="AE75" s="198"/>
    </row>
    <row r="76" spans="1:31">
      <c r="A76" s="61" t="s">
        <v>234</v>
      </c>
      <c r="B76" s="61" t="s">
        <v>415</v>
      </c>
      <c r="C76" s="61"/>
      <c r="D76" s="52" t="s">
        <v>343</v>
      </c>
      <c r="E76" s="59"/>
      <c r="F76" s="59"/>
      <c r="G76" s="59"/>
      <c r="H76" s="59"/>
      <c r="I76" s="59" t="s">
        <v>306</v>
      </c>
      <c r="J76" s="59"/>
      <c r="K76" s="59"/>
      <c r="L76" s="59"/>
      <c r="M76" s="59"/>
      <c r="N76" s="59"/>
      <c r="O76" s="59" t="s">
        <v>306</v>
      </c>
      <c r="P76" s="59" t="s">
        <v>306</v>
      </c>
      <c r="Q76" s="59"/>
      <c r="R76" s="59"/>
      <c r="S76" s="59"/>
      <c r="T76" s="59"/>
      <c r="U76" s="59"/>
      <c r="V76" s="59"/>
      <c r="W76" s="59"/>
      <c r="X76" s="59"/>
      <c r="Y76" s="59"/>
      <c r="Z76" s="59"/>
      <c r="AA76" s="59"/>
      <c r="AB76" s="59"/>
      <c r="AC76" s="59"/>
      <c r="AD76" s="59"/>
      <c r="AE76" s="198"/>
    </row>
    <row r="77" spans="1:31">
      <c r="A77" s="61" t="s">
        <v>234</v>
      </c>
      <c r="B77" s="61" t="s">
        <v>416</v>
      </c>
      <c r="C77" s="61"/>
      <c r="D77" s="52" t="s">
        <v>345</v>
      </c>
      <c r="E77" s="59"/>
      <c r="F77" s="59"/>
      <c r="G77" s="59"/>
      <c r="H77" s="59"/>
      <c r="I77" s="59" t="s">
        <v>306</v>
      </c>
      <c r="J77" s="59"/>
      <c r="K77" s="59"/>
      <c r="L77" s="59"/>
      <c r="M77" s="59"/>
      <c r="N77" s="59"/>
      <c r="O77" s="59" t="s">
        <v>306</v>
      </c>
      <c r="P77" s="59" t="s">
        <v>306</v>
      </c>
      <c r="Q77" s="59"/>
      <c r="R77" s="59"/>
      <c r="S77" s="59"/>
      <c r="T77" s="59"/>
      <c r="U77" s="59"/>
      <c r="V77" s="59"/>
      <c r="W77" s="59"/>
      <c r="X77" s="59"/>
      <c r="Y77" s="59"/>
      <c r="Z77" s="59"/>
      <c r="AA77" s="59"/>
      <c r="AB77" s="59"/>
      <c r="AC77" s="59"/>
      <c r="AD77" s="59"/>
      <c r="AE77" s="198"/>
    </row>
    <row r="78" spans="1:31">
      <c r="A78" s="61" t="s">
        <v>234</v>
      </c>
      <c r="B78" s="61" t="s">
        <v>420</v>
      </c>
      <c r="C78" s="61"/>
      <c r="D78" s="52" t="s">
        <v>353</v>
      </c>
      <c r="E78" s="59"/>
      <c r="F78" s="59"/>
      <c r="G78" s="59"/>
      <c r="H78" s="59"/>
      <c r="I78" s="59" t="s">
        <v>306</v>
      </c>
      <c r="J78" s="59"/>
      <c r="K78" s="59"/>
      <c r="L78" s="59"/>
      <c r="M78" s="59"/>
      <c r="N78" s="59"/>
      <c r="O78" s="59" t="s">
        <v>306</v>
      </c>
      <c r="P78" s="59" t="s">
        <v>306</v>
      </c>
      <c r="Q78" s="59"/>
      <c r="R78" s="59"/>
      <c r="S78" s="59"/>
      <c r="T78" s="59"/>
      <c r="U78" s="59"/>
      <c r="V78" s="59"/>
      <c r="W78" s="59"/>
      <c r="X78" s="59"/>
      <c r="Y78" s="59"/>
      <c r="Z78" s="59"/>
      <c r="AA78" s="59"/>
      <c r="AB78" s="59"/>
      <c r="AC78" s="59"/>
      <c r="AD78" s="59"/>
      <c r="AE78" s="198"/>
    </row>
    <row r="79" spans="1:31">
      <c r="A79" s="61" t="s">
        <v>234</v>
      </c>
      <c r="B79" s="61" t="s">
        <v>421</v>
      </c>
      <c r="C79" s="61"/>
      <c r="D79" s="52" t="s">
        <v>355</v>
      </c>
      <c r="E79" s="59"/>
      <c r="F79" s="59"/>
      <c r="G79" s="59"/>
      <c r="H79" s="59"/>
      <c r="I79" s="59" t="s">
        <v>306</v>
      </c>
      <c r="J79" s="59"/>
      <c r="K79" s="59"/>
      <c r="L79" s="59"/>
      <c r="M79" s="59"/>
      <c r="N79" s="59"/>
      <c r="O79" s="59" t="s">
        <v>306</v>
      </c>
      <c r="P79" s="59" t="s">
        <v>306</v>
      </c>
      <c r="Q79" s="59"/>
      <c r="R79" s="59"/>
      <c r="S79" s="59"/>
      <c r="T79" s="59"/>
      <c r="U79" s="59"/>
      <c r="V79" s="59"/>
      <c r="W79" s="59"/>
      <c r="X79" s="59"/>
      <c r="Y79" s="59"/>
      <c r="Z79" s="59"/>
      <c r="AA79" s="59"/>
      <c r="AB79" s="59"/>
      <c r="AC79" s="59"/>
      <c r="AD79" s="59"/>
      <c r="AE79" s="198"/>
    </row>
    <row r="80" spans="1:31">
      <c r="A80" s="61" t="s">
        <v>234</v>
      </c>
      <c r="B80" s="61" t="s">
        <v>422</v>
      </c>
      <c r="C80" s="61"/>
      <c r="D80" s="52" t="s">
        <v>357</v>
      </c>
      <c r="E80" s="59"/>
      <c r="F80" s="59"/>
      <c r="G80" s="59"/>
      <c r="H80" s="59"/>
      <c r="I80" s="59" t="s">
        <v>306</v>
      </c>
      <c r="J80" s="59"/>
      <c r="K80" s="59"/>
      <c r="L80" s="59"/>
      <c r="M80" s="59"/>
      <c r="N80" s="59"/>
      <c r="O80" s="59" t="s">
        <v>306</v>
      </c>
      <c r="P80" s="59" t="s">
        <v>306</v>
      </c>
      <c r="Q80" s="59"/>
      <c r="R80" s="59"/>
      <c r="S80" s="59"/>
      <c r="T80" s="59"/>
      <c r="U80" s="59"/>
      <c r="V80" s="59"/>
      <c r="W80" s="59"/>
      <c r="X80" s="59"/>
      <c r="Y80" s="59"/>
      <c r="Z80" s="59"/>
      <c r="AA80" s="59"/>
      <c r="AB80" s="59"/>
      <c r="AC80" s="59"/>
      <c r="AD80" s="59"/>
      <c r="AE80" s="198"/>
    </row>
    <row r="81" spans="1:31">
      <c r="A81" s="61" t="s">
        <v>234</v>
      </c>
      <c r="B81" s="61" t="s">
        <v>418</v>
      </c>
      <c r="C81" s="61"/>
      <c r="D81" s="52" t="s">
        <v>349</v>
      </c>
      <c r="E81" s="59"/>
      <c r="F81" s="59"/>
      <c r="G81" s="59"/>
      <c r="H81" s="59"/>
      <c r="I81" s="59" t="s">
        <v>306</v>
      </c>
      <c r="J81" s="59"/>
      <c r="K81" s="59"/>
      <c r="L81" s="59"/>
      <c r="M81" s="59"/>
      <c r="N81" s="59"/>
      <c r="O81" s="59" t="s">
        <v>306</v>
      </c>
      <c r="P81" s="59" t="s">
        <v>306</v>
      </c>
      <c r="Q81" s="59"/>
      <c r="R81" s="59"/>
      <c r="S81" s="59"/>
      <c r="T81" s="59"/>
      <c r="U81" s="59"/>
      <c r="V81" s="59"/>
      <c r="W81" s="59"/>
      <c r="X81" s="59"/>
      <c r="Y81" s="59"/>
      <c r="Z81" s="59"/>
      <c r="AA81" s="59"/>
      <c r="AB81" s="59"/>
      <c r="AC81" s="59"/>
      <c r="AD81" s="59"/>
      <c r="AE81" s="198"/>
    </row>
    <row r="82" spans="1:31" ht="15.75">
      <c r="A82" s="61" t="s">
        <v>240</v>
      </c>
      <c r="B82" s="56" t="s">
        <v>391</v>
      </c>
      <c r="C82" s="61"/>
      <c r="D82" s="57" t="s">
        <v>361</v>
      </c>
      <c r="E82" s="58"/>
      <c r="F82" s="58"/>
      <c r="G82" s="58"/>
      <c r="H82" s="58"/>
      <c r="I82" s="58"/>
      <c r="J82" s="58"/>
      <c r="K82" s="58"/>
      <c r="L82" s="58"/>
      <c r="M82" s="58"/>
      <c r="N82" s="58"/>
      <c r="O82" s="58" t="s">
        <v>306</v>
      </c>
      <c r="P82" s="58" t="s">
        <v>306</v>
      </c>
      <c r="Q82" s="58"/>
      <c r="R82" s="58"/>
      <c r="S82" s="58"/>
      <c r="T82" s="58"/>
      <c r="U82" s="58"/>
      <c r="V82" s="58"/>
      <c r="W82" s="58"/>
      <c r="X82" s="58"/>
      <c r="Y82" s="58"/>
      <c r="Z82" s="58"/>
      <c r="AA82" s="58"/>
      <c r="AB82" s="58"/>
      <c r="AC82" s="58"/>
      <c r="AD82" s="58"/>
      <c r="AE82" s="198"/>
    </row>
    <row r="83" spans="1:31" ht="15.75">
      <c r="A83" s="61" t="s">
        <v>240</v>
      </c>
      <c r="B83" s="56" t="s">
        <v>392</v>
      </c>
      <c r="C83" s="61"/>
      <c r="D83" s="57" t="s">
        <v>362</v>
      </c>
      <c r="E83" s="58"/>
      <c r="F83" s="58"/>
      <c r="G83" s="58"/>
      <c r="H83" s="58"/>
      <c r="I83" s="58"/>
      <c r="J83" s="58"/>
      <c r="K83" s="58"/>
      <c r="L83" s="58"/>
      <c r="M83" s="58"/>
      <c r="N83" s="58"/>
      <c r="O83" s="58" t="s">
        <v>306</v>
      </c>
      <c r="P83" s="58" t="s">
        <v>306</v>
      </c>
      <c r="Q83" s="58"/>
      <c r="R83" s="58"/>
      <c r="S83" s="58"/>
      <c r="T83" s="58"/>
      <c r="U83" s="58"/>
      <c r="V83" s="58"/>
      <c r="W83" s="58"/>
      <c r="X83" s="58"/>
      <c r="Y83" s="58"/>
      <c r="Z83" s="58"/>
      <c r="AA83" s="58"/>
      <c r="AB83" s="58"/>
      <c r="AC83" s="58"/>
      <c r="AD83" s="58"/>
      <c r="AE83" s="198"/>
    </row>
    <row r="84" spans="1:31" ht="15.75">
      <c r="A84" s="61" t="s">
        <v>240</v>
      </c>
      <c r="B84" s="56" t="s">
        <v>393</v>
      </c>
      <c r="C84" s="61"/>
      <c r="D84" s="57" t="s">
        <v>363</v>
      </c>
      <c r="E84" s="58"/>
      <c r="F84" s="58"/>
      <c r="G84" s="58"/>
      <c r="H84" s="58"/>
      <c r="I84" s="58"/>
      <c r="J84" s="58"/>
      <c r="K84" s="58"/>
      <c r="L84" s="58"/>
      <c r="M84" s="58"/>
      <c r="N84" s="58"/>
      <c r="O84" s="58" t="s">
        <v>306</v>
      </c>
      <c r="P84" s="58" t="s">
        <v>306</v>
      </c>
      <c r="Q84" s="58"/>
      <c r="R84" s="58"/>
      <c r="S84" s="58"/>
      <c r="T84" s="58"/>
      <c r="U84" s="58"/>
      <c r="V84" s="58"/>
      <c r="W84" s="58"/>
      <c r="X84" s="58"/>
      <c r="Y84" s="58"/>
      <c r="Z84" s="58"/>
      <c r="AA84" s="58"/>
      <c r="AB84" s="58"/>
      <c r="AC84" s="58"/>
      <c r="AD84" s="58"/>
      <c r="AE84" s="198"/>
    </row>
    <row r="85" spans="1:31" ht="15.75">
      <c r="A85" s="61" t="s">
        <v>240</v>
      </c>
      <c r="B85" s="56" t="s">
        <v>394</v>
      </c>
      <c r="C85" s="61"/>
      <c r="D85" s="57" t="s">
        <v>364</v>
      </c>
      <c r="E85" s="58"/>
      <c r="F85" s="58"/>
      <c r="G85" s="58"/>
      <c r="H85" s="58"/>
      <c r="I85" s="58"/>
      <c r="J85" s="58"/>
      <c r="K85" s="58"/>
      <c r="L85" s="58"/>
      <c r="M85" s="58"/>
      <c r="N85" s="58"/>
      <c r="O85" s="58" t="s">
        <v>306</v>
      </c>
      <c r="P85" s="58" t="s">
        <v>306</v>
      </c>
      <c r="Q85" s="58"/>
      <c r="R85" s="58"/>
      <c r="S85" s="58"/>
      <c r="T85" s="58"/>
      <c r="U85" s="58"/>
      <c r="V85" s="58"/>
      <c r="W85" s="58"/>
      <c r="X85" s="58"/>
      <c r="Y85" s="58"/>
      <c r="Z85" s="58"/>
      <c r="AA85" s="58"/>
      <c r="AB85" s="58"/>
      <c r="AC85" s="58"/>
      <c r="AD85" s="58"/>
      <c r="AE85" s="198"/>
    </row>
    <row r="86" spans="1:31">
      <c r="A86" s="48" t="s">
        <v>234</v>
      </c>
      <c r="B86" s="48" t="s">
        <v>305</v>
      </c>
      <c r="C86" s="48"/>
      <c r="D86" s="49" t="s">
        <v>83</v>
      </c>
      <c r="E86" s="49"/>
      <c r="F86" s="49"/>
      <c r="G86" s="49"/>
      <c r="H86" s="49"/>
      <c r="I86" s="49"/>
      <c r="J86" s="49"/>
      <c r="K86" s="49"/>
      <c r="L86" s="49"/>
      <c r="M86" s="49"/>
      <c r="N86" s="49"/>
      <c r="O86" s="49" t="s">
        <v>306</v>
      </c>
      <c r="P86" s="49" t="s">
        <v>306</v>
      </c>
      <c r="Q86" s="49"/>
      <c r="R86" s="49"/>
      <c r="S86" s="49"/>
      <c r="T86" s="49"/>
      <c r="U86" s="49"/>
      <c r="V86" s="49"/>
      <c r="W86" s="49"/>
      <c r="X86" s="49"/>
      <c r="Y86" s="52"/>
      <c r="Z86" s="52"/>
      <c r="AA86" s="52"/>
      <c r="AB86" s="52"/>
      <c r="AC86" s="52"/>
      <c r="AD86" s="59"/>
      <c r="AE86" s="198"/>
    </row>
    <row r="87" spans="1:31">
      <c r="A87" s="48" t="s">
        <v>234</v>
      </c>
      <c r="B87" s="48" t="s">
        <v>259</v>
      </c>
      <c r="C87" s="48"/>
      <c r="D87" s="49" t="s">
        <v>115</v>
      </c>
      <c r="E87" s="53"/>
      <c r="F87" s="53"/>
      <c r="G87" s="53"/>
      <c r="H87" s="53"/>
      <c r="I87" s="53" t="s">
        <v>306</v>
      </c>
      <c r="J87" s="53"/>
      <c r="K87" s="53"/>
      <c r="L87" s="53"/>
      <c r="M87" s="53"/>
      <c r="N87" s="53"/>
      <c r="O87" s="49" t="s">
        <v>306</v>
      </c>
      <c r="P87" s="49" t="s">
        <v>306</v>
      </c>
      <c r="Q87" s="53"/>
      <c r="R87" s="53"/>
      <c r="S87" s="53"/>
      <c r="T87" s="53"/>
      <c r="U87" s="53"/>
      <c r="V87" s="53"/>
      <c r="W87" s="53"/>
      <c r="X87" s="53"/>
      <c r="Y87" s="53"/>
      <c r="Z87" s="53"/>
      <c r="AA87" s="53"/>
      <c r="AB87" s="53"/>
      <c r="AC87" s="53"/>
      <c r="AD87" s="59"/>
      <c r="AE87" s="198"/>
    </row>
    <row r="88" spans="1:31">
      <c r="A88" s="48" t="s">
        <v>234</v>
      </c>
      <c r="B88" s="48" t="s">
        <v>259</v>
      </c>
      <c r="C88" s="48"/>
      <c r="D88" s="49" t="s">
        <v>114</v>
      </c>
      <c r="E88" s="53"/>
      <c r="F88" s="53"/>
      <c r="G88" s="53"/>
      <c r="H88" s="53"/>
      <c r="I88" s="53" t="s">
        <v>306</v>
      </c>
      <c r="J88" s="53"/>
      <c r="K88" s="53"/>
      <c r="L88" s="53"/>
      <c r="M88" s="53"/>
      <c r="N88" s="53"/>
      <c r="O88" s="49" t="s">
        <v>306</v>
      </c>
      <c r="P88" s="49" t="s">
        <v>306</v>
      </c>
      <c r="Q88" s="53"/>
      <c r="R88" s="53"/>
      <c r="S88" s="53"/>
      <c r="T88" s="53"/>
      <c r="U88" s="53"/>
      <c r="V88" s="53"/>
      <c r="W88" s="53"/>
      <c r="X88" s="53"/>
      <c r="Y88" s="53"/>
      <c r="Z88" s="53"/>
      <c r="AA88" s="53"/>
      <c r="AB88" s="53"/>
      <c r="AC88" s="53"/>
      <c r="AD88" s="59"/>
      <c r="AE88" s="198"/>
    </row>
    <row r="89" spans="1:31">
      <c r="A89" s="48" t="s">
        <v>232</v>
      </c>
      <c r="B89" s="48" t="s">
        <v>261</v>
      </c>
      <c r="C89" s="48"/>
      <c r="D89" s="49" t="s">
        <v>34</v>
      </c>
      <c r="E89" s="49" t="s">
        <v>306</v>
      </c>
      <c r="F89" s="49" t="s">
        <v>306</v>
      </c>
      <c r="G89" s="49" t="s">
        <v>306</v>
      </c>
      <c r="H89" s="49" t="s">
        <v>306</v>
      </c>
      <c r="I89" s="49"/>
      <c r="J89" s="49" t="s">
        <v>306</v>
      </c>
      <c r="K89" s="49"/>
      <c r="L89" s="49"/>
      <c r="M89" s="49"/>
      <c r="N89" s="49"/>
      <c r="O89" s="49" t="s">
        <v>306</v>
      </c>
      <c r="P89" s="49" t="s">
        <v>306</v>
      </c>
      <c r="Q89" s="49" t="s">
        <v>306</v>
      </c>
      <c r="R89" s="49"/>
      <c r="S89" s="49" t="s">
        <v>306</v>
      </c>
      <c r="T89" s="49"/>
      <c r="U89" s="49"/>
      <c r="V89" s="49" t="s">
        <v>306</v>
      </c>
      <c r="W89" s="49"/>
      <c r="X89" s="49" t="s">
        <v>306</v>
      </c>
      <c r="Y89" s="49"/>
      <c r="Z89" s="49"/>
      <c r="AA89" s="49"/>
      <c r="AB89" s="49"/>
      <c r="AC89" s="49" t="s">
        <v>306</v>
      </c>
      <c r="AD89" s="59"/>
      <c r="AE89" s="198"/>
    </row>
    <row r="90" spans="1:31">
      <c r="A90" s="48" t="s">
        <v>234</v>
      </c>
      <c r="B90" s="48" t="s">
        <v>261</v>
      </c>
      <c r="C90" s="48"/>
      <c r="D90" s="49" t="s">
        <v>34</v>
      </c>
      <c r="E90" s="49" t="s">
        <v>306</v>
      </c>
      <c r="F90" s="49" t="s">
        <v>306</v>
      </c>
      <c r="G90" s="49" t="s">
        <v>306</v>
      </c>
      <c r="H90" s="49" t="s">
        <v>306</v>
      </c>
      <c r="I90" s="49"/>
      <c r="J90" s="49" t="s">
        <v>306</v>
      </c>
      <c r="K90" s="49"/>
      <c r="L90" s="49"/>
      <c r="M90" s="49"/>
      <c r="N90" s="49"/>
      <c r="O90" s="49" t="s">
        <v>306</v>
      </c>
      <c r="P90" s="49" t="s">
        <v>306</v>
      </c>
      <c r="Q90" s="49" t="s">
        <v>306</v>
      </c>
      <c r="R90" s="49"/>
      <c r="S90" s="49" t="s">
        <v>306</v>
      </c>
      <c r="T90" s="49"/>
      <c r="U90" s="49"/>
      <c r="V90" s="49" t="s">
        <v>306</v>
      </c>
      <c r="W90" s="49"/>
      <c r="X90" s="49" t="s">
        <v>306</v>
      </c>
      <c r="Y90" s="49"/>
      <c r="Z90" s="49"/>
      <c r="AA90" s="49"/>
      <c r="AB90" s="49"/>
      <c r="AC90" s="49" t="s">
        <v>306</v>
      </c>
      <c r="AD90" s="59"/>
      <c r="AE90" s="198"/>
    </row>
    <row r="91" spans="1:31">
      <c r="A91" s="48" t="s">
        <v>232</v>
      </c>
      <c r="B91" s="48" t="s">
        <v>260</v>
      </c>
      <c r="C91" s="48"/>
      <c r="D91" s="50" t="s">
        <v>32</v>
      </c>
      <c r="E91" s="54" t="s">
        <v>306</v>
      </c>
      <c r="F91" s="54"/>
      <c r="G91" s="54" t="s">
        <v>306</v>
      </c>
      <c r="H91" s="54" t="s">
        <v>306</v>
      </c>
      <c r="I91" s="54" t="s">
        <v>306</v>
      </c>
      <c r="J91" s="55" t="s">
        <v>306</v>
      </c>
      <c r="K91" s="54"/>
      <c r="L91" s="54"/>
      <c r="M91" s="54"/>
      <c r="N91" s="49" t="s">
        <v>306</v>
      </c>
      <c r="O91" s="49" t="s">
        <v>306</v>
      </c>
      <c r="P91" s="49" t="s">
        <v>306</v>
      </c>
      <c r="Q91" s="55" t="s">
        <v>306</v>
      </c>
      <c r="R91" s="55"/>
      <c r="S91" s="55" t="s">
        <v>306</v>
      </c>
      <c r="T91" s="55"/>
      <c r="U91" s="55"/>
      <c r="V91" s="55" t="s">
        <v>306</v>
      </c>
      <c r="W91" s="55"/>
      <c r="X91" s="52" t="s">
        <v>306</v>
      </c>
      <c r="Y91" s="54"/>
      <c r="Z91" s="54"/>
      <c r="AA91" s="54"/>
      <c r="AB91" s="54"/>
      <c r="AC91" s="54" t="s">
        <v>306</v>
      </c>
      <c r="AD91" s="59"/>
      <c r="AE91" s="198"/>
    </row>
    <row r="92" spans="1:31">
      <c r="A92" s="48" t="s">
        <v>234</v>
      </c>
      <c r="B92" s="48" t="s">
        <v>260</v>
      </c>
      <c r="C92" s="48"/>
      <c r="D92" s="50" t="s">
        <v>32</v>
      </c>
      <c r="E92" s="54" t="s">
        <v>306</v>
      </c>
      <c r="F92" s="54"/>
      <c r="G92" s="54" t="s">
        <v>306</v>
      </c>
      <c r="H92" s="54" t="s">
        <v>306</v>
      </c>
      <c r="I92" s="54" t="s">
        <v>306</v>
      </c>
      <c r="J92" s="55" t="s">
        <v>306</v>
      </c>
      <c r="K92" s="54"/>
      <c r="L92" s="54"/>
      <c r="M92" s="54"/>
      <c r="N92" s="49" t="s">
        <v>306</v>
      </c>
      <c r="O92" s="49" t="s">
        <v>306</v>
      </c>
      <c r="P92" s="49" t="s">
        <v>306</v>
      </c>
      <c r="Q92" s="55" t="s">
        <v>306</v>
      </c>
      <c r="R92" s="55"/>
      <c r="S92" s="55" t="s">
        <v>306</v>
      </c>
      <c r="T92" s="55"/>
      <c r="U92" s="55"/>
      <c r="V92" s="55" t="s">
        <v>306</v>
      </c>
      <c r="W92" s="55"/>
      <c r="X92" s="52" t="s">
        <v>306</v>
      </c>
      <c r="Y92" s="54"/>
      <c r="Z92" s="54"/>
      <c r="AA92" s="54"/>
      <c r="AB92" s="54"/>
      <c r="AC92" s="54" t="s">
        <v>306</v>
      </c>
      <c r="AD92" s="59"/>
      <c r="AE92" s="198"/>
    </row>
    <row r="93" spans="1:31">
      <c r="A93" s="48" t="s">
        <v>234</v>
      </c>
      <c r="B93" s="48" t="s">
        <v>36</v>
      </c>
      <c r="C93" s="48"/>
      <c r="D93" s="50" t="s">
        <v>35</v>
      </c>
      <c r="E93" s="54"/>
      <c r="F93" s="54"/>
      <c r="G93" s="54"/>
      <c r="H93" s="54"/>
      <c r="I93" s="54"/>
      <c r="J93" s="54"/>
      <c r="K93" s="54"/>
      <c r="L93" s="54"/>
      <c r="M93" s="54"/>
      <c r="N93" s="54"/>
      <c r="O93" s="49" t="s">
        <v>306</v>
      </c>
      <c r="P93" s="49" t="s">
        <v>306</v>
      </c>
      <c r="Q93" s="55"/>
      <c r="R93" s="55"/>
      <c r="S93" s="55"/>
      <c r="T93" s="55"/>
      <c r="U93" s="55"/>
      <c r="V93" s="55"/>
      <c r="W93" s="55"/>
      <c r="X93" s="52"/>
      <c r="Y93" s="54"/>
      <c r="Z93" s="54"/>
      <c r="AA93" s="54"/>
      <c r="AB93" s="54"/>
      <c r="AC93" s="54"/>
      <c r="AD93" s="59"/>
      <c r="AE93" s="198"/>
    </row>
    <row r="94" spans="1:31">
      <c r="A94" s="60" t="s">
        <v>231</v>
      </c>
      <c r="B94" s="60" t="s">
        <v>383</v>
      </c>
      <c r="C94" s="61"/>
      <c r="D94" s="59" t="s">
        <v>73</v>
      </c>
      <c r="E94" s="59"/>
      <c r="F94" s="59"/>
      <c r="G94" s="59"/>
      <c r="H94" s="59"/>
      <c r="I94" s="59"/>
      <c r="J94" s="59"/>
      <c r="K94" s="59"/>
      <c r="L94" s="59"/>
      <c r="M94" s="59"/>
      <c r="N94" s="59"/>
      <c r="O94" s="59" t="s">
        <v>306</v>
      </c>
      <c r="P94" s="59" t="s">
        <v>306</v>
      </c>
      <c r="Q94" s="59"/>
      <c r="R94" s="59"/>
      <c r="S94" s="59"/>
      <c r="T94" s="59"/>
      <c r="U94" s="59"/>
      <c r="V94" s="59"/>
      <c r="W94" s="59"/>
      <c r="X94" s="59"/>
      <c r="Y94" s="59"/>
      <c r="Z94" s="59"/>
      <c r="AA94" s="59"/>
      <c r="AB94" s="59"/>
      <c r="AC94" s="59"/>
      <c r="AD94" s="59"/>
      <c r="AE94" s="198"/>
    </row>
    <row r="95" spans="1:31">
      <c r="A95" s="60" t="s">
        <v>227</v>
      </c>
      <c r="B95" s="60" t="s">
        <v>383</v>
      </c>
      <c r="C95" s="61"/>
      <c r="D95" s="59" t="s">
        <v>73</v>
      </c>
      <c r="E95" s="59"/>
      <c r="F95" s="59"/>
      <c r="G95" s="59"/>
      <c r="H95" s="59"/>
      <c r="I95" s="59"/>
      <c r="J95" s="59"/>
      <c r="K95" s="59"/>
      <c r="L95" s="59"/>
      <c r="M95" s="59"/>
      <c r="N95" s="59"/>
      <c r="O95" s="59" t="s">
        <v>306</v>
      </c>
      <c r="P95" s="59" t="s">
        <v>306</v>
      </c>
      <c r="Q95" s="59"/>
      <c r="R95" s="59"/>
      <c r="S95" s="59"/>
      <c r="T95" s="59"/>
      <c r="U95" s="59"/>
      <c r="V95" s="59"/>
      <c r="W95" s="59"/>
      <c r="X95" s="59"/>
      <c r="Y95" s="59"/>
      <c r="Z95" s="59"/>
      <c r="AA95" s="59"/>
      <c r="AB95" s="59"/>
      <c r="AC95" s="59"/>
      <c r="AD95" s="59"/>
      <c r="AE95" s="198"/>
    </row>
    <row r="96" spans="1:31">
      <c r="A96" s="193" t="s">
        <v>231</v>
      </c>
      <c r="B96" s="60" t="s">
        <v>384</v>
      </c>
      <c r="C96" s="61"/>
      <c r="D96" s="59" t="s">
        <v>117</v>
      </c>
      <c r="E96" s="59"/>
      <c r="F96" s="59"/>
      <c r="G96" s="59"/>
      <c r="H96" s="59"/>
      <c r="I96" s="59"/>
      <c r="J96" s="59"/>
      <c r="K96" s="59" t="s">
        <v>306</v>
      </c>
      <c r="L96" s="59"/>
      <c r="M96" s="59"/>
      <c r="N96" s="59"/>
      <c r="O96" s="59" t="s">
        <v>306</v>
      </c>
      <c r="P96" s="59" t="s">
        <v>306</v>
      </c>
      <c r="Q96" s="59"/>
      <c r="R96" s="59"/>
      <c r="S96" s="59"/>
      <c r="T96" s="59"/>
      <c r="U96" s="59"/>
      <c r="V96" s="59"/>
      <c r="W96" s="59"/>
      <c r="X96" s="59"/>
      <c r="Y96" s="59"/>
      <c r="Z96" s="59"/>
      <c r="AA96" s="59"/>
      <c r="AB96" s="59"/>
      <c r="AC96" s="59"/>
      <c r="AD96" s="59"/>
      <c r="AE96" s="198"/>
    </row>
    <row r="97" spans="1:31">
      <c r="A97" s="193" t="s">
        <v>231</v>
      </c>
      <c r="B97" s="60" t="s">
        <v>384</v>
      </c>
      <c r="C97" s="61"/>
      <c r="D97" s="59" t="s">
        <v>118</v>
      </c>
      <c r="E97" s="59"/>
      <c r="F97" s="59"/>
      <c r="G97" s="59"/>
      <c r="H97" s="59"/>
      <c r="I97" s="59"/>
      <c r="J97" s="59"/>
      <c r="K97" s="59" t="s">
        <v>306</v>
      </c>
      <c r="L97" s="59"/>
      <c r="M97" s="59"/>
      <c r="N97" s="59"/>
      <c r="O97" s="59" t="s">
        <v>306</v>
      </c>
      <c r="P97" s="59" t="s">
        <v>306</v>
      </c>
      <c r="Q97" s="59"/>
      <c r="R97" s="59"/>
      <c r="S97" s="59"/>
      <c r="T97" s="59"/>
      <c r="U97" s="59"/>
      <c r="V97" s="59"/>
      <c r="W97" s="59"/>
      <c r="X97" s="59"/>
      <c r="Y97" s="59"/>
      <c r="Z97" s="59"/>
      <c r="AA97" s="59"/>
      <c r="AB97" s="59"/>
      <c r="AC97" s="59"/>
      <c r="AD97" s="59"/>
      <c r="AE97" s="198"/>
    </row>
    <row r="98" spans="1:31">
      <c r="A98" s="193" t="s">
        <v>231</v>
      </c>
      <c r="B98" s="60" t="s">
        <v>384</v>
      </c>
      <c r="C98" s="61"/>
      <c r="D98" s="59" t="s">
        <v>119</v>
      </c>
      <c r="E98" s="59"/>
      <c r="F98" s="59"/>
      <c r="G98" s="59"/>
      <c r="H98" s="59"/>
      <c r="I98" s="59"/>
      <c r="J98" s="59"/>
      <c r="K98" s="59" t="s">
        <v>306</v>
      </c>
      <c r="L98" s="59"/>
      <c r="M98" s="59"/>
      <c r="N98" s="59"/>
      <c r="O98" s="59" t="s">
        <v>306</v>
      </c>
      <c r="P98" s="59" t="s">
        <v>306</v>
      </c>
      <c r="Q98" s="59"/>
      <c r="R98" s="59"/>
      <c r="S98" s="59"/>
      <c r="T98" s="59"/>
      <c r="U98" s="59"/>
      <c r="V98" s="59"/>
      <c r="W98" s="59"/>
      <c r="X98" s="59"/>
      <c r="Y98" s="59"/>
      <c r="Z98" s="59"/>
      <c r="AA98" s="59"/>
      <c r="AB98" s="59"/>
      <c r="AC98" s="59"/>
      <c r="AD98" s="59"/>
      <c r="AE98" s="198"/>
    </row>
    <row r="99" spans="1:31">
      <c r="A99" s="193" t="s">
        <v>231</v>
      </c>
      <c r="B99" s="60" t="s">
        <v>384</v>
      </c>
      <c r="C99" s="61"/>
      <c r="D99" s="59" t="s">
        <v>121</v>
      </c>
      <c r="E99" s="59"/>
      <c r="F99" s="59"/>
      <c r="G99" s="59"/>
      <c r="H99" s="59"/>
      <c r="I99" s="59"/>
      <c r="J99" s="59"/>
      <c r="K99" s="59" t="s">
        <v>306</v>
      </c>
      <c r="L99" s="59"/>
      <c r="M99" s="59"/>
      <c r="N99" s="59"/>
      <c r="O99" s="59" t="s">
        <v>306</v>
      </c>
      <c r="P99" s="59" t="s">
        <v>306</v>
      </c>
      <c r="Q99" s="59"/>
      <c r="R99" s="59"/>
      <c r="S99" s="59"/>
      <c r="T99" s="59"/>
      <c r="U99" s="59"/>
      <c r="V99" s="59"/>
      <c r="W99" s="59"/>
      <c r="X99" s="59"/>
      <c r="Y99" s="59"/>
      <c r="Z99" s="59"/>
      <c r="AA99" s="59"/>
      <c r="AB99" s="59"/>
      <c r="AC99" s="59"/>
      <c r="AD99" s="59"/>
      <c r="AE99" s="198"/>
    </row>
    <row r="100" spans="1:31">
      <c r="A100" s="193" t="s">
        <v>231</v>
      </c>
      <c r="B100" s="60" t="s">
        <v>384</v>
      </c>
      <c r="C100" s="61"/>
      <c r="D100" s="59" t="s">
        <v>120</v>
      </c>
      <c r="E100" s="59"/>
      <c r="F100" s="59"/>
      <c r="G100" s="59"/>
      <c r="H100" s="59"/>
      <c r="I100" s="59"/>
      <c r="J100" s="59"/>
      <c r="K100" s="59" t="s">
        <v>306</v>
      </c>
      <c r="L100" s="59"/>
      <c r="M100" s="59"/>
      <c r="N100" s="59"/>
      <c r="O100" s="59" t="s">
        <v>306</v>
      </c>
      <c r="P100" s="59" t="s">
        <v>306</v>
      </c>
      <c r="Q100" s="59"/>
      <c r="R100" s="59"/>
      <c r="S100" s="59"/>
      <c r="T100" s="59"/>
      <c r="U100" s="59"/>
      <c r="V100" s="59"/>
      <c r="W100" s="59"/>
      <c r="X100" s="59"/>
      <c r="Y100" s="59"/>
      <c r="Z100" s="59"/>
      <c r="AA100" s="59"/>
      <c r="AB100" s="59"/>
      <c r="AC100" s="59"/>
      <c r="AD100" s="59"/>
      <c r="AE100" s="198"/>
    </row>
    <row r="101" spans="1:31">
      <c r="A101" s="193" t="s">
        <v>231</v>
      </c>
      <c r="B101" s="60" t="s">
        <v>384</v>
      </c>
      <c r="C101" s="61"/>
      <c r="D101" s="59" t="s">
        <v>122</v>
      </c>
      <c r="E101" s="59"/>
      <c r="F101" s="59"/>
      <c r="G101" s="59"/>
      <c r="H101" s="59"/>
      <c r="I101" s="59"/>
      <c r="J101" s="59"/>
      <c r="K101" s="59" t="s">
        <v>306</v>
      </c>
      <c r="L101" s="59"/>
      <c r="M101" s="59"/>
      <c r="N101" s="59"/>
      <c r="O101" s="59" t="s">
        <v>306</v>
      </c>
      <c r="P101" s="59" t="s">
        <v>306</v>
      </c>
      <c r="Q101" s="59"/>
      <c r="R101" s="59"/>
      <c r="S101" s="59"/>
      <c r="T101" s="59"/>
      <c r="U101" s="59"/>
      <c r="V101" s="59"/>
      <c r="W101" s="59"/>
      <c r="X101" s="59"/>
      <c r="Y101" s="59"/>
      <c r="Z101" s="59"/>
      <c r="AA101" s="59"/>
      <c r="AB101" s="59"/>
      <c r="AC101" s="59"/>
      <c r="AD101" s="59"/>
      <c r="AE101" s="198"/>
    </row>
    <row r="102" spans="1:31">
      <c r="A102" s="193" t="s">
        <v>231</v>
      </c>
      <c r="B102" s="60" t="s">
        <v>384</v>
      </c>
      <c r="C102" s="61"/>
      <c r="D102" s="59" t="s">
        <v>123</v>
      </c>
      <c r="E102" s="59"/>
      <c r="F102" s="59"/>
      <c r="G102" s="59"/>
      <c r="H102" s="59"/>
      <c r="I102" s="59"/>
      <c r="J102" s="59"/>
      <c r="K102" s="59" t="s">
        <v>306</v>
      </c>
      <c r="L102" s="59"/>
      <c r="M102" s="59"/>
      <c r="N102" s="59"/>
      <c r="O102" s="59" t="s">
        <v>306</v>
      </c>
      <c r="P102" s="59" t="s">
        <v>306</v>
      </c>
      <c r="Q102" s="59"/>
      <c r="R102" s="59"/>
      <c r="S102" s="59"/>
      <c r="T102" s="59"/>
      <c r="U102" s="59"/>
      <c r="V102" s="59"/>
      <c r="W102" s="59"/>
      <c r="X102" s="59"/>
      <c r="Y102" s="59"/>
      <c r="Z102" s="59"/>
      <c r="AA102" s="59"/>
      <c r="AB102" s="59"/>
      <c r="AC102" s="59"/>
      <c r="AD102" s="59"/>
      <c r="AE102" s="198"/>
    </row>
    <row r="103" spans="1:31">
      <c r="A103" s="193" t="s">
        <v>231</v>
      </c>
      <c r="B103" s="60" t="s">
        <v>384</v>
      </c>
      <c r="C103" s="61"/>
      <c r="D103" s="59" t="s">
        <v>128</v>
      </c>
      <c r="E103" s="59"/>
      <c r="F103" s="59"/>
      <c r="G103" s="59"/>
      <c r="H103" s="59"/>
      <c r="I103" s="59"/>
      <c r="J103" s="59"/>
      <c r="K103" s="59" t="s">
        <v>306</v>
      </c>
      <c r="L103" s="59"/>
      <c r="M103" s="59"/>
      <c r="N103" s="59"/>
      <c r="O103" s="59" t="s">
        <v>306</v>
      </c>
      <c r="P103" s="59" t="s">
        <v>306</v>
      </c>
      <c r="Q103" s="59"/>
      <c r="R103" s="59"/>
      <c r="S103" s="59"/>
      <c r="T103" s="59"/>
      <c r="U103" s="59"/>
      <c r="V103" s="59"/>
      <c r="W103" s="59"/>
      <c r="X103" s="59"/>
      <c r="Y103" s="59"/>
      <c r="Z103" s="59"/>
      <c r="AA103" s="59"/>
      <c r="AB103" s="59"/>
      <c r="AC103" s="59"/>
      <c r="AD103" s="59"/>
      <c r="AE103" s="198"/>
    </row>
    <row r="104" spans="1:31">
      <c r="A104" s="193" t="s">
        <v>231</v>
      </c>
      <c r="B104" s="60" t="s">
        <v>384</v>
      </c>
      <c r="C104" s="61"/>
      <c r="D104" s="59" t="s">
        <v>125</v>
      </c>
      <c r="E104" s="59"/>
      <c r="F104" s="59"/>
      <c r="G104" s="59"/>
      <c r="H104" s="59"/>
      <c r="I104" s="59"/>
      <c r="J104" s="59"/>
      <c r="K104" s="59" t="s">
        <v>306</v>
      </c>
      <c r="L104" s="59"/>
      <c r="M104" s="59"/>
      <c r="N104" s="59"/>
      <c r="O104" s="59" t="s">
        <v>306</v>
      </c>
      <c r="P104" s="59" t="s">
        <v>306</v>
      </c>
      <c r="Q104" s="59"/>
      <c r="R104" s="59"/>
      <c r="S104" s="59"/>
      <c r="T104" s="59"/>
      <c r="U104" s="59"/>
      <c r="V104" s="59"/>
      <c r="W104" s="59"/>
      <c r="X104" s="59"/>
      <c r="Y104" s="59"/>
      <c r="Z104" s="59"/>
      <c r="AA104" s="59"/>
      <c r="AB104" s="59"/>
      <c r="AC104" s="59"/>
      <c r="AD104" s="59"/>
      <c r="AE104" s="198"/>
    </row>
    <row r="105" spans="1:31">
      <c r="A105" s="193" t="s">
        <v>231</v>
      </c>
      <c r="B105" s="60" t="s">
        <v>384</v>
      </c>
      <c r="C105" s="61"/>
      <c r="D105" s="59" t="s">
        <v>126</v>
      </c>
      <c r="E105" s="59"/>
      <c r="F105" s="59"/>
      <c r="G105" s="59"/>
      <c r="H105" s="59"/>
      <c r="I105" s="59"/>
      <c r="J105" s="59"/>
      <c r="K105" s="59" t="s">
        <v>306</v>
      </c>
      <c r="L105" s="59"/>
      <c r="M105" s="59"/>
      <c r="N105" s="59"/>
      <c r="O105" s="59" t="s">
        <v>306</v>
      </c>
      <c r="P105" s="59" t="s">
        <v>306</v>
      </c>
      <c r="Q105" s="59"/>
      <c r="R105" s="59"/>
      <c r="S105" s="59"/>
      <c r="T105" s="59"/>
      <c r="U105" s="59"/>
      <c r="V105" s="59"/>
      <c r="W105" s="59"/>
      <c r="X105" s="59"/>
      <c r="Y105" s="59"/>
      <c r="Z105" s="59"/>
      <c r="AA105" s="59"/>
      <c r="AB105" s="59"/>
      <c r="AC105" s="59"/>
      <c r="AD105" s="59"/>
      <c r="AE105" s="198"/>
    </row>
    <row r="106" spans="1:31">
      <c r="A106" s="193" t="s">
        <v>231</v>
      </c>
      <c r="B106" s="60" t="s">
        <v>384</v>
      </c>
      <c r="C106" s="61"/>
      <c r="D106" s="59" t="s">
        <v>127</v>
      </c>
      <c r="E106" s="59"/>
      <c r="F106" s="59"/>
      <c r="G106" s="59"/>
      <c r="H106" s="59"/>
      <c r="I106" s="59"/>
      <c r="J106" s="59"/>
      <c r="K106" s="59" t="s">
        <v>306</v>
      </c>
      <c r="L106" s="59"/>
      <c r="M106" s="59"/>
      <c r="N106" s="59"/>
      <c r="O106" s="59" t="s">
        <v>306</v>
      </c>
      <c r="P106" s="59" t="s">
        <v>306</v>
      </c>
      <c r="Q106" s="59"/>
      <c r="R106" s="59"/>
      <c r="S106" s="59"/>
      <c r="T106" s="59"/>
      <c r="U106" s="59"/>
      <c r="V106" s="59"/>
      <c r="W106" s="59"/>
      <c r="X106" s="59"/>
      <c r="Y106" s="59"/>
      <c r="Z106" s="59"/>
      <c r="AA106" s="59"/>
      <c r="AB106" s="59"/>
      <c r="AC106" s="59"/>
      <c r="AD106" s="59"/>
      <c r="AE106" s="198"/>
    </row>
    <row r="107" spans="1:31">
      <c r="A107" s="193" t="s">
        <v>231</v>
      </c>
      <c r="B107" s="60" t="s">
        <v>384</v>
      </c>
      <c r="C107" s="61"/>
      <c r="D107" s="59" t="s">
        <v>124</v>
      </c>
      <c r="E107" s="59"/>
      <c r="F107" s="59"/>
      <c r="G107" s="59"/>
      <c r="H107" s="59"/>
      <c r="I107" s="59"/>
      <c r="J107" s="59"/>
      <c r="K107" s="59" t="s">
        <v>306</v>
      </c>
      <c r="L107" s="59"/>
      <c r="M107" s="59"/>
      <c r="N107" s="59"/>
      <c r="O107" s="59" t="s">
        <v>306</v>
      </c>
      <c r="P107" s="59" t="s">
        <v>306</v>
      </c>
      <c r="Q107" s="59"/>
      <c r="R107" s="59"/>
      <c r="S107" s="59"/>
      <c r="T107" s="59"/>
      <c r="U107" s="59"/>
      <c r="V107" s="59"/>
      <c r="W107" s="59"/>
      <c r="X107" s="59"/>
      <c r="Y107" s="59"/>
      <c r="Z107" s="59"/>
      <c r="AA107" s="59"/>
      <c r="AB107" s="59"/>
      <c r="AC107" s="59"/>
      <c r="AD107" s="59"/>
      <c r="AE107" s="198"/>
    </row>
    <row r="108" spans="1:31">
      <c r="A108" s="193" t="s">
        <v>231</v>
      </c>
      <c r="B108" s="60" t="s">
        <v>384</v>
      </c>
      <c r="C108" s="61"/>
      <c r="D108" s="59" t="s">
        <v>129</v>
      </c>
      <c r="E108" s="59"/>
      <c r="F108" s="59"/>
      <c r="G108" s="59"/>
      <c r="H108" s="59"/>
      <c r="I108" s="59"/>
      <c r="J108" s="59"/>
      <c r="K108" s="59" t="s">
        <v>306</v>
      </c>
      <c r="L108" s="59"/>
      <c r="M108" s="59"/>
      <c r="N108" s="59"/>
      <c r="O108" s="59" t="s">
        <v>306</v>
      </c>
      <c r="P108" s="59" t="s">
        <v>306</v>
      </c>
      <c r="Q108" s="59"/>
      <c r="R108" s="59"/>
      <c r="S108" s="59"/>
      <c r="T108" s="59"/>
      <c r="U108" s="59"/>
      <c r="V108" s="59"/>
      <c r="W108" s="59"/>
      <c r="X108" s="59"/>
      <c r="Y108" s="59"/>
      <c r="Z108" s="59"/>
      <c r="AA108" s="59"/>
      <c r="AB108" s="59"/>
      <c r="AC108" s="59"/>
      <c r="AD108" s="59"/>
      <c r="AE108" s="198"/>
    </row>
    <row r="109" spans="1:31">
      <c r="A109" s="193" t="s">
        <v>231</v>
      </c>
      <c r="B109" s="60" t="s">
        <v>384</v>
      </c>
      <c r="C109" s="61"/>
      <c r="D109" s="59" t="s">
        <v>131</v>
      </c>
      <c r="E109" s="59"/>
      <c r="F109" s="59"/>
      <c r="G109" s="59"/>
      <c r="H109" s="59"/>
      <c r="I109" s="59"/>
      <c r="J109" s="59"/>
      <c r="K109" s="59" t="s">
        <v>306</v>
      </c>
      <c r="L109" s="59"/>
      <c r="M109" s="59"/>
      <c r="N109" s="59"/>
      <c r="O109" s="59" t="s">
        <v>306</v>
      </c>
      <c r="P109" s="59" t="s">
        <v>306</v>
      </c>
      <c r="Q109" s="59"/>
      <c r="R109" s="59"/>
      <c r="S109" s="59"/>
      <c r="T109" s="59"/>
      <c r="U109" s="59"/>
      <c r="V109" s="59"/>
      <c r="W109" s="59"/>
      <c r="X109" s="59"/>
      <c r="Y109" s="59"/>
      <c r="Z109" s="59"/>
      <c r="AA109" s="59"/>
      <c r="AB109" s="59"/>
      <c r="AC109" s="59"/>
      <c r="AD109" s="59"/>
      <c r="AE109" s="198"/>
    </row>
    <row r="110" spans="1:31">
      <c r="A110" s="193" t="s">
        <v>231</v>
      </c>
      <c r="B110" s="60" t="s">
        <v>384</v>
      </c>
      <c r="C110" s="61"/>
      <c r="D110" s="59" t="s">
        <v>132</v>
      </c>
      <c r="E110" s="59"/>
      <c r="F110" s="59"/>
      <c r="G110" s="59"/>
      <c r="H110" s="59"/>
      <c r="I110" s="59"/>
      <c r="J110" s="59"/>
      <c r="K110" s="59" t="s">
        <v>306</v>
      </c>
      <c r="L110" s="59"/>
      <c r="M110" s="59"/>
      <c r="N110" s="59"/>
      <c r="O110" s="59" t="s">
        <v>306</v>
      </c>
      <c r="P110" s="59" t="s">
        <v>306</v>
      </c>
      <c r="Q110" s="59"/>
      <c r="R110" s="59"/>
      <c r="S110" s="59"/>
      <c r="T110" s="59"/>
      <c r="U110" s="59"/>
      <c r="V110" s="59"/>
      <c r="W110" s="59"/>
      <c r="X110" s="59"/>
      <c r="Y110" s="59"/>
      <c r="Z110" s="59"/>
      <c r="AA110" s="59"/>
      <c r="AB110" s="59"/>
      <c r="AC110" s="59"/>
      <c r="AD110" s="59"/>
      <c r="AE110" s="198"/>
    </row>
    <row r="111" spans="1:31">
      <c r="A111" s="193" t="s">
        <v>231</v>
      </c>
      <c r="B111" s="60" t="s">
        <v>384</v>
      </c>
      <c r="C111" s="61"/>
      <c r="D111" s="59" t="s">
        <v>133</v>
      </c>
      <c r="E111" s="59"/>
      <c r="F111" s="59"/>
      <c r="G111" s="59"/>
      <c r="H111" s="59"/>
      <c r="I111" s="59"/>
      <c r="J111" s="59"/>
      <c r="K111" s="59" t="s">
        <v>306</v>
      </c>
      <c r="L111" s="59"/>
      <c r="M111" s="59"/>
      <c r="N111" s="59"/>
      <c r="O111" s="59" t="s">
        <v>306</v>
      </c>
      <c r="P111" s="59" t="s">
        <v>306</v>
      </c>
      <c r="Q111" s="59"/>
      <c r="R111" s="59"/>
      <c r="S111" s="59"/>
      <c r="T111" s="59"/>
      <c r="U111" s="59"/>
      <c r="V111" s="59"/>
      <c r="W111" s="59"/>
      <c r="X111" s="59"/>
      <c r="Y111" s="59"/>
      <c r="Z111" s="59"/>
      <c r="AA111" s="59"/>
      <c r="AB111" s="59"/>
      <c r="AC111" s="59"/>
      <c r="AD111" s="59"/>
      <c r="AE111" s="198"/>
    </row>
    <row r="112" spans="1:31">
      <c r="A112" s="193" t="s">
        <v>231</v>
      </c>
      <c r="B112" s="60" t="s">
        <v>384</v>
      </c>
      <c r="C112" s="61"/>
      <c r="D112" s="59" t="s">
        <v>377</v>
      </c>
      <c r="E112" s="59"/>
      <c r="F112" s="59"/>
      <c r="G112" s="59"/>
      <c r="H112" s="59"/>
      <c r="I112" s="59"/>
      <c r="J112" s="59"/>
      <c r="K112" s="59" t="s">
        <v>306</v>
      </c>
      <c r="L112" s="59"/>
      <c r="M112" s="59"/>
      <c r="N112" s="59"/>
      <c r="O112" s="59" t="s">
        <v>306</v>
      </c>
      <c r="P112" s="59" t="s">
        <v>306</v>
      </c>
      <c r="Q112" s="59"/>
      <c r="R112" s="59"/>
      <c r="S112" s="59"/>
      <c r="T112" s="59"/>
      <c r="U112" s="59"/>
      <c r="V112" s="59"/>
      <c r="W112" s="59"/>
      <c r="X112" s="59"/>
      <c r="Y112" s="59"/>
      <c r="Z112" s="59"/>
      <c r="AA112" s="59"/>
      <c r="AB112" s="59"/>
      <c r="AC112" s="59"/>
      <c r="AD112" s="59"/>
      <c r="AE112" s="198"/>
    </row>
    <row r="113" spans="1:31">
      <c r="A113" s="193" t="s">
        <v>231</v>
      </c>
      <c r="B113" s="60" t="s">
        <v>384</v>
      </c>
      <c r="C113" s="61"/>
      <c r="D113" s="59" t="s">
        <v>378</v>
      </c>
      <c r="E113" s="59"/>
      <c r="F113" s="59"/>
      <c r="G113" s="59"/>
      <c r="H113" s="59"/>
      <c r="I113" s="59"/>
      <c r="J113" s="59"/>
      <c r="K113" s="59" t="s">
        <v>306</v>
      </c>
      <c r="L113" s="59"/>
      <c r="M113" s="59"/>
      <c r="N113" s="59"/>
      <c r="O113" s="59" t="s">
        <v>306</v>
      </c>
      <c r="P113" s="59" t="s">
        <v>306</v>
      </c>
      <c r="Q113" s="59"/>
      <c r="R113" s="59"/>
      <c r="S113" s="59"/>
      <c r="T113" s="59"/>
      <c r="U113" s="59"/>
      <c r="V113" s="59"/>
      <c r="W113" s="59"/>
      <c r="X113" s="59"/>
      <c r="Y113" s="59"/>
      <c r="Z113" s="59"/>
      <c r="AA113" s="59"/>
      <c r="AB113" s="59"/>
      <c r="AC113" s="59"/>
      <c r="AD113" s="59"/>
      <c r="AE113" s="198"/>
    </row>
    <row r="114" spans="1:31">
      <c r="A114" s="193" t="s">
        <v>231</v>
      </c>
      <c r="B114" s="60" t="s">
        <v>384</v>
      </c>
      <c r="C114" s="61"/>
      <c r="D114" s="59" t="s">
        <v>116</v>
      </c>
      <c r="E114" s="59"/>
      <c r="F114" s="59"/>
      <c r="G114" s="59"/>
      <c r="H114" s="59"/>
      <c r="I114" s="59"/>
      <c r="J114" s="59"/>
      <c r="K114" s="59" t="s">
        <v>306</v>
      </c>
      <c r="L114" s="59"/>
      <c r="M114" s="59"/>
      <c r="N114" s="59"/>
      <c r="O114" s="59" t="s">
        <v>306</v>
      </c>
      <c r="P114" s="59" t="s">
        <v>306</v>
      </c>
      <c r="Q114" s="59"/>
      <c r="R114" s="59"/>
      <c r="S114" s="59"/>
      <c r="T114" s="59"/>
      <c r="U114" s="59"/>
      <c r="V114" s="59"/>
      <c r="W114" s="59"/>
      <c r="X114" s="59"/>
      <c r="Y114" s="59"/>
      <c r="Z114" s="59"/>
      <c r="AA114" s="59"/>
      <c r="AB114" s="59"/>
      <c r="AC114" s="59"/>
      <c r="AD114" s="59"/>
      <c r="AE114" s="198"/>
    </row>
    <row r="115" spans="1:31">
      <c r="A115" s="193" t="s">
        <v>231</v>
      </c>
      <c r="B115" s="60" t="s">
        <v>384</v>
      </c>
      <c r="C115" s="61"/>
      <c r="D115" s="59" t="s">
        <v>380</v>
      </c>
      <c r="E115" s="59"/>
      <c r="F115" s="59"/>
      <c r="G115" s="59"/>
      <c r="H115" s="59"/>
      <c r="I115" s="59"/>
      <c r="J115" s="59"/>
      <c r="K115" s="59" t="s">
        <v>306</v>
      </c>
      <c r="L115" s="59"/>
      <c r="M115" s="59"/>
      <c r="N115" s="59"/>
      <c r="O115" s="59" t="s">
        <v>306</v>
      </c>
      <c r="P115" s="59" t="s">
        <v>306</v>
      </c>
      <c r="Q115" s="59"/>
      <c r="R115" s="59"/>
      <c r="S115" s="59"/>
      <c r="T115" s="59"/>
      <c r="U115" s="59"/>
      <c r="V115" s="59"/>
      <c r="W115" s="59"/>
      <c r="X115" s="59"/>
      <c r="Y115" s="59"/>
      <c r="Z115" s="59"/>
      <c r="AA115" s="59"/>
      <c r="AB115" s="59"/>
      <c r="AC115" s="59"/>
      <c r="AD115" s="59"/>
      <c r="AE115" s="198"/>
    </row>
    <row r="116" spans="1:31">
      <c r="A116" s="193" t="s">
        <v>231</v>
      </c>
      <c r="B116" s="60" t="s">
        <v>384</v>
      </c>
      <c r="C116" s="61"/>
      <c r="D116" s="59" t="s">
        <v>379</v>
      </c>
      <c r="E116" s="59"/>
      <c r="F116" s="59"/>
      <c r="G116" s="59"/>
      <c r="H116" s="59"/>
      <c r="I116" s="59"/>
      <c r="J116" s="59"/>
      <c r="K116" s="59" t="s">
        <v>306</v>
      </c>
      <c r="L116" s="59"/>
      <c r="M116" s="59"/>
      <c r="N116" s="59"/>
      <c r="O116" s="59" t="s">
        <v>306</v>
      </c>
      <c r="P116" s="59" t="s">
        <v>306</v>
      </c>
      <c r="Q116" s="59"/>
      <c r="R116" s="59"/>
      <c r="S116" s="59"/>
      <c r="T116" s="59"/>
      <c r="U116" s="59"/>
      <c r="V116" s="59"/>
      <c r="W116" s="59"/>
      <c r="X116" s="59"/>
      <c r="Y116" s="59"/>
      <c r="Z116" s="59"/>
      <c r="AA116" s="59"/>
      <c r="AB116" s="59"/>
      <c r="AC116" s="59"/>
      <c r="AD116" s="59"/>
      <c r="AE116" s="198"/>
    </row>
    <row r="117" spans="1:31">
      <c r="A117" s="60" t="s">
        <v>227</v>
      </c>
      <c r="B117" s="48" t="s">
        <v>294</v>
      </c>
      <c r="C117" s="48" t="s">
        <v>295</v>
      </c>
      <c r="D117" s="49" t="s">
        <v>17</v>
      </c>
      <c r="E117" s="49" t="s">
        <v>306</v>
      </c>
      <c r="F117" s="49" t="s">
        <v>306</v>
      </c>
      <c r="G117" s="49"/>
      <c r="H117" s="49"/>
      <c r="I117" s="49"/>
      <c r="J117" s="49"/>
      <c r="K117" s="49"/>
      <c r="L117" s="49"/>
      <c r="M117" s="49"/>
      <c r="N117" s="49" t="s">
        <v>306</v>
      </c>
      <c r="O117" s="49" t="s">
        <v>306</v>
      </c>
      <c r="P117" s="49" t="s">
        <v>306</v>
      </c>
      <c r="Q117" s="49"/>
      <c r="R117" s="49"/>
      <c r="S117" s="49"/>
      <c r="T117" s="49"/>
      <c r="U117" s="49"/>
      <c r="V117" s="49"/>
      <c r="W117" s="49"/>
      <c r="X117" s="49"/>
      <c r="Y117" s="54" t="s">
        <v>306</v>
      </c>
      <c r="Z117" s="49"/>
      <c r="AA117" s="49"/>
      <c r="AB117" s="49"/>
      <c r="AC117" s="49"/>
      <c r="AD117" s="59"/>
      <c r="AE117" s="198"/>
    </row>
    <row r="118" spans="1:31">
      <c r="A118" s="48" t="s">
        <v>231</v>
      </c>
      <c r="B118" s="48" t="s">
        <v>296</v>
      </c>
      <c r="C118" s="48" t="s">
        <v>297</v>
      </c>
      <c r="D118" s="50" t="s">
        <v>17</v>
      </c>
      <c r="E118" s="54" t="s">
        <v>306</v>
      </c>
      <c r="F118" s="54" t="s">
        <v>306</v>
      </c>
      <c r="G118" s="54" t="s">
        <v>306</v>
      </c>
      <c r="H118" s="54" t="s">
        <v>306</v>
      </c>
      <c r="I118" s="54"/>
      <c r="J118" s="54"/>
      <c r="K118" s="54"/>
      <c r="L118" s="54"/>
      <c r="M118" s="54"/>
      <c r="N118" s="49" t="s">
        <v>306</v>
      </c>
      <c r="O118" s="49" t="s">
        <v>306</v>
      </c>
      <c r="P118" s="49" t="s">
        <v>306</v>
      </c>
      <c r="Q118" s="55"/>
      <c r="R118" s="55"/>
      <c r="S118" s="55"/>
      <c r="T118" s="55"/>
      <c r="U118" s="55"/>
      <c r="V118" s="55"/>
      <c r="W118" s="55"/>
      <c r="X118" s="52"/>
      <c r="Y118" s="54" t="s">
        <v>306</v>
      </c>
      <c r="Z118" s="54"/>
      <c r="AA118" s="54"/>
      <c r="AB118" s="54"/>
      <c r="AC118" s="54"/>
      <c r="AD118" s="59"/>
      <c r="AE118" s="198"/>
    </row>
    <row r="119" spans="1:31">
      <c r="A119" s="48" t="s">
        <v>231</v>
      </c>
      <c r="B119" s="48" t="s">
        <v>66</v>
      </c>
      <c r="C119" s="48"/>
      <c r="D119" s="50" t="s">
        <v>64</v>
      </c>
      <c r="E119" s="54"/>
      <c r="F119" s="54"/>
      <c r="G119" s="54"/>
      <c r="H119" s="54"/>
      <c r="I119" s="54" t="s">
        <v>306</v>
      </c>
      <c r="J119" s="54" t="s">
        <v>306</v>
      </c>
      <c r="K119" s="54" t="s">
        <v>306</v>
      </c>
      <c r="L119" s="54" t="s">
        <v>306</v>
      </c>
      <c r="M119" s="54" t="s">
        <v>306</v>
      </c>
      <c r="N119" s="49"/>
      <c r="O119" s="49" t="s">
        <v>306</v>
      </c>
      <c r="P119" s="49" t="s">
        <v>306</v>
      </c>
      <c r="Q119" s="55"/>
      <c r="R119" s="55"/>
      <c r="S119" s="55"/>
      <c r="T119" s="55"/>
      <c r="U119" s="55"/>
      <c r="V119" s="55"/>
      <c r="W119" s="55"/>
      <c r="X119" s="52"/>
      <c r="Y119" s="54"/>
      <c r="Z119" s="54"/>
      <c r="AA119" s="54"/>
      <c r="AB119" s="54"/>
      <c r="AC119" s="54"/>
      <c r="AD119" s="59"/>
      <c r="AE119" s="198"/>
    </row>
    <row r="120" spans="1:31">
      <c r="A120" s="48" t="s">
        <v>227</v>
      </c>
      <c r="B120" s="48" t="s">
        <v>386</v>
      </c>
      <c r="C120" s="48"/>
      <c r="D120" s="50" t="s">
        <v>50</v>
      </c>
      <c r="E120" s="54"/>
      <c r="F120" s="54"/>
      <c r="G120" s="54"/>
      <c r="H120" s="54"/>
      <c r="I120" s="54"/>
      <c r="J120" s="54"/>
      <c r="K120" s="54"/>
      <c r="L120" s="54"/>
      <c r="M120" s="54" t="s">
        <v>306</v>
      </c>
      <c r="N120" s="49"/>
      <c r="O120" s="49" t="s">
        <v>306</v>
      </c>
      <c r="P120" s="49" t="s">
        <v>306</v>
      </c>
      <c r="Q120" s="55"/>
      <c r="R120" s="55"/>
      <c r="S120" s="55"/>
      <c r="T120" s="55"/>
      <c r="U120" s="55"/>
      <c r="V120" s="55"/>
      <c r="W120" s="55"/>
      <c r="X120" s="52"/>
      <c r="Y120" s="54"/>
      <c r="Z120" s="54"/>
      <c r="AA120" s="54"/>
      <c r="AB120" s="54"/>
      <c r="AC120" s="54"/>
      <c r="AD120" s="59"/>
      <c r="AE120" s="198"/>
    </row>
    <row r="121" spans="1:31">
      <c r="A121" s="48" t="s">
        <v>227</v>
      </c>
      <c r="B121" s="48" t="s">
        <v>254</v>
      </c>
      <c r="C121" s="48"/>
      <c r="D121" s="50" t="s">
        <v>137</v>
      </c>
      <c r="E121" s="54"/>
      <c r="F121" s="54"/>
      <c r="G121" s="54"/>
      <c r="H121" s="54"/>
      <c r="I121" s="54"/>
      <c r="J121" s="54"/>
      <c r="K121" s="54" t="s">
        <v>306</v>
      </c>
      <c r="L121" s="54" t="s">
        <v>306</v>
      </c>
      <c r="M121" s="54"/>
      <c r="N121" s="49"/>
      <c r="O121" s="49" t="s">
        <v>306</v>
      </c>
      <c r="P121" s="49" t="s">
        <v>306</v>
      </c>
      <c r="Q121" s="55"/>
      <c r="R121" s="55"/>
      <c r="S121" s="55"/>
      <c r="T121" s="55"/>
      <c r="U121" s="55"/>
      <c r="V121" s="55"/>
      <c r="W121" s="55"/>
      <c r="X121" s="52"/>
      <c r="Y121" s="54"/>
      <c r="Z121" s="54"/>
      <c r="AA121" s="54"/>
      <c r="AB121" s="54"/>
      <c r="AC121" s="54"/>
      <c r="AD121" s="59"/>
      <c r="AE121" s="198"/>
    </row>
    <row r="122" spans="1:31">
      <c r="A122" s="48" t="s">
        <v>231</v>
      </c>
      <c r="B122" s="48" t="s">
        <v>70</v>
      </c>
      <c r="C122" s="48"/>
      <c r="D122" s="50" t="s">
        <v>69</v>
      </c>
      <c r="E122" s="54"/>
      <c r="F122" s="54"/>
      <c r="G122" s="54"/>
      <c r="H122" s="54"/>
      <c r="I122" s="54"/>
      <c r="J122" s="54"/>
      <c r="K122" s="54" t="s">
        <v>306</v>
      </c>
      <c r="L122" s="54" t="s">
        <v>306</v>
      </c>
      <c r="M122" s="54" t="s">
        <v>306</v>
      </c>
      <c r="N122" s="49"/>
      <c r="O122" s="49" t="s">
        <v>306</v>
      </c>
      <c r="P122" s="49" t="s">
        <v>306</v>
      </c>
      <c r="Q122" s="55"/>
      <c r="R122" s="55"/>
      <c r="S122" s="55"/>
      <c r="T122" s="55"/>
      <c r="U122" s="55"/>
      <c r="V122" s="55"/>
      <c r="W122" s="55"/>
      <c r="X122" s="52"/>
      <c r="Y122" s="54"/>
      <c r="Z122" s="54"/>
      <c r="AA122" s="54"/>
      <c r="AB122" s="54"/>
      <c r="AC122" s="54"/>
      <c r="AD122" s="59"/>
      <c r="AE122" s="198"/>
    </row>
    <row r="123" spans="1:31">
      <c r="A123" s="48" t="s">
        <v>232</v>
      </c>
      <c r="B123" s="48" t="s">
        <v>61</v>
      </c>
      <c r="C123" s="48"/>
      <c r="D123" s="50" t="s">
        <v>138</v>
      </c>
      <c r="E123" s="54" t="s">
        <v>306</v>
      </c>
      <c r="F123" s="54" t="s">
        <v>306</v>
      </c>
      <c r="G123" s="54" t="s">
        <v>306</v>
      </c>
      <c r="H123" s="54" t="s">
        <v>306</v>
      </c>
      <c r="I123" s="54"/>
      <c r="J123" s="54"/>
      <c r="K123" s="54"/>
      <c r="L123" s="54"/>
      <c r="M123" s="54" t="s">
        <v>306</v>
      </c>
      <c r="N123" s="49"/>
      <c r="O123" s="49" t="s">
        <v>306</v>
      </c>
      <c r="P123" s="49" t="s">
        <v>306</v>
      </c>
      <c r="Q123" s="55"/>
      <c r="R123" s="55"/>
      <c r="S123" s="55"/>
      <c r="T123" s="55"/>
      <c r="U123" s="55"/>
      <c r="V123" s="55"/>
      <c r="W123" s="55"/>
      <c r="X123" s="52"/>
      <c r="Y123" s="54" t="s">
        <v>306</v>
      </c>
      <c r="Z123" s="54"/>
      <c r="AA123" s="54"/>
      <c r="AB123" s="54"/>
      <c r="AC123" s="54"/>
      <c r="AD123" s="59"/>
      <c r="AE123" s="198"/>
    </row>
    <row r="124" spans="1:31">
      <c r="A124" s="48" t="s">
        <v>232</v>
      </c>
      <c r="B124" s="48" t="s">
        <v>61</v>
      </c>
      <c r="C124" s="48"/>
      <c r="D124" s="50" t="s">
        <v>139</v>
      </c>
      <c r="E124" s="54" t="s">
        <v>306</v>
      </c>
      <c r="F124" s="54" t="s">
        <v>306</v>
      </c>
      <c r="G124" s="54" t="s">
        <v>306</v>
      </c>
      <c r="H124" s="54" t="s">
        <v>306</v>
      </c>
      <c r="I124" s="54"/>
      <c r="J124" s="54"/>
      <c r="K124" s="54"/>
      <c r="L124" s="54"/>
      <c r="M124" s="54" t="s">
        <v>306</v>
      </c>
      <c r="N124" s="49"/>
      <c r="O124" s="49" t="s">
        <v>306</v>
      </c>
      <c r="P124" s="49" t="s">
        <v>306</v>
      </c>
      <c r="Q124" s="55"/>
      <c r="R124" s="55"/>
      <c r="S124" s="55"/>
      <c r="T124" s="55"/>
      <c r="U124" s="55"/>
      <c r="V124" s="55"/>
      <c r="W124" s="55"/>
      <c r="X124" s="52"/>
      <c r="Y124" s="54" t="s">
        <v>306</v>
      </c>
      <c r="Z124" s="54"/>
      <c r="AA124" s="54"/>
      <c r="AB124" s="54"/>
      <c r="AC124" s="54"/>
      <c r="AD124" s="59"/>
      <c r="AE124" s="198"/>
    </row>
    <row r="125" spans="1:31">
      <c r="A125" s="48" t="s">
        <v>231</v>
      </c>
      <c r="B125" s="48" t="s">
        <v>63</v>
      </c>
      <c r="C125" s="48"/>
      <c r="D125" s="50" t="s">
        <v>62</v>
      </c>
      <c r="E125" s="54" t="s">
        <v>306</v>
      </c>
      <c r="F125" s="54" t="s">
        <v>306</v>
      </c>
      <c r="G125" s="54" t="s">
        <v>306</v>
      </c>
      <c r="H125" s="54" t="s">
        <v>306</v>
      </c>
      <c r="I125" s="54"/>
      <c r="J125" s="54"/>
      <c r="K125" s="54"/>
      <c r="L125" s="54"/>
      <c r="M125" s="54" t="s">
        <v>306</v>
      </c>
      <c r="N125" s="49"/>
      <c r="O125" s="49" t="s">
        <v>306</v>
      </c>
      <c r="P125" s="49" t="s">
        <v>306</v>
      </c>
      <c r="Q125" s="55"/>
      <c r="R125" s="55"/>
      <c r="S125" s="55"/>
      <c r="T125" s="55"/>
      <c r="U125" s="55"/>
      <c r="V125" s="55"/>
      <c r="W125" s="55"/>
      <c r="X125" s="52"/>
      <c r="Y125" s="54" t="s">
        <v>306</v>
      </c>
      <c r="Z125" s="54"/>
      <c r="AA125" s="54"/>
      <c r="AB125" s="54"/>
      <c r="AC125" s="54"/>
      <c r="AD125" s="59"/>
      <c r="AE125" s="198"/>
    </row>
    <row r="126" spans="1:31">
      <c r="A126" s="48" t="s">
        <v>232</v>
      </c>
      <c r="B126" s="48" t="s">
        <v>63</v>
      </c>
      <c r="C126" s="48"/>
      <c r="D126" s="50" t="s">
        <v>62</v>
      </c>
      <c r="E126" s="54" t="s">
        <v>306</v>
      </c>
      <c r="F126" s="54" t="s">
        <v>306</v>
      </c>
      <c r="G126" s="54" t="s">
        <v>306</v>
      </c>
      <c r="H126" s="54" t="s">
        <v>306</v>
      </c>
      <c r="I126" s="54"/>
      <c r="J126" s="54"/>
      <c r="K126" s="54"/>
      <c r="L126" s="54"/>
      <c r="M126" s="54" t="s">
        <v>306</v>
      </c>
      <c r="N126" s="49"/>
      <c r="O126" s="49" t="s">
        <v>306</v>
      </c>
      <c r="P126" s="49" t="s">
        <v>306</v>
      </c>
      <c r="Q126" s="55"/>
      <c r="R126" s="55"/>
      <c r="S126" s="55"/>
      <c r="T126" s="55"/>
      <c r="U126" s="55"/>
      <c r="V126" s="55"/>
      <c r="W126" s="55"/>
      <c r="X126" s="52"/>
      <c r="Y126" s="54" t="s">
        <v>306</v>
      </c>
      <c r="Z126" s="54"/>
      <c r="AA126" s="54"/>
      <c r="AB126" s="54"/>
      <c r="AC126" s="54"/>
      <c r="AD126" s="59"/>
      <c r="AE126" s="198"/>
    </row>
    <row r="127" spans="1:31">
      <c r="A127" s="48" t="s">
        <v>231</v>
      </c>
      <c r="B127" s="48" t="s">
        <v>68</v>
      </c>
      <c r="C127" s="48"/>
      <c r="D127" s="50" t="s">
        <v>67</v>
      </c>
      <c r="E127" s="54"/>
      <c r="F127" s="54"/>
      <c r="G127" s="54"/>
      <c r="H127" s="54"/>
      <c r="I127" s="54" t="s">
        <v>306</v>
      </c>
      <c r="J127" s="54" t="s">
        <v>306</v>
      </c>
      <c r="K127" s="54"/>
      <c r="L127" s="54" t="s">
        <v>306</v>
      </c>
      <c r="M127" s="54" t="s">
        <v>306</v>
      </c>
      <c r="N127" s="49"/>
      <c r="O127" s="49" t="s">
        <v>306</v>
      </c>
      <c r="P127" s="49" t="s">
        <v>306</v>
      </c>
      <c r="Q127" s="55"/>
      <c r="R127" s="55"/>
      <c r="S127" s="55"/>
      <c r="T127" s="55"/>
      <c r="U127" s="55"/>
      <c r="V127" s="55"/>
      <c r="W127" s="55"/>
      <c r="X127" s="52"/>
      <c r="Y127" s="54"/>
      <c r="Z127" s="54"/>
      <c r="AA127" s="54"/>
      <c r="AB127" s="54"/>
      <c r="AC127" s="54"/>
      <c r="AD127" s="59"/>
      <c r="AE127" s="198"/>
    </row>
    <row r="128" spans="1:31">
      <c r="A128" s="48" t="s">
        <v>232</v>
      </c>
      <c r="B128" s="48" t="s">
        <v>68</v>
      </c>
      <c r="C128" s="48"/>
      <c r="D128" s="50" t="s">
        <v>67</v>
      </c>
      <c r="E128" s="54"/>
      <c r="F128" s="54"/>
      <c r="G128" s="54"/>
      <c r="H128" s="54"/>
      <c r="I128" s="54" t="s">
        <v>306</v>
      </c>
      <c r="J128" s="54" t="s">
        <v>306</v>
      </c>
      <c r="K128" s="54"/>
      <c r="L128" s="54" t="s">
        <v>306</v>
      </c>
      <c r="M128" s="54" t="s">
        <v>306</v>
      </c>
      <c r="N128" s="49"/>
      <c r="O128" s="49" t="s">
        <v>306</v>
      </c>
      <c r="P128" s="49" t="s">
        <v>306</v>
      </c>
      <c r="Q128" s="55"/>
      <c r="R128" s="55"/>
      <c r="S128" s="55"/>
      <c r="T128" s="55"/>
      <c r="U128" s="55"/>
      <c r="V128" s="55"/>
      <c r="W128" s="55"/>
      <c r="X128" s="52"/>
      <c r="Y128" s="54"/>
      <c r="Z128" s="54"/>
      <c r="AA128" s="54"/>
      <c r="AB128" s="54"/>
      <c r="AC128" s="54"/>
      <c r="AD128" s="59"/>
      <c r="AE128" s="198"/>
    </row>
    <row r="129" spans="1:31">
      <c r="A129" s="48" t="s">
        <v>227</v>
      </c>
      <c r="B129" s="48" t="s">
        <v>255</v>
      </c>
      <c r="C129" s="48"/>
      <c r="D129" s="50" t="s">
        <v>143</v>
      </c>
      <c r="E129" s="54"/>
      <c r="F129" s="54"/>
      <c r="G129" s="54"/>
      <c r="H129" s="54"/>
      <c r="I129" s="54"/>
      <c r="J129" s="54"/>
      <c r="K129" s="54" t="s">
        <v>306</v>
      </c>
      <c r="L129" s="54" t="s">
        <v>306</v>
      </c>
      <c r="M129" s="54"/>
      <c r="N129" s="49"/>
      <c r="O129" s="49" t="s">
        <v>306</v>
      </c>
      <c r="P129" s="49" t="s">
        <v>306</v>
      </c>
      <c r="Q129" s="55"/>
      <c r="R129" s="55"/>
      <c r="S129" s="55"/>
      <c r="T129" s="55"/>
      <c r="U129" s="55"/>
      <c r="V129" s="55"/>
      <c r="W129" s="55"/>
      <c r="X129" s="52"/>
      <c r="Y129" s="54"/>
      <c r="Z129" s="54"/>
      <c r="AA129" s="54"/>
      <c r="AB129" s="54"/>
      <c r="AC129" s="54"/>
      <c r="AD129" s="59"/>
      <c r="AE129" s="198"/>
    </row>
    <row r="130" spans="1:31">
      <c r="A130" s="48" t="s">
        <v>231</v>
      </c>
      <c r="B130" s="48" t="s">
        <v>72</v>
      </c>
      <c r="C130" s="48"/>
      <c r="D130" s="50" t="s">
        <v>71</v>
      </c>
      <c r="E130" s="54"/>
      <c r="F130" s="54"/>
      <c r="G130" s="54"/>
      <c r="H130" s="54"/>
      <c r="I130" s="54" t="s">
        <v>306</v>
      </c>
      <c r="J130" s="54"/>
      <c r="K130" s="54" t="s">
        <v>306</v>
      </c>
      <c r="L130" s="54" t="s">
        <v>306</v>
      </c>
      <c r="M130" s="54"/>
      <c r="N130" s="49"/>
      <c r="O130" s="49" t="s">
        <v>306</v>
      </c>
      <c r="P130" s="49" t="s">
        <v>306</v>
      </c>
      <c r="Q130" s="55"/>
      <c r="R130" s="55"/>
      <c r="S130" s="55"/>
      <c r="T130" s="55"/>
      <c r="U130" s="55"/>
      <c r="V130" s="55"/>
      <c r="W130" s="55"/>
      <c r="X130" s="52"/>
      <c r="Y130" s="54"/>
      <c r="Z130" s="54"/>
      <c r="AA130" s="54"/>
      <c r="AB130" s="54"/>
      <c r="AC130" s="54"/>
      <c r="AD130" s="59"/>
      <c r="AE130" s="198"/>
    </row>
    <row r="131" spans="1:31">
      <c r="A131" s="48" t="s">
        <v>232</v>
      </c>
      <c r="B131" s="48" t="s">
        <v>72</v>
      </c>
      <c r="C131" s="48"/>
      <c r="D131" s="50" t="s">
        <v>71</v>
      </c>
      <c r="E131" s="54"/>
      <c r="F131" s="54"/>
      <c r="G131" s="54"/>
      <c r="H131" s="54"/>
      <c r="I131" s="54" t="s">
        <v>306</v>
      </c>
      <c r="J131" s="54"/>
      <c r="K131" s="54" t="s">
        <v>306</v>
      </c>
      <c r="L131" s="54" t="s">
        <v>306</v>
      </c>
      <c r="M131" s="54"/>
      <c r="N131" s="49"/>
      <c r="O131" s="49" t="s">
        <v>306</v>
      </c>
      <c r="P131" s="49" t="s">
        <v>306</v>
      </c>
      <c r="Q131" s="55"/>
      <c r="R131" s="55"/>
      <c r="S131" s="55"/>
      <c r="T131" s="55"/>
      <c r="U131" s="55"/>
      <c r="V131" s="55"/>
      <c r="W131" s="55"/>
      <c r="X131" s="52"/>
      <c r="Y131" s="54"/>
      <c r="Z131" s="54"/>
      <c r="AA131" s="54"/>
      <c r="AB131" s="54"/>
      <c r="AC131" s="54"/>
      <c r="AD131" s="59"/>
      <c r="AE131" s="198"/>
    </row>
    <row r="132" spans="1:31">
      <c r="A132" s="48" t="s">
        <v>232</v>
      </c>
      <c r="B132" s="48" t="s">
        <v>30</v>
      </c>
      <c r="C132" s="48"/>
      <c r="D132" s="50" t="s">
        <v>144</v>
      </c>
      <c r="E132" s="54" t="s">
        <v>306</v>
      </c>
      <c r="F132" s="54" t="s">
        <v>306</v>
      </c>
      <c r="G132" s="54" t="s">
        <v>306</v>
      </c>
      <c r="H132" s="54" t="s">
        <v>306</v>
      </c>
      <c r="I132" s="54" t="s">
        <v>306</v>
      </c>
      <c r="J132" s="54"/>
      <c r="K132" s="54"/>
      <c r="L132" s="54" t="s">
        <v>306</v>
      </c>
      <c r="M132" s="54" t="s">
        <v>306</v>
      </c>
      <c r="N132" s="49"/>
      <c r="O132" s="49" t="s">
        <v>306</v>
      </c>
      <c r="P132" s="49" t="s">
        <v>306</v>
      </c>
      <c r="Q132" s="55"/>
      <c r="R132" s="55"/>
      <c r="S132" s="55"/>
      <c r="T132" s="55"/>
      <c r="U132" s="55"/>
      <c r="V132" s="55"/>
      <c r="W132" s="55"/>
      <c r="X132" s="52"/>
      <c r="Y132" s="54" t="s">
        <v>306</v>
      </c>
      <c r="Z132" s="54"/>
      <c r="AA132" s="54"/>
      <c r="AB132" s="54"/>
      <c r="AC132" s="54"/>
      <c r="AD132" s="59"/>
      <c r="AE132" s="198"/>
    </row>
    <row r="133" spans="1:31">
      <c r="A133" s="48" t="s">
        <v>232</v>
      </c>
      <c r="B133" s="48" t="s">
        <v>30</v>
      </c>
      <c r="C133" s="48"/>
      <c r="D133" s="50" t="s">
        <v>145</v>
      </c>
      <c r="E133" s="54" t="s">
        <v>306</v>
      </c>
      <c r="F133" s="54" t="s">
        <v>306</v>
      </c>
      <c r="G133" s="54" t="s">
        <v>306</v>
      </c>
      <c r="H133" s="54" t="s">
        <v>306</v>
      </c>
      <c r="I133" s="54" t="s">
        <v>306</v>
      </c>
      <c r="J133" s="54"/>
      <c r="K133" s="54"/>
      <c r="L133" s="54" t="s">
        <v>306</v>
      </c>
      <c r="M133" s="54" t="s">
        <v>306</v>
      </c>
      <c r="N133" s="49"/>
      <c r="O133" s="49" t="s">
        <v>306</v>
      </c>
      <c r="P133" s="49" t="s">
        <v>306</v>
      </c>
      <c r="Q133" s="55"/>
      <c r="R133" s="55"/>
      <c r="S133" s="55"/>
      <c r="T133" s="55"/>
      <c r="U133" s="55"/>
      <c r="V133" s="55"/>
      <c r="W133" s="55"/>
      <c r="X133" s="52"/>
      <c r="Y133" s="54" t="s">
        <v>306</v>
      </c>
      <c r="Z133" s="54"/>
      <c r="AA133" s="54"/>
      <c r="AB133" s="54"/>
      <c r="AC133" s="54"/>
      <c r="AD133" s="59"/>
      <c r="AE133" s="198"/>
    </row>
    <row r="134" spans="1:31">
      <c r="A134" s="48" t="s">
        <v>231</v>
      </c>
      <c r="B134" s="48" t="s">
        <v>21</v>
      </c>
      <c r="C134" s="48"/>
      <c r="D134" s="50" t="s">
        <v>20</v>
      </c>
      <c r="E134" s="54" t="s">
        <v>306</v>
      </c>
      <c r="F134" s="54" t="s">
        <v>306</v>
      </c>
      <c r="G134" s="54" t="s">
        <v>306</v>
      </c>
      <c r="H134" s="54" t="s">
        <v>306</v>
      </c>
      <c r="I134" s="54"/>
      <c r="J134" s="54"/>
      <c r="K134" s="54"/>
      <c r="L134" s="54" t="s">
        <v>306</v>
      </c>
      <c r="M134" s="54" t="s">
        <v>306</v>
      </c>
      <c r="N134" s="49"/>
      <c r="O134" s="49" t="s">
        <v>306</v>
      </c>
      <c r="P134" s="49" t="s">
        <v>306</v>
      </c>
      <c r="Q134" s="55"/>
      <c r="R134" s="55"/>
      <c r="S134" s="55"/>
      <c r="T134" s="55"/>
      <c r="U134" s="55"/>
      <c r="V134" s="55"/>
      <c r="W134" s="55"/>
      <c r="X134" s="52"/>
      <c r="Y134" s="54" t="s">
        <v>306</v>
      </c>
      <c r="Z134" s="54"/>
      <c r="AA134" s="54"/>
      <c r="AB134" s="54"/>
      <c r="AC134" s="54"/>
      <c r="AD134" s="59"/>
      <c r="AE134" s="198"/>
    </row>
    <row r="135" spans="1:31">
      <c r="A135" s="48" t="s">
        <v>232</v>
      </c>
      <c r="B135" s="48" t="s">
        <v>21</v>
      </c>
      <c r="C135" s="48"/>
      <c r="D135" s="50" t="s">
        <v>20</v>
      </c>
      <c r="E135" s="54" t="s">
        <v>306</v>
      </c>
      <c r="F135" s="54" t="s">
        <v>306</v>
      </c>
      <c r="G135" s="54" t="s">
        <v>306</v>
      </c>
      <c r="H135" s="54" t="s">
        <v>306</v>
      </c>
      <c r="I135" s="54"/>
      <c r="J135" s="54"/>
      <c r="K135" s="54"/>
      <c r="L135" s="54" t="s">
        <v>306</v>
      </c>
      <c r="M135" s="54" t="s">
        <v>306</v>
      </c>
      <c r="N135" s="49"/>
      <c r="O135" s="49" t="s">
        <v>306</v>
      </c>
      <c r="P135" s="49" t="s">
        <v>306</v>
      </c>
      <c r="Q135" s="55"/>
      <c r="R135" s="55"/>
      <c r="S135" s="55"/>
      <c r="T135" s="55"/>
      <c r="U135" s="55"/>
      <c r="V135" s="55"/>
      <c r="W135" s="55"/>
      <c r="X135" s="52"/>
      <c r="Y135" s="54" t="s">
        <v>306</v>
      </c>
      <c r="Z135" s="54"/>
      <c r="AA135" s="54"/>
      <c r="AB135" s="54"/>
      <c r="AC135" s="54"/>
      <c r="AD135" s="59"/>
      <c r="AE135" s="198"/>
    </row>
    <row r="136" spans="1:31">
      <c r="A136" s="48" t="s">
        <v>231</v>
      </c>
      <c r="B136" s="48" t="s">
        <v>79</v>
      </c>
      <c r="C136" s="48"/>
      <c r="D136" s="50" t="s">
        <v>112</v>
      </c>
      <c r="E136" s="54" t="s">
        <v>306</v>
      </c>
      <c r="F136" s="54" t="s">
        <v>306</v>
      </c>
      <c r="G136" s="54" t="s">
        <v>306</v>
      </c>
      <c r="H136" s="54" t="s">
        <v>306</v>
      </c>
      <c r="I136" s="54"/>
      <c r="J136" s="54" t="s">
        <v>306</v>
      </c>
      <c r="K136" s="54"/>
      <c r="L136" s="54" t="s">
        <v>306</v>
      </c>
      <c r="M136" s="54"/>
      <c r="N136" s="49" t="s">
        <v>306</v>
      </c>
      <c r="O136" s="49" t="s">
        <v>306</v>
      </c>
      <c r="P136" s="49" t="s">
        <v>306</v>
      </c>
      <c r="Q136" s="55"/>
      <c r="R136" s="55"/>
      <c r="S136" s="55"/>
      <c r="T136" s="55"/>
      <c r="U136" s="55"/>
      <c r="V136" s="55"/>
      <c r="W136" s="55"/>
      <c r="X136" s="52"/>
      <c r="Y136" s="54" t="s">
        <v>306</v>
      </c>
      <c r="Z136" s="54"/>
      <c r="AA136" s="54"/>
      <c r="AB136" s="54"/>
      <c r="AC136" s="54"/>
      <c r="AD136" s="59"/>
      <c r="AE136" s="198"/>
    </row>
    <row r="137" spans="1:31">
      <c r="A137" s="48" t="s">
        <v>232</v>
      </c>
      <c r="B137" s="48" t="s">
        <v>79</v>
      </c>
      <c r="C137" s="48"/>
      <c r="D137" s="50" t="s">
        <v>112</v>
      </c>
      <c r="E137" s="54" t="s">
        <v>306</v>
      </c>
      <c r="F137" s="54" t="s">
        <v>306</v>
      </c>
      <c r="G137" s="54" t="s">
        <v>306</v>
      </c>
      <c r="H137" s="54" t="s">
        <v>306</v>
      </c>
      <c r="I137" s="54"/>
      <c r="J137" s="54" t="s">
        <v>306</v>
      </c>
      <c r="K137" s="54"/>
      <c r="L137" s="54" t="s">
        <v>306</v>
      </c>
      <c r="M137" s="54"/>
      <c r="N137" s="49" t="s">
        <v>306</v>
      </c>
      <c r="O137" s="49" t="s">
        <v>306</v>
      </c>
      <c r="P137" s="49" t="s">
        <v>306</v>
      </c>
      <c r="Q137" s="55"/>
      <c r="R137" s="55"/>
      <c r="S137" s="55"/>
      <c r="T137" s="55"/>
      <c r="U137" s="55"/>
      <c r="V137" s="55"/>
      <c r="W137" s="55"/>
      <c r="X137" s="52" t="s">
        <v>306</v>
      </c>
      <c r="Y137" s="54" t="s">
        <v>306</v>
      </c>
      <c r="Z137" s="54" t="s">
        <v>306</v>
      </c>
      <c r="AA137" s="54"/>
      <c r="AB137" s="54"/>
      <c r="AC137" s="54"/>
      <c r="AD137" s="59"/>
      <c r="AE137" s="198"/>
    </row>
    <row r="138" spans="1:31">
      <c r="A138" s="48" t="s">
        <v>227</v>
      </c>
      <c r="B138" s="48" t="s">
        <v>245</v>
      </c>
      <c r="C138" s="48"/>
      <c r="D138" s="50" t="s">
        <v>18</v>
      </c>
      <c r="E138" s="54"/>
      <c r="F138" s="54"/>
      <c r="G138" s="54"/>
      <c r="H138" s="54"/>
      <c r="I138" s="54"/>
      <c r="J138" s="54"/>
      <c r="K138" s="54"/>
      <c r="L138" s="54"/>
      <c r="M138" s="54" t="s">
        <v>306</v>
      </c>
      <c r="N138" s="49"/>
      <c r="O138" s="49" t="s">
        <v>306</v>
      </c>
      <c r="P138" s="49" t="s">
        <v>306</v>
      </c>
      <c r="Q138" s="55"/>
      <c r="R138" s="55"/>
      <c r="S138" s="55"/>
      <c r="T138" s="55"/>
      <c r="U138" s="55"/>
      <c r="V138" s="55"/>
      <c r="W138" s="55"/>
      <c r="X138" s="52"/>
      <c r="Y138" s="54"/>
      <c r="Z138" s="54"/>
      <c r="AA138" s="54" t="s">
        <v>306</v>
      </c>
      <c r="AB138" s="54"/>
      <c r="AC138" s="54"/>
      <c r="AD138" s="59"/>
      <c r="AE138" s="198"/>
    </row>
    <row r="139" spans="1:31">
      <c r="A139" s="48" t="s">
        <v>231</v>
      </c>
      <c r="B139" s="48" t="s">
        <v>245</v>
      </c>
      <c r="C139" s="48"/>
      <c r="D139" s="50" t="s">
        <v>18</v>
      </c>
      <c r="E139" s="54"/>
      <c r="F139" s="54"/>
      <c r="G139" s="54"/>
      <c r="H139" s="54"/>
      <c r="I139" s="54"/>
      <c r="J139" s="54"/>
      <c r="K139" s="54"/>
      <c r="L139" s="54"/>
      <c r="M139" s="54" t="s">
        <v>306</v>
      </c>
      <c r="N139" s="49"/>
      <c r="O139" s="49" t="s">
        <v>306</v>
      </c>
      <c r="P139" s="49" t="s">
        <v>306</v>
      </c>
      <c r="Q139" s="55"/>
      <c r="R139" s="55"/>
      <c r="S139" s="55"/>
      <c r="T139" s="55"/>
      <c r="U139" s="55"/>
      <c r="V139" s="55"/>
      <c r="W139" s="55"/>
      <c r="X139" s="52"/>
      <c r="Y139" s="54"/>
      <c r="Z139" s="54"/>
      <c r="AA139" s="54" t="s">
        <v>306</v>
      </c>
      <c r="AB139" s="54"/>
      <c r="AC139" s="54"/>
      <c r="AD139" s="59"/>
      <c r="AE139" s="198"/>
    </row>
    <row r="140" spans="1:31">
      <c r="A140" s="48" t="s">
        <v>232</v>
      </c>
      <c r="B140" s="48" t="s">
        <v>245</v>
      </c>
      <c r="C140" s="48"/>
      <c r="D140" s="50" t="s">
        <v>18</v>
      </c>
      <c r="E140" s="54"/>
      <c r="F140" s="54"/>
      <c r="G140" s="54"/>
      <c r="H140" s="54"/>
      <c r="I140" s="54"/>
      <c r="J140" s="54"/>
      <c r="K140" s="54"/>
      <c r="L140" s="54"/>
      <c r="M140" s="54"/>
      <c r="N140" s="49"/>
      <c r="O140" s="49" t="s">
        <v>306</v>
      </c>
      <c r="P140" s="49" t="s">
        <v>306</v>
      </c>
      <c r="Q140" s="55"/>
      <c r="R140" s="55"/>
      <c r="S140" s="55"/>
      <c r="T140" s="55"/>
      <c r="U140" s="55"/>
      <c r="V140" s="55"/>
      <c r="W140" s="55"/>
      <c r="X140" s="52"/>
      <c r="Y140" s="54"/>
      <c r="Z140" s="54"/>
      <c r="AA140" s="54" t="s">
        <v>306</v>
      </c>
      <c r="AB140" s="54"/>
      <c r="AC140" s="54"/>
      <c r="AD140" s="59"/>
      <c r="AE140" s="198"/>
    </row>
    <row r="141" spans="1:31">
      <c r="A141" s="48" t="s">
        <v>227</v>
      </c>
      <c r="B141" s="48" t="s">
        <v>246</v>
      </c>
      <c r="C141" s="48"/>
      <c r="D141" s="50" t="s">
        <v>78</v>
      </c>
      <c r="E141" s="54"/>
      <c r="F141" s="54"/>
      <c r="G141" s="54"/>
      <c r="H141" s="54"/>
      <c r="I141" s="54"/>
      <c r="J141" s="54"/>
      <c r="K141" s="54"/>
      <c r="L141" s="54"/>
      <c r="M141" s="54"/>
      <c r="N141" s="49"/>
      <c r="O141" s="49" t="s">
        <v>306</v>
      </c>
      <c r="P141" s="49" t="s">
        <v>306</v>
      </c>
      <c r="Q141" s="55"/>
      <c r="R141" s="55"/>
      <c r="S141" s="55"/>
      <c r="T141" s="55"/>
      <c r="U141" s="55"/>
      <c r="V141" s="55"/>
      <c r="W141" s="55"/>
      <c r="X141" s="52"/>
      <c r="Y141" s="54"/>
      <c r="Z141" s="54"/>
      <c r="AA141" s="54"/>
      <c r="AB141" s="54" t="s">
        <v>306</v>
      </c>
      <c r="AC141" s="54"/>
      <c r="AD141" s="59"/>
      <c r="AE141" s="198"/>
    </row>
    <row r="142" spans="1:31">
      <c r="A142" s="48" t="s">
        <v>231</v>
      </c>
      <c r="B142" s="48" t="s">
        <v>246</v>
      </c>
      <c r="C142" s="48"/>
      <c r="D142" s="50" t="s">
        <v>78</v>
      </c>
      <c r="E142" s="54"/>
      <c r="F142" s="54"/>
      <c r="G142" s="54"/>
      <c r="H142" s="54"/>
      <c r="I142" s="54"/>
      <c r="J142" s="54"/>
      <c r="K142" s="54"/>
      <c r="L142" s="54"/>
      <c r="M142" s="54"/>
      <c r="N142" s="49"/>
      <c r="O142" s="49" t="s">
        <v>306</v>
      </c>
      <c r="P142" s="49" t="s">
        <v>306</v>
      </c>
      <c r="Q142" s="55"/>
      <c r="R142" s="55"/>
      <c r="S142" s="55"/>
      <c r="T142" s="55"/>
      <c r="U142" s="55"/>
      <c r="V142" s="55"/>
      <c r="W142" s="55"/>
      <c r="X142" s="52"/>
      <c r="Y142" s="54"/>
      <c r="Z142" s="54"/>
      <c r="AA142" s="54"/>
      <c r="AB142" s="54" t="s">
        <v>306</v>
      </c>
      <c r="AC142" s="54"/>
      <c r="AD142" s="59"/>
      <c r="AE142" s="198"/>
    </row>
    <row r="143" spans="1:31">
      <c r="A143" s="48" t="s">
        <v>232</v>
      </c>
      <c r="B143" s="48" t="s">
        <v>246</v>
      </c>
      <c r="C143" s="48"/>
      <c r="D143" s="50" t="s">
        <v>78</v>
      </c>
      <c r="E143" s="54"/>
      <c r="F143" s="54"/>
      <c r="G143" s="54"/>
      <c r="H143" s="54"/>
      <c r="I143" s="54"/>
      <c r="J143" s="54"/>
      <c r="K143" s="54"/>
      <c r="L143" s="54"/>
      <c r="M143" s="54"/>
      <c r="N143" s="49"/>
      <c r="O143" s="49" t="s">
        <v>306</v>
      </c>
      <c r="P143" s="49" t="s">
        <v>306</v>
      </c>
      <c r="Q143" s="55"/>
      <c r="R143" s="55"/>
      <c r="S143" s="55"/>
      <c r="T143" s="55"/>
      <c r="U143" s="55"/>
      <c r="V143" s="55"/>
      <c r="W143" s="55"/>
      <c r="X143" s="52"/>
      <c r="Y143" s="54"/>
      <c r="Z143" s="54"/>
      <c r="AA143" s="54"/>
      <c r="AB143" s="54" t="s">
        <v>306</v>
      </c>
      <c r="AC143" s="54"/>
      <c r="AD143" s="59"/>
      <c r="AE143" s="198"/>
    </row>
    <row r="144" spans="1:31">
      <c r="A144" s="48" t="s">
        <v>227</v>
      </c>
      <c r="B144" s="48" t="s">
        <v>428</v>
      </c>
      <c r="C144" s="48"/>
      <c r="D144" s="50" t="s">
        <v>320</v>
      </c>
      <c r="E144" s="54"/>
      <c r="F144" s="54"/>
      <c r="G144" s="54"/>
      <c r="H144" s="54"/>
      <c r="I144" s="54"/>
      <c r="J144" s="54"/>
      <c r="K144" s="54"/>
      <c r="L144" s="54"/>
      <c r="M144" s="54"/>
      <c r="N144" s="49"/>
      <c r="O144" s="49" t="s">
        <v>306</v>
      </c>
      <c r="P144" s="49" t="s">
        <v>306</v>
      </c>
      <c r="Q144" s="55"/>
      <c r="R144" s="55"/>
      <c r="S144" s="55"/>
      <c r="T144" s="55"/>
      <c r="U144" s="55"/>
      <c r="V144" s="55"/>
      <c r="W144" s="55"/>
      <c r="X144" s="52"/>
      <c r="Y144" s="54"/>
      <c r="Z144" s="54"/>
      <c r="AA144" s="54"/>
      <c r="AB144" s="54"/>
      <c r="AC144" s="54"/>
      <c r="AD144" s="59"/>
      <c r="AE144" s="198"/>
    </row>
    <row r="145" spans="1:31">
      <c r="A145" s="48" t="s">
        <v>227</v>
      </c>
      <c r="B145" s="48" t="s">
        <v>428</v>
      </c>
      <c r="C145" s="48"/>
      <c r="D145" s="50" t="s">
        <v>322</v>
      </c>
      <c r="E145" s="54"/>
      <c r="F145" s="54"/>
      <c r="G145" s="54"/>
      <c r="H145" s="54"/>
      <c r="I145" s="54"/>
      <c r="J145" s="54"/>
      <c r="K145" s="54"/>
      <c r="L145" s="54"/>
      <c r="M145" s="54"/>
      <c r="N145" s="49"/>
      <c r="O145" s="49" t="s">
        <v>306</v>
      </c>
      <c r="P145" s="49" t="s">
        <v>306</v>
      </c>
      <c r="Q145" s="55"/>
      <c r="R145" s="55"/>
      <c r="S145" s="55"/>
      <c r="T145" s="55"/>
      <c r="U145" s="55"/>
      <c r="V145" s="55"/>
      <c r="W145" s="55"/>
      <c r="X145" s="52"/>
      <c r="Y145" s="54"/>
      <c r="Z145" s="54"/>
      <c r="AA145" s="54"/>
      <c r="AB145" s="54"/>
      <c r="AC145" s="54"/>
      <c r="AD145" s="59"/>
      <c r="AE145" s="198"/>
    </row>
    <row r="146" spans="1:31">
      <c r="A146" s="48" t="s">
        <v>227</v>
      </c>
      <c r="B146" s="48" t="s">
        <v>429</v>
      </c>
      <c r="C146" s="48"/>
      <c r="D146" s="50" t="s">
        <v>339</v>
      </c>
      <c r="E146" s="54"/>
      <c r="F146" s="54"/>
      <c r="G146" s="54"/>
      <c r="H146" s="54"/>
      <c r="I146" s="54"/>
      <c r="J146" s="54"/>
      <c r="K146" s="54"/>
      <c r="L146" s="54"/>
      <c r="M146" s="54"/>
      <c r="N146" s="49"/>
      <c r="O146" s="49" t="s">
        <v>306</v>
      </c>
      <c r="P146" s="49" t="s">
        <v>306</v>
      </c>
      <c r="Q146" s="55"/>
      <c r="R146" s="55"/>
      <c r="S146" s="55"/>
      <c r="T146" s="55"/>
      <c r="U146" s="55"/>
      <c r="V146" s="55"/>
      <c r="W146" s="55"/>
      <c r="X146" s="52"/>
      <c r="Y146" s="54"/>
      <c r="Z146" s="54"/>
      <c r="AA146" s="54"/>
      <c r="AB146" s="54"/>
      <c r="AC146" s="54"/>
      <c r="AD146" s="59"/>
      <c r="AE146" s="198"/>
    </row>
    <row r="147" spans="1:31">
      <c r="A147" s="48" t="s">
        <v>227</v>
      </c>
      <c r="B147" s="48" t="s">
        <v>429</v>
      </c>
      <c r="C147" s="48"/>
      <c r="D147" s="50" t="s">
        <v>340</v>
      </c>
      <c r="E147" s="54"/>
      <c r="F147" s="54"/>
      <c r="G147" s="54"/>
      <c r="H147" s="54"/>
      <c r="I147" s="54"/>
      <c r="J147" s="54"/>
      <c r="K147" s="54"/>
      <c r="L147" s="54"/>
      <c r="M147" s="54"/>
      <c r="N147" s="49"/>
      <c r="O147" s="49" t="s">
        <v>306</v>
      </c>
      <c r="P147" s="49" t="s">
        <v>306</v>
      </c>
      <c r="Q147" s="55"/>
      <c r="R147" s="55"/>
      <c r="S147" s="55"/>
      <c r="T147" s="55"/>
      <c r="U147" s="55"/>
      <c r="V147" s="55"/>
      <c r="W147" s="55"/>
      <c r="X147" s="52"/>
      <c r="Y147" s="54"/>
      <c r="Z147" s="54"/>
      <c r="AA147" s="54"/>
      <c r="AB147" s="54"/>
      <c r="AC147" s="54"/>
      <c r="AD147" s="59"/>
      <c r="AE147" s="198"/>
    </row>
    <row r="148" spans="1:31">
      <c r="A148" s="48" t="s">
        <v>227</v>
      </c>
      <c r="B148" s="48" t="s">
        <v>429</v>
      </c>
      <c r="C148" s="48"/>
      <c r="D148" s="50" t="s">
        <v>337</v>
      </c>
      <c r="E148" s="54"/>
      <c r="F148" s="54"/>
      <c r="G148" s="54"/>
      <c r="H148" s="54"/>
      <c r="I148" s="54"/>
      <c r="J148" s="54"/>
      <c r="K148" s="54"/>
      <c r="L148" s="54"/>
      <c r="M148" s="54"/>
      <c r="N148" s="49"/>
      <c r="O148" s="49" t="s">
        <v>306</v>
      </c>
      <c r="P148" s="49" t="s">
        <v>306</v>
      </c>
      <c r="Q148" s="55"/>
      <c r="R148" s="55"/>
      <c r="S148" s="55"/>
      <c r="T148" s="55"/>
      <c r="U148" s="55"/>
      <c r="V148" s="55"/>
      <c r="W148" s="55"/>
      <c r="X148" s="52"/>
      <c r="Y148" s="54"/>
      <c r="Z148" s="54"/>
      <c r="AA148" s="54"/>
      <c r="AB148" s="54"/>
      <c r="AC148" s="54"/>
      <c r="AD148" s="59"/>
      <c r="AE148" s="198"/>
    </row>
    <row r="149" spans="1:31">
      <c r="A149" s="48" t="s">
        <v>227</v>
      </c>
      <c r="B149" s="48" t="s">
        <v>429</v>
      </c>
      <c r="C149" s="48"/>
      <c r="D149" s="50" t="s">
        <v>338</v>
      </c>
      <c r="E149" s="54"/>
      <c r="F149" s="54"/>
      <c r="G149" s="54"/>
      <c r="H149" s="54"/>
      <c r="I149" s="54"/>
      <c r="J149" s="54"/>
      <c r="K149" s="54"/>
      <c r="L149" s="54"/>
      <c r="M149" s="54"/>
      <c r="N149" s="49"/>
      <c r="O149" s="49" t="s">
        <v>306</v>
      </c>
      <c r="P149" s="49" t="s">
        <v>306</v>
      </c>
      <c r="Q149" s="55"/>
      <c r="R149" s="55"/>
      <c r="S149" s="55"/>
      <c r="T149" s="55"/>
      <c r="U149" s="55"/>
      <c r="V149" s="55"/>
      <c r="W149" s="55"/>
      <c r="X149" s="52"/>
      <c r="Y149" s="54"/>
      <c r="Z149" s="54"/>
      <c r="AA149" s="54"/>
      <c r="AB149" s="54"/>
      <c r="AC149" s="54"/>
      <c r="AD149" s="59"/>
      <c r="AE149" s="198"/>
    </row>
    <row r="150" spans="1:31">
      <c r="A150" s="48" t="s">
        <v>227</v>
      </c>
      <c r="B150" s="48" t="s">
        <v>429</v>
      </c>
      <c r="C150" s="48"/>
      <c r="D150" s="50" t="s">
        <v>323</v>
      </c>
      <c r="E150" s="54"/>
      <c r="F150" s="54"/>
      <c r="G150" s="54"/>
      <c r="H150" s="54"/>
      <c r="I150" s="54"/>
      <c r="J150" s="54"/>
      <c r="K150" s="54"/>
      <c r="L150" s="54"/>
      <c r="M150" s="54"/>
      <c r="N150" s="49"/>
      <c r="O150" s="49" t="s">
        <v>306</v>
      </c>
      <c r="P150" s="49" t="s">
        <v>306</v>
      </c>
      <c r="Q150" s="55"/>
      <c r="R150" s="55"/>
      <c r="S150" s="55"/>
      <c r="T150" s="55"/>
      <c r="U150" s="55"/>
      <c r="V150" s="55"/>
      <c r="W150" s="55"/>
      <c r="X150" s="52"/>
      <c r="Y150" s="54"/>
      <c r="Z150" s="54"/>
      <c r="AA150" s="54"/>
      <c r="AB150" s="54"/>
      <c r="AC150" s="54"/>
      <c r="AD150" s="59"/>
      <c r="AE150" s="198"/>
    </row>
    <row r="151" spans="1:31">
      <c r="A151" s="48" t="s">
        <v>227</v>
      </c>
      <c r="B151" s="48" t="s">
        <v>429</v>
      </c>
      <c r="C151" s="48"/>
      <c r="D151" s="50" t="s">
        <v>324</v>
      </c>
      <c r="E151" s="54"/>
      <c r="F151" s="54"/>
      <c r="G151" s="54"/>
      <c r="H151" s="54"/>
      <c r="I151" s="54"/>
      <c r="J151" s="54"/>
      <c r="K151" s="54"/>
      <c r="L151" s="54"/>
      <c r="M151" s="54"/>
      <c r="N151" s="49"/>
      <c r="O151" s="49" t="s">
        <v>306</v>
      </c>
      <c r="P151" s="49" t="s">
        <v>306</v>
      </c>
      <c r="Q151" s="55"/>
      <c r="R151" s="55"/>
      <c r="S151" s="55"/>
      <c r="T151" s="55"/>
      <c r="U151" s="55"/>
      <c r="V151" s="55"/>
      <c r="W151" s="55"/>
      <c r="X151" s="52"/>
      <c r="Y151" s="54"/>
      <c r="Z151" s="54"/>
      <c r="AA151" s="54"/>
      <c r="AB151" s="54"/>
      <c r="AC151" s="54"/>
      <c r="AD151" s="59"/>
      <c r="AE151" s="198"/>
    </row>
    <row r="152" spans="1:31">
      <c r="A152" s="48" t="s">
        <v>227</v>
      </c>
      <c r="B152" s="48" t="s">
        <v>429</v>
      </c>
      <c r="C152" s="48"/>
      <c r="D152" s="50" t="s">
        <v>325</v>
      </c>
      <c r="E152" s="54"/>
      <c r="F152" s="54"/>
      <c r="G152" s="54"/>
      <c r="H152" s="54"/>
      <c r="I152" s="54"/>
      <c r="J152" s="54"/>
      <c r="K152" s="54"/>
      <c r="L152" s="54"/>
      <c r="M152" s="54"/>
      <c r="N152" s="49"/>
      <c r="O152" s="49" t="s">
        <v>306</v>
      </c>
      <c r="P152" s="49" t="s">
        <v>306</v>
      </c>
      <c r="Q152" s="55"/>
      <c r="R152" s="55"/>
      <c r="S152" s="55"/>
      <c r="T152" s="55"/>
      <c r="U152" s="55"/>
      <c r="V152" s="55"/>
      <c r="W152" s="55"/>
      <c r="X152" s="52"/>
      <c r="Y152" s="54"/>
      <c r="Z152" s="54"/>
      <c r="AA152" s="54"/>
      <c r="AB152" s="54"/>
      <c r="AC152" s="54"/>
      <c r="AD152" s="59"/>
      <c r="AE152" s="198"/>
    </row>
    <row r="153" spans="1:31">
      <c r="A153" s="48" t="s">
        <v>227</v>
      </c>
      <c r="B153" s="48" t="s">
        <v>429</v>
      </c>
      <c r="C153" s="48"/>
      <c r="D153" s="50" t="s">
        <v>328</v>
      </c>
      <c r="E153" s="54"/>
      <c r="F153" s="54"/>
      <c r="G153" s="54"/>
      <c r="H153" s="54"/>
      <c r="I153" s="54"/>
      <c r="J153" s="54"/>
      <c r="K153" s="54"/>
      <c r="L153" s="54"/>
      <c r="M153" s="54"/>
      <c r="N153" s="49"/>
      <c r="O153" s="49" t="s">
        <v>306</v>
      </c>
      <c r="P153" s="49" t="s">
        <v>306</v>
      </c>
      <c r="Q153" s="55"/>
      <c r="R153" s="55"/>
      <c r="S153" s="55"/>
      <c r="T153" s="55"/>
      <c r="U153" s="55"/>
      <c r="V153" s="55"/>
      <c r="W153" s="55"/>
      <c r="X153" s="52"/>
      <c r="Y153" s="54"/>
      <c r="Z153" s="54"/>
      <c r="AA153" s="54"/>
      <c r="AB153" s="54"/>
      <c r="AC153" s="54"/>
      <c r="AD153" s="59"/>
      <c r="AE153" s="198"/>
    </row>
    <row r="154" spans="1:31">
      <c r="A154" s="48" t="s">
        <v>227</v>
      </c>
      <c r="B154" s="48" t="s">
        <v>429</v>
      </c>
      <c r="C154" s="48"/>
      <c r="D154" s="50" t="s">
        <v>329</v>
      </c>
      <c r="E154" s="54"/>
      <c r="F154" s="54"/>
      <c r="G154" s="54"/>
      <c r="H154" s="54"/>
      <c r="I154" s="54"/>
      <c r="J154" s="54"/>
      <c r="K154" s="54"/>
      <c r="L154" s="54"/>
      <c r="M154" s="54"/>
      <c r="N154" s="49"/>
      <c r="O154" s="49" t="s">
        <v>306</v>
      </c>
      <c r="P154" s="49" t="s">
        <v>306</v>
      </c>
      <c r="Q154" s="55"/>
      <c r="R154" s="55"/>
      <c r="S154" s="55"/>
      <c r="T154" s="55"/>
      <c r="U154" s="55"/>
      <c r="V154" s="55"/>
      <c r="W154" s="55"/>
      <c r="X154" s="52"/>
      <c r="Y154" s="54"/>
      <c r="Z154" s="54"/>
      <c r="AA154" s="54"/>
      <c r="AB154" s="54"/>
      <c r="AC154" s="54"/>
      <c r="AD154" s="59"/>
      <c r="AE154" s="198"/>
    </row>
    <row r="155" spans="1:31">
      <c r="A155" s="48" t="s">
        <v>227</v>
      </c>
      <c r="B155" s="48" t="s">
        <v>429</v>
      </c>
      <c r="C155" s="48"/>
      <c r="D155" s="50" t="s">
        <v>332</v>
      </c>
      <c r="E155" s="54"/>
      <c r="F155" s="54"/>
      <c r="G155" s="54"/>
      <c r="H155" s="54"/>
      <c r="I155" s="54"/>
      <c r="J155" s="54"/>
      <c r="K155" s="54"/>
      <c r="L155" s="54"/>
      <c r="M155" s="54"/>
      <c r="N155" s="49"/>
      <c r="O155" s="49" t="s">
        <v>306</v>
      </c>
      <c r="P155" s="49" t="s">
        <v>306</v>
      </c>
      <c r="Q155" s="55"/>
      <c r="R155" s="55"/>
      <c r="S155" s="55"/>
      <c r="T155" s="55"/>
      <c r="U155" s="55"/>
      <c r="V155" s="55"/>
      <c r="W155" s="55"/>
      <c r="X155" s="52"/>
      <c r="Y155" s="54"/>
      <c r="Z155" s="54"/>
      <c r="AA155" s="54"/>
      <c r="AB155" s="54"/>
      <c r="AC155" s="54"/>
      <c r="AD155" s="59"/>
      <c r="AE155" s="198"/>
    </row>
    <row r="156" spans="1:31">
      <c r="A156" s="48" t="s">
        <v>227</v>
      </c>
      <c r="B156" s="48" t="s">
        <v>429</v>
      </c>
      <c r="C156" s="48"/>
      <c r="D156" s="50" t="s">
        <v>333</v>
      </c>
      <c r="E156" s="54"/>
      <c r="F156" s="54"/>
      <c r="G156" s="54"/>
      <c r="H156" s="54"/>
      <c r="I156" s="54"/>
      <c r="J156" s="54"/>
      <c r="K156" s="54"/>
      <c r="L156" s="54"/>
      <c r="M156" s="54"/>
      <c r="N156" s="49"/>
      <c r="O156" s="49" t="s">
        <v>306</v>
      </c>
      <c r="P156" s="49" t="s">
        <v>306</v>
      </c>
      <c r="Q156" s="55"/>
      <c r="R156" s="55"/>
      <c r="S156" s="55"/>
      <c r="T156" s="55"/>
      <c r="U156" s="55"/>
      <c r="V156" s="55"/>
      <c r="W156" s="55"/>
      <c r="X156" s="52"/>
      <c r="Y156" s="54"/>
      <c r="Z156" s="54"/>
      <c r="AA156" s="54"/>
      <c r="AB156" s="54"/>
      <c r="AC156" s="54"/>
      <c r="AD156" s="59"/>
      <c r="AE156" s="198"/>
    </row>
    <row r="157" spans="1:31">
      <c r="A157" s="48" t="s">
        <v>227</v>
      </c>
      <c r="B157" s="48" t="s">
        <v>429</v>
      </c>
      <c r="C157" s="48"/>
      <c r="D157" s="50" t="s">
        <v>334</v>
      </c>
      <c r="E157" s="54"/>
      <c r="F157" s="54"/>
      <c r="G157" s="54"/>
      <c r="H157" s="54"/>
      <c r="I157" s="54"/>
      <c r="J157" s="54"/>
      <c r="K157" s="54"/>
      <c r="L157" s="54"/>
      <c r="M157" s="54"/>
      <c r="N157" s="49"/>
      <c r="O157" s="49" t="s">
        <v>306</v>
      </c>
      <c r="P157" s="49" t="s">
        <v>306</v>
      </c>
      <c r="Q157" s="55"/>
      <c r="R157" s="55"/>
      <c r="S157" s="55"/>
      <c r="T157" s="55"/>
      <c r="U157" s="55"/>
      <c r="V157" s="55"/>
      <c r="W157" s="55"/>
      <c r="X157" s="52"/>
      <c r="Y157" s="54"/>
      <c r="Z157" s="54"/>
      <c r="AA157" s="54"/>
      <c r="AB157" s="54"/>
      <c r="AC157" s="54"/>
      <c r="AD157" s="59"/>
      <c r="AE157" s="198"/>
    </row>
    <row r="158" spans="1:31">
      <c r="A158" s="48" t="s">
        <v>227</v>
      </c>
      <c r="B158" s="48" t="s">
        <v>429</v>
      </c>
      <c r="C158" s="48"/>
      <c r="D158" s="50" t="s">
        <v>336</v>
      </c>
      <c r="E158" s="54"/>
      <c r="F158" s="54"/>
      <c r="G158" s="54"/>
      <c r="H158" s="54"/>
      <c r="I158" s="54"/>
      <c r="J158" s="54"/>
      <c r="K158" s="54"/>
      <c r="L158" s="54"/>
      <c r="M158" s="54"/>
      <c r="N158" s="49"/>
      <c r="O158" s="49" t="s">
        <v>306</v>
      </c>
      <c r="P158" s="49" t="s">
        <v>306</v>
      </c>
      <c r="Q158" s="55"/>
      <c r="R158" s="55"/>
      <c r="S158" s="55"/>
      <c r="T158" s="55"/>
      <c r="U158" s="55"/>
      <c r="V158" s="55"/>
      <c r="W158" s="55"/>
      <c r="X158" s="52"/>
      <c r="Y158" s="54"/>
      <c r="Z158" s="54"/>
      <c r="AA158" s="54"/>
      <c r="AB158" s="54"/>
      <c r="AC158" s="54"/>
      <c r="AD158" s="59"/>
      <c r="AE158" s="198"/>
    </row>
    <row r="159" spans="1:31">
      <c r="A159" s="48" t="s">
        <v>227</v>
      </c>
      <c r="B159" s="48" t="s">
        <v>429</v>
      </c>
      <c r="C159" s="48"/>
      <c r="D159" s="50" t="s">
        <v>330</v>
      </c>
      <c r="E159" s="54"/>
      <c r="F159" s="54"/>
      <c r="G159" s="54"/>
      <c r="H159" s="54"/>
      <c r="I159" s="54"/>
      <c r="J159" s="54"/>
      <c r="K159" s="54"/>
      <c r="L159" s="54"/>
      <c r="M159" s="54"/>
      <c r="N159" s="49"/>
      <c r="O159" s="49" t="s">
        <v>306</v>
      </c>
      <c r="P159" s="49" t="s">
        <v>306</v>
      </c>
      <c r="Q159" s="55"/>
      <c r="R159" s="55"/>
      <c r="S159" s="55"/>
      <c r="T159" s="55"/>
      <c r="U159" s="55"/>
      <c r="V159" s="55"/>
      <c r="W159" s="55"/>
      <c r="X159" s="52"/>
      <c r="Y159" s="54"/>
      <c r="Z159" s="54"/>
      <c r="AA159" s="54"/>
      <c r="AB159" s="54"/>
      <c r="AC159" s="54"/>
      <c r="AD159" s="59"/>
      <c r="AE159" s="198"/>
    </row>
    <row r="160" spans="1:31">
      <c r="A160" s="48" t="s">
        <v>227</v>
      </c>
      <c r="B160" s="48" t="s">
        <v>429</v>
      </c>
      <c r="C160" s="48"/>
      <c r="D160" s="50" t="s">
        <v>331</v>
      </c>
      <c r="E160" s="54"/>
      <c r="F160" s="54"/>
      <c r="G160" s="54"/>
      <c r="H160" s="54"/>
      <c r="I160" s="54"/>
      <c r="J160" s="54"/>
      <c r="K160" s="54"/>
      <c r="L160" s="54"/>
      <c r="M160" s="54"/>
      <c r="N160" s="49"/>
      <c r="O160" s="49" t="s">
        <v>306</v>
      </c>
      <c r="P160" s="49" t="s">
        <v>306</v>
      </c>
      <c r="Q160" s="55"/>
      <c r="R160" s="55"/>
      <c r="S160" s="55"/>
      <c r="T160" s="55"/>
      <c r="U160" s="55"/>
      <c r="V160" s="55"/>
      <c r="W160" s="55"/>
      <c r="X160" s="52"/>
      <c r="Y160" s="54"/>
      <c r="Z160" s="54"/>
      <c r="AA160" s="54"/>
      <c r="AB160" s="54"/>
      <c r="AC160" s="54"/>
      <c r="AD160" s="59"/>
      <c r="AE160" s="198"/>
    </row>
    <row r="161" spans="1:31">
      <c r="A161" s="48" t="s">
        <v>227</v>
      </c>
      <c r="B161" s="48" t="s">
        <v>429</v>
      </c>
      <c r="C161" s="48"/>
      <c r="D161" s="50" t="s">
        <v>327</v>
      </c>
      <c r="E161" s="54"/>
      <c r="F161" s="54"/>
      <c r="G161" s="54"/>
      <c r="H161" s="54"/>
      <c r="I161" s="54"/>
      <c r="J161" s="54"/>
      <c r="K161" s="54"/>
      <c r="L161" s="54"/>
      <c r="M161" s="54"/>
      <c r="N161" s="49"/>
      <c r="O161" s="49" t="s">
        <v>306</v>
      </c>
      <c r="P161" s="49" t="s">
        <v>306</v>
      </c>
      <c r="Q161" s="55"/>
      <c r="R161" s="55"/>
      <c r="S161" s="55"/>
      <c r="T161" s="55"/>
      <c r="U161" s="55"/>
      <c r="V161" s="55"/>
      <c r="W161" s="55"/>
      <c r="X161" s="52"/>
      <c r="Y161" s="54"/>
      <c r="Z161" s="54"/>
      <c r="AA161" s="54"/>
      <c r="AB161" s="54"/>
      <c r="AC161" s="54"/>
      <c r="AD161" s="59"/>
      <c r="AE161" s="198"/>
    </row>
    <row r="162" spans="1:31">
      <c r="A162" s="48" t="s">
        <v>227</v>
      </c>
      <c r="B162" s="48" t="s">
        <v>411</v>
      </c>
      <c r="C162" s="48"/>
      <c r="D162" s="50" t="s">
        <v>341</v>
      </c>
      <c r="E162" s="54"/>
      <c r="F162" s="54"/>
      <c r="G162" s="54"/>
      <c r="H162" s="54"/>
      <c r="I162" s="54" t="s">
        <v>306</v>
      </c>
      <c r="J162" s="54"/>
      <c r="K162" s="54"/>
      <c r="L162" s="54"/>
      <c r="M162" s="54"/>
      <c r="N162" s="49"/>
      <c r="O162" s="49" t="s">
        <v>306</v>
      </c>
      <c r="P162" s="49" t="s">
        <v>306</v>
      </c>
      <c r="Q162" s="55"/>
      <c r="R162" s="55"/>
      <c r="S162" s="55"/>
      <c r="T162" s="55"/>
      <c r="U162" s="55"/>
      <c r="V162" s="55"/>
      <c r="W162" s="55"/>
      <c r="X162" s="52"/>
      <c r="Y162" s="54"/>
      <c r="Z162" s="54"/>
      <c r="AA162" s="54"/>
      <c r="AB162" s="54"/>
      <c r="AC162" s="54"/>
      <c r="AD162" s="59"/>
      <c r="AE162" s="198"/>
    </row>
    <row r="163" spans="1:31">
      <c r="A163" s="48" t="s">
        <v>227</v>
      </c>
      <c r="B163" s="48" t="s">
        <v>411</v>
      </c>
      <c r="C163" s="48"/>
      <c r="D163" s="50" t="s">
        <v>342</v>
      </c>
      <c r="E163" s="54"/>
      <c r="F163" s="54"/>
      <c r="G163" s="54"/>
      <c r="H163" s="54"/>
      <c r="I163" s="54" t="s">
        <v>306</v>
      </c>
      <c r="J163" s="54"/>
      <c r="K163" s="54"/>
      <c r="L163" s="54"/>
      <c r="M163" s="54"/>
      <c r="N163" s="49"/>
      <c r="O163" s="49" t="s">
        <v>306</v>
      </c>
      <c r="P163" s="49" t="s">
        <v>306</v>
      </c>
      <c r="Q163" s="55"/>
      <c r="R163" s="55"/>
      <c r="S163" s="55"/>
      <c r="T163" s="55"/>
      <c r="U163" s="55"/>
      <c r="V163" s="55"/>
      <c r="W163" s="55"/>
      <c r="X163" s="52"/>
      <c r="Y163" s="54"/>
      <c r="Z163" s="54"/>
      <c r="AA163" s="54"/>
      <c r="AB163" s="54"/>
      <c r="AC163" s="54"/>
      <c r="AD163" s="59"/>
      <c r="AE163" s="198"/>
    </row>
    <row r="164" spans="1:31">
      <c r="A164" s="48" t="s">
        <v>227</v>
      </c>
      <c r="B164" s="48" t="s">
        <v>412</v>
      </c>
      <c r="C164" s="48"/>
      <c r="D164" s="50" t="s">
        <v>344</v>
      </c>
      <c r="E164" s="54"/>
      <c r="F164" s="54"/>
      <c r="G164" s="54"/>
      <c r="H164" s="54"/>
      <c r="I164" s="54" t="s">
        <v>306</v>
      </c>
      <c r="J164" s="54"/>
      <c r="K164" s="54"/>
      <c r="L164" s="54"/>
      <c r="M164" s="54"/>
      <c r="N164" s="49"/>
      <c r="O164" s="49" t="s">
        <v>306</v>
      </c>
      <c r="P164" s="49" t="s">
        <v>306</v>
      </c>
      <c r="Q164" s="55"/>
      <c r="R164" s="55"/>
      <c r="S164" s="55"/>
      <c r="T164" s="55"/>
      <c r="U164" s="55"/>
      <c r="V164" s="55"/>
      <c r="W164" s="55"/>
      <c r="X164" s="52"/>
      <c r="Y164" s="54"/>
      <c r="Z164" s="54"/>
      <c r="AA164" s="54"/>
      <c r="AB164" s="54"/>
      <c r="AC164" s="54"/>
      <c r="AD164" s="59"/>
      <c r="AE164" s="198"/>
    </row>
    <row r="165" spans="1:31">
      <c r="A165" s="48" t="s">
        <v>227</v>
      </c>
      <c r="B165" s="48" t="s">
        <v>412</v>
      </c>
      <c r="C165" s="48"/>
      <c r="D165" s="50" t="s">
        <v>346</v>
      </c>
      <c r="E165" s="54"/>
      <c r="F165" s="54"/>
      <c r="G165" s="54"/>
      <c r="H165" s="54"/>
      <c r="I165" s="54" t="s">
        <v>306</v>
      </c>
      <c r="J165" s="54"/>
      <c r="K165" s="54"/>
      <c r="L165" s="54"/>
      <c r="M165" s="54"/>
      <c r="N165" s="49"/>
      <c r="O165" s="49" t="s">
        <v>306</v>
      </c>
      <c r="P165" s="49" t="s">
        <v>306</v>
      </c>
      <c r="Q165" s="55"/>
      <c r="R165" s="55"/>
      <c r="S165" s="55"/>
      <c r="T165" s="55"/>
      <c r="U165" s="55"/>
      <c r="V165" s="55"/>
      <c r="W165" s="55"/>
      <c r="X165" s="52"/>
      <c r="Y165" s="54"/>
      <c r="Z165" s="54"/>
      <c r="AA165" s="54"/>
      <c r="AB165" s="54"/>
      <c r="AC165" s="54"/>
      <c r="AD165" s="59"/>
      <c r="AE165" s="198"/>
    </row>
    <row r="166" spans="1:31">
      <c r="A166" s="48" t="s">
        <v>227</v>
      </c>
      <c r="B166" s="48" t="s">
        <v>253</v>
      </c>
      <c r="C166" s="48"/>
      <c r="D166" s="50" t="s">
        <v>46</v>
      </c>
      <c r="E166" s="54"/>
      <c r="F166" s="54"/>
      <c r="G166" s="54"/>
      <c r="H166" s="54"/>
      <c r="I166" s="54"/>
      <c r="J166" s="54"/>
      <c r="K166" s="54"/>
      <c r="L166" s="54"/>
      <c r="M166" s="54"/>
      <c r="N166" s="49" t="s">
        <v>306</v>
      </c>
      <c r="O166" s="49" t="s">
        <v>306</v>
      </c>
      <c r="P166" s="49" t="s">
        <v>306</v>
      </c>
      <c r="Q166" s="55"/>
      <c r="R166" s="55"/>
      <c r="S166" s="55"/>
      <c r="T166" s="55"/>
      <c r="U166" s="55"/>
      <c r="V166" s="55"/>
      <c r="W166" s="55"/>
      <c r="X166" s="52"/>
      <c r="Y166" s="54"/>
      <c r="Z166" s="54"/>
      <c r="AA166" s="54"/>
      <c r="AB166" s="54"/>
      <c r="AC166" s="54"/>
      <c r="AD166" s="59"/>
      <c r="AE166" s="198"/>
    </row>
    <row r="167" spans="1:31">
      <c r="A167" s="48" t="s">
        <v>231</v>
      </c>
      <c r="B167" s="48" t="s">
        <v>253</v>
      </c>
      <c r="C167" s="48"/>
      <c r="D167" s="50" t="s">
        <v>46</v>
      </c>
      <c r="E167" s="54"/>
      <c r="F167" s="54"/>
      <c r="G167" s="54"/>
      <c r="H167" s="54"/>
      <c r="I167" s="54"/>
      <c r="J167" s="54"/>
      <c r="K167" s="54"/>
      <c r="L167" s="54"/>
      <c r="M167" s="54"/>
      <c r="N167" s="49" t="s">
        <v>306</v>
      </c>
      <c r="O167" s="49" t="s">
        <v>306</v>
      </c>
      <c r="P167" s="49" t="s">
        <v>306</v>
      </c>
      <c r="Q167" s="55"/>
      <c r="R167" s="55"/>
      <c r="S167" s="55"/>
      <c r="T167" s="55"/>
      <c r="U167" s="55"/>
      <c r="V167" s="55"/>
      <c r="W167" s="55"/>
      <c r="X167" s="52"/>
      <c r="Y167" s="54"/>
      <c r="Z167" s="54"/>
      <c r="AA167" s="54"/>
      <c r="AB167" s="54"/>
      <c r="AC167" s="54"/>
      <c r="AD167" s="59"/>
      <c r="AE167" s="198"/>
    </row>
    <row r="168" spans="1:31">
      <c r="A168" s="48" t="s">
        <v>231</v>
      </c>
      <c r="B168" s="48" t="s">
        <v>250</v>
      </c>
      <c r="C168" s="48"/>
      <c r="D168" s="50" t="s">
        <v>41</v>
      </c>
      <c r="E168" s="54"/>
      <c r="F168" s="54"/>
      <c r="G168" s="54"/>
      <c r="H168" s="54"/>
      <c r="I168" s="54"/>
      <c r="J168" s="54"/>
      <c r="K168" s="54"/>
      <c r="L168" s="54"/>
      <c r="M168" s="54"/>
      <c r="N168" s="49" t="s">
        <v>306</v>
      </c>
      <c r="O168" s="49" t="s">
        <v>306</v>
      </c>
      <c r="P168" s="49" t="s">
        <v>306</v>
      </c>
      <c r="Q168" s="55"/>
      <c r="R168" s="55"/>
      <c r="S168" s="55"/>
      <c r="T168" s="55"/>
      <c r="U168" s="55"/>
      <c r="V168" s="55"/>
      <c r="W168" s="55"/>
      <c r="X168" s="52"/>
      <c r="Y168" s="54"/>
      <c r="Z168" s="54"/>
      <c r="AA168" s="54"/>
      <c r="AB168" s="54"/>
      <c r="AC168" s="54"/>
      <c r="AD168" s="59"/>
      <c r="AE168" s="198"/>
    </row>
    <row r="169" spans="1:31">
      <c r="A169" s="48" t="s">
        <v>227</v>
      </c>
      <c r="B169" s="48" t="s">
        <v>249</v>
      </c>
      <c r="C169" s="48"/>
      <c r="D169" s="50" t="s">
        <v>80</v>
      </c>
      <c r="E169" s="54"/>
      <c r="F169" s="54"/>
      <c r="G169" s="54"/>
      <c r="H169" s="54"/>
      <c r="I169" s="54"/>
      <c r="J169" s="54"/>
      <c r="K169" s="54"/>
      <c r="L169" s="54"/>
      <c r="M169" s="54"/>
      <c r="N169" s="49" t="s">
        <v>306</v>
      </c>
      <c r="O169" s="49" t="s">
        <v>306</v>
      </c>
      <c r="P169" s="49" t="s">
        <v>306</v>
      </c>
      <c r="Q169" s="55"/>
      <c r="R169" s="55"/>
      <c r="S169" s="55"/>
      <c r="T169" s="55"/>
      <c r="U169" s="55"/>
      <c r="V169" s="55"/>
      <c r="W169" s="55"/>
      <c r="X169" s="52"/>
      <c r="Y169" s="54"/>
      <c r="Z169" s="54"/>
      <c r="AA169" s="54"/>
      <c r="AB169" s="54"/>
      <c r="AC169" s="54"/>
      <c r="AD169" s="59"/>
      <c r="AE169" s="198"/>
    </row>
    <row r="170" spans="1:31">
      <c r="A170" s="48" t="s">
        <v>231</v>
      </c>
      <c r="B170" s="48" t="s">
        <v>247</v>
      </c>
      <c r="C170" s="48"/>
      <c r="D170" s="50" t="s">
        <v>24</v>
      </c>
      <c r="E170" s="54"/>
      <c r="F170" s="54"/>
      <c r="G170" s="54"/>
      <c r="H170" s="54"/>
      <c r="I170" s="54"/>
      <c r="J170" s="54"/>
      <c r="K170" s="54"/>
      <c r="L170" s="54"/>
      <c r="M170" s="54"/>
      <c r="N170" s="49" t="s">
        <v>306</v>
      </c>
      <c r="O170" s="49" t="s">
        <v>306</v>
      </c>
      <c r="P170" s="49" t="s">
        <v>306</v>
      </c>
      <c r="Q170" s="55"/>
      <c r="R170" s="55"/>
      <c r="S170" s="55"/>
      <c r="T170" s="55"/>
      <c r="U170" s="55"/>
      <c r="V170" s="55"/>
      <c r="W170" s="55"/>
      <c r="X170" s="52"/>
      <c r="Y170" s="54"/>
      <c r="Z170" s="54"/>
      <c r="AA170" s="54"/>
      <c r="AB170" s="54"/>
      <c r="AC170" s="54"/>
      <c r="AD170" s="59"/>
      <c r="AE170" s="198"/>
    </row>
    <row r="171" spans="1:31">
      <c r="A171" s="48" t="s">
        <v>232</v>
      </c>
      <c r="B171" s="48" t="s">
        <v>247</v>
      </c>
      <c r="C171" s="48"/>
      <c r="D171" s="50" t="s">
        <v>24</v>
      </c>
      <c r="E171" s="54"/>
      <c r="F171" s="54"/>
      <c r="G171" s="54"/>
      <c r="H171" s="54"/>
      <c r="I171" s="54"/>
      <c r="J171" s="54"/>
      <c r="K171" s="54"/>
      <c r="L171" s="54"/>
      <c r="M171" s="54"/>
      <c r="N171" s="49" t="s">
        <v>306</v>
      </c>
      <c r="O171" s="49" t="s">
        <v>306</v>
      </c>
      <c r="P171" s="49" t="s">
        <v>306</v>
      </c>
      <c r="Q171" s="55"/>
      <c r="R171" s="55"/>
      <c r="S171" s="55"/>
      <c r="T171" s="55"/>
      <c r="U171" s="55"/>
      <c r="V171" s="55"/>
      <c r="W171" s="55"/>
      <c r="X171" s="52"/>
      <c r="Y171" s="54"/>
      <c r="Z171" s="54"/>
      <c r="AA171" s="54"/>
      <c r="AB171" s="54"/>
      <c r="AC171" s="54"/>
      <c r="AD171" s="59"/>
      <c r="AE171" s="198"/>
    </row>
    <row r="172" spans="1:31">
      <c r="A172" s="48" t="s">
        <v>232</v>
      </c>
      <c r="B172" s="48" t="s">
        <v>248</v>
      </c>
      <c r="C172" s="48"/>
      <c r="D172" s="50" t="s">
        <v>25</v>
      </c>
      <c r="E172" s="54"/>
      <c r="F172" s="54"/>
      <c r="G172" s="54"/>
      <c r="H172" s="54"/>
      <c r="I172" s="54"/>
      <c r="J172" s="54"/>
      <c r="K172" s="54"/>
      <c r="L172" s="54"/>
      <c r="M172" s="54"/>
      <c r="N172" s="49" t="s">
        <v>306</v>
      </c>
      <c r="O172" s="49" t="s">
        <v>306</v>
      </c>
      <c r="P172" s="49" t="s">
        <v>306</v>
      </c>
      <c r="Q172" s="55"/>
      <c r="R172" s="55"/>
      <c r="S172" s="55"/>
      <c r="T172" s="55"/>
      <c r="U172" s="55"/>
      <c r="V172" s="55"/>
      <c r="W172" s="55"/>
      <c r="X172" s="52"/>
      <c r="Y172" s="54"/>
      <c r="Z172" s="54"/>
      <c r="AA172" s="54"/>
      <c r="AB172" s="54"/>
      <c r="AC172" s="54"/>
      <c r="AD172" s="59"/>
      <c r="AE172" s="198"/>
    </row>
    <row r="173" spans="1:31">
      <c r="A173" s="48" t="s">
        <v>231</v>
      </c>
      <c r="B173" s="48" t="s">
        <v>251</v>
      </c>
      <c r="C173" s="48"/>
      <c r="D173" s="50" t="s">
        <v>42</v>
      </c>
      <c r="E173" s="54"/>
      <c r="F173" s="54"/>
      <c r="G173" s="54"/>
      <c r="H173" s="54"/>
      <c r="I173" s="54"/>
      <c r="J173" s="54"/>
      <c r="K173" s="54"/>
      <c r="L173" s="54"/>
      <c r="M173" s="54"/>
      <c r="N173" s="49" t="s">
        <v>306</v>
      </c>
      <c r="O173" s="49" t="s">
        <v>306</v>
      </c>
      <c r="P173" s="49" t="s">
        <v>306</v>
      </c>
      <c r="Q173" s="55"/>
      <c r="R173" s="55"/>
      <c r="S173" s="55"/>
      <c r="T173" s="55"/>
      <c r="U173" s="55"/>
      <c r="V173" s="55"/>
      <c r="W173" s="55"/>
      <c r="X173" s="52"/>
      <c r="Y173" s="54"/>
      <c r="Z173" s="54"/>
      <c r="AA173" s="54"/>
      <c r="AB173" s="54"/>
      <c r="AC173" s="54"/>
      <c r="AD173" s="59"/>
      <c r="AE173" s="198"/>
    </row>
    <row r="174" spans="1:31">
      <c r="A174" s="48" t="s">
        <v>232</v>
      </c>
      <c r="B174" s="48" t="s">
        <v>251</v>
      </c>
      <c r="C174" s="48"/>
      <c r="D174" s="50" t="s">
        <v>42</v>
      </c>
      <c r="E174" s="54"/>
      <c r="F174" s="54"/>
      <c r="G174" s="54"/>
      <c r="H174" s="54"/>
      <c r="I174" s="54"/>
      <c r="J174" s="54"/>
      <c r="K174" s="54"/>
      <c r="L174" s="54"/>
      <c r="M174" s="54"/>
      <c r="N174" s="49" t="s">
        <v>306</v>
      </c>
      <c r="O174" s="49" t="s">
        <v>306</v>
      </c>
      <c r="P174" s="49" t="s">
        <v>306</v>
      </c>
      <c r="Q174" s="55"/>
      <c r="R174" s="55"/>
      <c r="S174" s="55"/>
      <c r="T174" s="55"/>
      <c r="U174" s="55"/>
      <c r="V174" s="55"/>
      <c r="W174" s="55"/>
      <c r="X174" s="52"/>
      <c r="Y174" s="54"/>
      <c r="Z174" s="54"/>
      <c r="AA174" s="54"/>
      <c r="AB174" s="54"/>
      <c r="AC174" s="54"/>
      <c r="AD174" s="59"/>
      <c r="AE174" s="198"/>
    </row>
    <row r="175" spans="1:31">
      <c r="A175" s="48" t="s">
        <v>232</v>
      </c>
      <c r="B175" s="48" t="s">
        <v>252</v>
      </c>
      <c r="C175" s="48"/>
      <c r="D175" s="50" t="s">
        <v>43</v>
      </c>
      <c r="E175" s="54"/>
      <c r="F175" s="54"/>
      <c r="G175" s="54"/>
      <c r="H175" s="54"/>
      <c r="I175" s="54"/>
      <c r="J175" s="54"/>
      <c r="K175" s="54"/>
      <c r="L175" s="54"/>
      <c r="M175" s="54"/>
      <c r="N175" s="49" t="s">
        <v>306</v>
      </c>
      <c r="O175" s="49" t="s">
        <v>306</v>
      </c>
      <c r="P175" s="49" t="s">
        <v>306</v>
      </c>
      <c r="Q175" s="55"/>
      <c r="R175" s="55"/>
      <c r="S175" s="55"/>
      <c r="T175" s="55"/>
      <c r="U175" s="55"/>
      <c r="V175" s="55"/>
      <c r="W175" s="55"/>
      <c r="X175" s="52"/>
      <c r="Y175" s="54"/>
      <c r="Z175" s="54"/>
      <c r="AA175" s="54"/>
      <c r="AB175" s="54"/>
      <c r="AC175" s="54"/>
      <c r="AD175" s="59"/>
      <c r="AE175" s="198"/>
    </row>
    <row r="176" spans="1:31">
      <c r="A176" s="48" t="s">
        <v>227</v>
      </c>
      <c r="B176" s="48" t="s">
        <v>257</v>
      </c>
      <c r="C176" s="48"/>
      <c r="D176" s="50" t="s">
        <v>44</v>
      </c>
      <c r="E176" s="54"/>
      <c r="F176" s="54"/>
      <c r="G176" s="54"/>
      <c r="H176" s="54"/>
      <c r="I176" s="54"/>
      <c r="J176" s="54"/>
      <c r="K176" s="54"/>
      <c r="L176" s="54"/>
      <c r="M176" s="54"/>
      <c r="N176" s="49" t="s">
        <v>306</v>
      </c>
      <c r="O176" s="49" t="s">
        <v>306</v>
      </c>
      <c r="P176" s="49" t="s">
        <v>306</v>
      </c>
      <c r="Q176" s="55"/>
      <c r="R176" s="55"/>
      <c r="S176" s="55"/>
      <c r="T176" s="55"/>
      <c r="U176" s="55"/>
      <c r="V176" s="55"/>
      <c r="W176" s="55"/>
      <c r="X176" s="52"/>
      <c r="Y176" s="54"/>
      <c r="Z176" s="54"/>
      <c r="AA176" s="54"/>
      <c r="AB176" s="54"/>
      <c r="AC176" s="54"/>
      <c r="AD176" s="59"/>
      <c r="AE176" s="198"/>
    </row>
    <row r="177" spans="1:31">
      <c r="A177" s="48" t="s">
        <v>227</v>
      </c>
      <c r="B177" s="48" t="s">
        <v>56</v>
      </c>
      <c r="C177" s="48"/>
      <c r="D177" s="50" t="s">
        <v>55</v>
      </c>
      <c r="E177" s="54"/>
      <c r="F177" s="54"/>
      <c r="G177" s="54"/>
      <c r="H177" s="54"/>
      <c r="I177" s="54"/>
      <c r="J177" s="54"/>
      <c r="K177" s="54" t="s">
        <v>306</v>
      </c>
      <c r="L177" s="54" t="s">
        <v>306</v>
      </c>
      <c r="M177" s="54" t="s">
        <v>306</v>
      </c>
      <c r="N177" s="49"/>
      <c r="O177" s="49" t="s">
        <v>306</v>
      </c>
      <c r="P177" s="49" t="s">
        <v>306</v>
      </c>
      <c r="Q177" s="55"/>
      <c r="R177" s="55"/>
      <c r="S177" s="55"/>
      <c r="T177" s="55"/>
      <c r="U177" s="55"/>
      <c r="V177" s="55"/>
      <c r="W177" s="55"/>
      <c r="X177" s="52"/>
      <c r="Y177" s="54"/>
      <c r="Z177" s="54"/>
      <c r="AA177" s="54"/>
      <c r="AB177" s="54"/>
      <c r="AC177" s="54"/>
      <c r="AD177" s="59"/>
      <c r="AE177" s="198"/>
    </row>
    <row r="178" spans="1:31">
      <c r="A178" s="48" t="s">
        <v>227</v>
      </c>
      <c r="B178" s="48" t="s">
        <v>434</v>
      </c>
      <c r="C178" s="48"/>
      <c r="D178" s="50" t="s">
        <v>431</v>
      </c>
      <c r="E178" s="54"/>
      <c r="F178" s="54"/>
      <c r="G178" s="54"/>
      <c r="H178" s="54"/>
      <c r="I178" s="54"/>
      <c r="J178" s="54"/>
      <c r="K178" s="54" t="s">
        <v>306</v>
      </c>
      <c r="L178" s="54"/>
      <c r="M178" s="54"/>
      <c r="N178" s="49"/>
      <c r="O178" s="49" t="s">
        <v>306</v>
      </c>
      <c r="P178" s="49" t="s">
        <v>306</v>
      </c>
      <c r="Q178" s="55"/>
      <c r="R178" s="55"/>
      <c r="S178" s="55"/>
      <c r="T178" s="55"/>
      <c r="U178" s="55"/>
      <c r="V178" s="55"/>
      <c r="W178" s="55"/>
      <c r="X178" s="52"/>
      <c r="Y178" s="54"/>
      <c r="Z178" s="54"/>
      <c r="AA178" s="54"/>
      <c r="AB178" s="54"/>
      <c r="AC178" s="54"/>
      <c r="AD178" s="59"/>
      <c r="AE178" s="198"/>
    </row>
    <row r="179" spans="1:31">
      <c r="A179" s="48" t="s">
        <v>227</v>
      </c>
      <c r="B179" s="48" t="s">
        <v>434</v>
      </c>
      <c r="C179" s="48"/>
      <c r="D179" s="50" t="s">
        <v>698</v>
      </c>
      <c r="E179" s="54"/>
      <c r="F179" s="54"/>
      <c r="G179" s="54"/>
      <c r="H179" s="54"/>
      <c r="I179" s="54"/>
      <c r="J179" s="54"/>
      <c r="K179" s="54" t="s">
        <v>306</v>
      </c>
      <c r="L179" s="54"/>
      <c r="M179" s="54"/>
      <c r="N179" s="49"/>
      <c r="O179" s="49" t="s">
        <v>306</v>
      </c>
      <c r="P179" s="49" t="s">
        <v>306</v>
      </c>
      <c r="Q179" s="55"/>
      <c r="R179" s="55"/>
      <c r="S179" s="55"/>
      <c r="T179" s="55"/>
      <c r="U179" s="55"/>
      <c r="V179" s="55"/>
      <c r="W179" s="55"/>
      <c r="X179" s="52"/>
      <c r="Y179" s="54"/>
      <c r="Z179" s="54"/>
      <c r="AA179" s="54"/>
      <c r="AB179" s="54"/>
      <c r="AC179" s="54"/>
      <c r="AD179" s="59"/>
      <c r="AE179" s="198"/>
    </row>
    <row r="180" spans="1:31">
      <c r="A180" s="48" t="s">
        <v>227</v>
      </c>
      <c r="B180" s="48" t="s">
        <v>435</v>
      </c>
      <c r="C180" s="48"/>
      <c r="D180" s="50" t="s">
        <v>432</v>
      </c>
      <c r="E180" s="54"/>
      <c r="F180" s="54"/>
      <c r="G180" s="54"/>
      <c r="H180" s="54"/>
      <c r="I180" s="54"/>
      <c r="J180" s="54"/>
      <c r="K180" s="54" t="s">
        <v>306</v>
      </c>
      <c r="L180" s="54"/>
      <c r="M180" s="54"/>
      <c r="N180" s="49"/>
      <c r="O180" s="49" t="s">
        <v>306</v>
      </c>
      <c r="P180" s="49" t="s">
        <v>306</v>
      </c>
      <c r="Q180" s="55"/>
      <c r="R180" s="55"/>
      <c r="S180" s="55"/>
      <c r="T180" s="55"/>
      <c r="U180" s="55"/>
      <c r="V180" s="55"/>
      <c r="W180" s="55"/>
      <c r="X180" s="52"/>
      <c r="Y180" s="54"/>
      <c r="Z180" s="54"/>
      <c r="AA180" s="54"/>
      <c r="AB180" s="54"/>
      <c r="AC180" s="54"/>
      <c r="AD180" s="59"/>
      <c r="AE180" s="198"/>
    </row>
    <row r="181" spans="1:31">
      <c r="A181" s="48" t="s">
        <v>227</v>
      </c>
      <c r="B181" s="48" t="s">
        <v>435</v>
      </c>
      <c r="C181" s="48"/>
      <c r="D181" s="50" t="s">
        <v>433</v>
      </c>
      <c r="E181" s="54"/>
      <c r="F181" s="54"/>
      <c r="G181" s="54"/>
      <c r="H181" s="54"/>
      <c r="I181" s="54"/>
      <c r="J181" s="54"/>
      <c r="K181" s="54" t="s">
        <v>306</v>
      </c>
      <c r="L181" s="54"/>
      <c r="M181" s="54"/>
      <c r="N181" s="49"/>
      <c r="O181" s="49" t="s">
        <v>306</v>
      </c>
      <c r="P181" s="49" t="s">
        <v>306</v>
      </c>
      <c r="Q181" s="55"/>
      <c r="R181" s="55"/>
      <c r="S181" s="55"/>
      <c r="T181" s="55"/>
      <c r="U181" s="55"/>
      <c r="V181" s="55"/>
      <c r="W181" s="55"/>
      <c r="X181" s="52"/>
      <c r="Y181" s="54"/>
      <c r="Z181" s="54"/>
      <c r="AA181" s="54"/>
      <c r="AB181" s="54"/>
      <c r="AC181" s="54"/>
      <c r="AD181" s="59"/>
      <c r="AE181" s="198"/>
    </row>
    <row r="182" spans="1:31">
      <c r="A182" s="48" t="s">
        <v>227</v>
      </c>
      <c r="B182" s="48" t="s">
        <v>406</v>
      </c>
      <c r="C182" s="48"/>
      <c r="D182" s="50" t="s">
        <v>348</v>
      </c>
      <c r="E182" s="54"/>
      <c r="F182" s="54"/>
      <c r="G182" s="54"/>
      <c r="H182" s="54"/>
      <c r="I182" s="54" t="s">
        <v>306</v>
      </c>
      <c r="J182" s="54"/>
      <c r="K182" s="54"/>
      <c r="L182" s="54"/>
      <c r="M182" s="54"/>
      <c r="N182" s="49"/>
      <c r="O182" s="49" t="s">
        <v>306</v>
      </c>
      <c r="P182" s="49" t="s">
        <v>306</v>
      </c>
      <c r="Q182" s="55"/>
      <c r="R182" s="55"/>
      <c r="S182" s="55"/>
      <c r="T182" s="55"/>
      <c r="U182" s="55"/>
      <c r="V182" s="55"/>
      <c r="W182" s="55"/>
      <c r="X182" s="52"/>
      <c r="Y182" s="54"/>
      <c r="Z182" s="54"/>
      <c r="AA182" s="54"/>
      <c r="AB182" s="54"/>
      <c r="AC182" s="54"/>
      <c r="AD182" s="59"/>
      <c r="AE182" s="198"/>
    </row>
    <row r="183" spans="1:31">
      <c r="A183" s="48" t="s">
        <v>227</v>
      </c>
      <c r="B183" s="48" t="s">
        <v>407</v>
      </c>
      <c r="C183" s="48"/>
      <c r="D183" s="50" t="s">
        <v>350</v>
      </c>
      <c r="E183" s="54"/>
      <c r="F183" s="54"/>
      <c r="G183" s="54"/>
      <c r="H183" s="54"/>
      <c r="I183" s="54" t="s">
        <v>306</v>
      </c>
      <c r="J183" s="54"/>
      <c r="K183" s="54"/>
      <c r="L183" s="54"/>
      <c r="M183" s="54"/>
      <c r="N183" s="49"/>
      <c r="O183" s="49" t="s">
        <v>306</v>
      </c>
      <c r="P183" s="49" t="s">
        <v>306</v>
      </c>
      <c r="Q183" s="55"/>
      <c r="R183" s="55"/>
      <c r="S183" s="55"/>
      <c r="T183" s="55"/>
      <c r="U183" s="55"/>
      <c r="V183" s="55"/>
      <c r="W183" s="55"/>
      <c r="X183" s="52"/>
      <c r="Y183" s="54"/>
      <c r="Z183" s="54"/>
      <c r="AA183" s="54"/>
      <c r="AB183" s="54"/>
      <c r="AC183" s="54"/>
      <c r="AD183" s="59"/>
      <c r="AE183" s="198"/>
    </row>
    <row r="184" spans="1:31">
      <c r="A184" s="48" t="s">
        <v>227</v>
      </c>
      <c r="B184" s="48" t="s">
        <v>408</v>
      </c>
      <c r="C184" s="48"/>
      <c r="D184" s="50" t="s">
        <v>352</v>
      </c>
      <c r="E184" s="54"/>
      <c r="F184" s="54"/>
      <c r="G184" s="54"/>
      <c r="H184" s="54"/>
      <c r="I184" s="54" t="s">
        <v>306</v>
      </c>
      <c r="J184" s="54"/>
      <c r="K184" s="54"/>
      <c r="L184" s="54"/>
      <c r="M184" s="54"/>
      <c r="N184" s="49"/>
      <c r="O184" s="49" t="s">
        <v>306</v>
      </c>
      <c r="P184" s="49" t="s">
        <v>306</v>
      </c>
      <c r="Q184" s="55"/>
      <c r="R184" s="55"/>
      <c r="S184" s="55"/>
      <c r="T184" s="55"/>
      <c r="U184" s="55"/>
      <c r="V184" s="55"/>
      <c r="W184" s="55"/>
      <c r="X184" s="52"/>
      <c r="Y184" s="54"/>
      <c r="Z184" s="54"/>
      <c r="AA184" s="54"/>
      <c r="AB184" s="54"/>
      <c r="AC184" s="54"/>
      <c r="AD184" s="59"/>
      <c r="AE184" s="198"/>
    </row>
    <row r="185" spans="1:31">
      <c r="A185" s="48" t="s">
        <v>227</v>
      </c>
      <c r="B185" s="48" t="s">
        <v>409</v>
      </c>
      <c r="C185" s="48"/>
      <c r="D185" s="50" t="s">
        <v>354</v>
      </c>
      <c r="E185" s="54"/>
      <c r="F185" s="54"/>
      <c r="G185" s="54"/>
      <c r="H185" s="54"/>
      <c r="I185" s="54" t="s">
        <v>306</v>
      </c>
      <c r="J185" s="54"/>
      <c r="K185" s="54"/>
      <c r="L185" s="54"/>
      <c r="M185" s="54"/>
      <c r="N185" s="49"/>
      <c r="O185" s="49" t="s">
        <v>306</v>
      </c>
      <c r="P185" s="49" t="s">
        <v>306</v>
      </c>
      <c r="Q185" s="55"/>
      <c r="R185" s="55"/>
      <c r="S185" s="55"/>
      <c r="T185" s="55"/>
      <c r="U185" s="55"/>
      <c r="V185" s="55"/>
      <c r="W185" s="55"/>
      <c r="X185" s="52"/>
      <c r="Y185" s="54"/>
      <c r="Z185" s="54"/>
      <c r="AA185" s="54"/>
      <c r="AB185" s="54"/>
      <c r="AC185" s="54"/>
      <c r="AD185" s="59"/>
      <c r="AE185" s="198"/>
    </row>
    <row r="186" spans="1:31">
      <c r="A186" s="48" t="s">
        <v>227</v>
      </c>
      <c r="B186" s="48" t="s">
        <v>410</v>
      </c>
      <c r="C186" s="48"/>
      <c r="D186" s="50" t="s">
        <v>356</v>
      </c>
      <c r="E186" s="54"/>
      <c r="F186" s="54"/>
      <c r="G186" s="54"/>
      <c r="H186" s="54"/>
      <c r="I186" s="54" t="s">
        <v>306</v>
      </c>
      <c r="J186" s="54"/>
      <c r="K186" s="54"/>
      <c r="L186" s="54"/>
      <c r="M186" s="54"/>
      <c r="N186" s="49"/>
      <c r="O186" s="49" t="s">
        <v>306</v>
      </c>
      <c r="P186" s="49" t="s">
        <v>306</v>
      </c>
      <c r="Q186" s="55"/>
      <c r="R186" s="55"/>
      <c r="S186" s="55"/>
      <c r="T186" s="55"/>
      <c r="U186" s="55"/>
      <c r="V186" s="55"/>
      <c r="W186" s="55"/>
      <c r="X186" s="52"/>
      <c r="Y186" s="54"/>
      <c r="Z186" s="54"/>
      <c r="AA186" s="54"/>
      <c r="AB186" s="54"/>
      <c r="AC186" s="54"/>
      <c r="AD186" s="59"/>
      <c r="AE186" s="198"/>
    </row>
    <row r="187" spans="1:31">
      <c r="A187" s="48" t="s">
        <v>227</v>
      </c>
      <c r="B187" s="48" t="s">
        <v>270</v>
      </c>
      <c r="C187" s="48"/>
      <c r="D187" s="50" t="s">
        <v>269</v>
      </c>
      <c r="E187" s="54"/>
      <c r="F187" s="54"/>
      <c r="G187" s="54"/>
      <c r="H187" s="54"/>
      <c r="I187" s="54" t="s">
        <v>306</v>
      </c>
      <c r="J187" s="54"/>
      <c r="K187" s="54"/>
      <c r="L187" s="54"/>
      <c r="M187" s="54"/>
      <c r="N187" s="49"/>
      <c r="O187" s="49" t="s">
        <v>306</v>
      </c>
      <c r="P187" s="49" t="s">
        <v>306</v>
      </c>
      <c r="Q187" s="55"/>
      <c r="R187" s="55"/>
      <c r="S187" s="55"/>
      <c r="T187" s="55"/>
      <c r="U187" s="55"/>
      <c r="V187" s="55"/>
      <c r="W187" s="55"/>
      <c r="X187" s="52"/>
      <c r="Y187" s="54"/>
      <c r="Z187" s="54"/>
      <c r="AA187" s="54"/>
      <c r="AB187" s="54"/>
      <c r="AC187" s="54"/>
      <c r="AD187" s="59"/>
      <c r="AE187" s="198"/>
    </row>
    <row r="188" spans="1:31">
      <c r="A188" s="48" t="s">
        <v>231</v>
      </c>
      <c r="B188" s="48" t="s">
        <v>413</v>
      </c>
      <c r="C188" s="48"/>
      <c r="D188" s="50" t="s">
        <v>382</v>
      </c>
      <c r="E188" s="54"/>
      <c r="F188" s="54"/>
      <c r="G188" s="54"/>
      <c r="H188" s="54"/>
      <c r="I188" s="54"/>
      <c r="J188" s="54"/>
      <c r="K188" s="54"/>
      <c r="L188" s="54"/>
      <c r="M188" s="54"/>
      <c r="N188" s="49"/>
      <c r="O188" s="49" t="s">
        <v>306</v>
      </c>
      <c r="P188" s="49" t="s">
        <v>306</v>
      </c>
      <c r="Q188" s="55"/>
      <c r="R188" s="55"/>
      <c r="S188" s="55"/>
      <c r="T188" s="55"/>
      <c r="U188" s="55"/>
      <c r="V188" s="55"/>
      <c r="W188" s="55"/>
      <c r="X188" s="52"/>
      <c r="Y188" s="54"/>
      <c r="Z188" s="54"/>
      <c r="AA188" s="54"/>
      <c r="AB188" s="54"/>
      <c r="AC188" s="54"/>
      <c r="AD188" s="59"/>
      <c r="AE188" s="198"/>
    </row>
    <row r="189" spans="1:31">
      <c r="A189" s="48" t="s">
        <v>227</v>
      </c>
      <c r="B189" s="48" t="s">
        <v>385</v>
      </c>
      <c r="C189" s="48"/>
      <c r="D189" s="50" t="s">
        <v>148</v>
      </c>
      <c r="E189" s="54"/>
      <c r="F189" s="54"/>
      <c r="G189" s="54"/>
      <c r="H189" s="54"/>
      <c r="I189" s="54"/>
      <c r="J189" s="54"/>
      <c r="K189" s="54"/>
      <c r="L189" s="54"/>
      <c r="M189" s="54" t="s">
        <v>306</v>
      </c>
      <c r="N189" s="49"/>
      <c r="O189" s="49" t="s">
        <v>306</v>
      </c>
      <c r="P189" s="49" t="s">
        <v>306</v>
      </c>
      <c r="Q189" s="55"/>
      <c r="R189" s="55"/>
      <c r="S189" s="55"/>
      <c r="T189" s="55"/>
      <c r="U189" s="55"/>
      <c r="V189" s="55"/>
      <c r="W189" s="55"/>
      <c r="X189" s="52"/>
      <c r="Y189" s="54"/>
      <c r="Z189" s="54"/>
      <c r="AA189" s="54"/>
      <c r="AB189" s="54"/>
      <c r="AC189" s="54"/>
      <c r="AD189" s="59"/>
      <c r="AE189" s="198"/>
    </row>
    <row r="190" spans="1:31">
      <c r="A190" s="48" t="s">
        <v>227</v>
      </c>
      <c r="B190" s="48" t="s">
        <v>385</v>
      </c>
      <c r="C190" s="48"/>
      <c r="D190" s="50" t="s">
        <v>149</v>
      </c>
      <c r="E190" s="54"/>
      <c r="F190" s="54"/>
      <c r="G190" s="54"/>
      <c r="H190" s="54"/>
      <c r="I190" s="54"/>
      <c r="J190" s="54"/>
      <c r="K190" s="54"/>
      <c r="L190" s="54"/>
      <c r="M190" s="54" t="s">
        <v>306</v>
      </c>
      <c r="N190" s="49"/>
      <c r="O190" s="49" t="s">
        <v>306</v>
      </c>
      <c r="P190" s="49" t="s">
        <v>306</v>
      </c>
      <c r="Q190" s="55"/>
      <c r="R190" s="55"/>
      <c r="S190" s="55"/>
      <c r="T190" s="55"/>
      <c r="U190" s="55"/>
      <c r="V190" s="55"/>
      <c r="W190" s="55"/>
      <c r="X190" s="52"/>
      <c r="Y190" s="54"/>
      <c r="Z190" s="54"/>
      <c r="AA190" s="54"/>
      <c r="AB190" s="54"/>
      <c r="AC190" s="54"/>
      <c r="AD190" s="59"/>
      <c r="AE190" s="198"/>
    </row>
    <row r="191" spans="1:31">
      <c r="A191" s="48" t="s">
        <v>227</v>
      </c>
      <c r="B191" s="48" t="s">
        <v>387</v>
      </c>
      <c r="C191" s="48"/>
      <c r="D191" s="50" t="s">
        <v>150</v>
      </c>
      <c r="E191" s="54"/>
      <c r="F191" s="54"/>
      <c r="G191" s="54"/>
      <c r="H191" s="54"/>
      <c r="I191" s="54"/>
      <c r="J191" s="54"/>
      <c r="K191" s="54"/>
      <c r="L191" s="54"/>
      <c r="M191" s="54" t="s">
        <v>306</v>
      </c>
      <c r="N191" s="49"/>
      <c r="O191" s="49" t="s">
        <v>306</v>
      </c>
      <c r="P191" s="49" t="s">
        <v>306</v>
      </c>
      <c r="Q191" s="55"/>
      <c r="R191" s="55"/>
      <c r="S191" s="55"/>
      <c r="T191" s="55"/>
      <c r="U191" s="55"/>
      <c r="V191" s="55"/>
      <c r="W191" s="55"/>
      <c r="X191" s="52"/>
      <c r="Y191" s="54"/>
      <c r="Z191" s="54"/>
      <c r="AA191" s="54"/>
      <c r="AB191" s="54"/>
      <c r="AC191" s="54"/>
      <c r="AD191" s="59"/>
      <c r="AE191" s="198"/>
    </row>
    <row r="192" spans="1:31">
      <c r="A192" s="48" t="s">
        <v>227</v>
      </c>
      <c r="B192" s="48" t="s">
        <v>387</v>
      </c>
      <c r="C192" s="48"/>
      <c r="D192" s="50" t="s">
        <v>53</v>
      </c>
      <c r="E192" s="54"/>
      <c r="F192" s="54"/>
      <c r="G192" s="54"/>
      <c r="H192" s="54"/>
      <c r="I192" s="54"/>
      <c r="J192" s="54"/>
      <c r="K192" s="54"/>
      <c r="L192" s="54"/>
      <c r="M192" s="54" t="s">
        <v>306</v>
      </c>
      <c r="N192" s="49"/>
      <c r="O192" s="49" t="s">
        <v>306</v>
      </c>
      <c r="P192" s="49" t="s">
        <v>306</v>
      </c>
      <c r="Q192" s="55"/>
      <c r="R192" s="55"/>
      <c r="S192" s="55"/>
      <c r="T192" s="55"/>
      <c r="U192" s="55"/>
      <c r="V192" s="55"/>
      <c r="W192" s="55"/>
      <c r="X192" s="52"/>
      <c r="Y192" s="54"/>
      <c r="Z192" s="54"/>
      <c r="AA192" s="54"/>
      <c r="AB192" s="54"/>
      <c r="AC192" s="54"/>
      <c r="AD192" s="59"/>
      <c r="AE192" s="198"/>
    </row>
    <row r="193" spans="1:31">
      <c r="A193" s="48" t="s">
        <v>227</v>
      </c>
      <c r="B193" s="48" t="s">
        <v>388</v>
      </c>
      <c r="C193" s="48"/>
      <c r="D193" s="50" t="s">
        <v>52</v>
      </c>
      <c r="E193" s="54"/>
      <c r="F193" s="54"/>
      <c r="G193" s="54"/>
      <c r="H193" s="54"/>
      <c r="I193" s="54"/>
      <c r="J193" s="54"/>
      <c r="K193" s="54"/>
      <c r="L193" s="54"/>
      <c r="M193" s="54" t="s">
        <v>306</v>
      </c>
      <c r="N193" s="49"/>
      <c r="O193" s="49" t="s">
        <v>306</v>
      </c>
      <c r="P193" s="49" t="s">
        <v>306</v>
      </c>
      <c r="Q193" s="55"/>
      <c r="R193" s="55"/>
      <c r="S193" s="55"/>
      <c r="T193" s="55"/>
      <c r="U193" s="55"/>
      <c r="V193" s="55"/>
      <c r="W193" s="55"/>
      <c r="X193" s="52"/>
      <c r="Y193" s="54"/>
      <c r="Z193" s="54"/>
      <c r="AA193" s="54"/>
      <c r="AB193" s="54"/>
      <c r="AC193" s="54"/>
      <c r="AD193" s="59"/>
      <c r="AE193" s="198"/>
    </row>
    <row r="194" spans="1:31">
      <c r="A194" s="48" t="s">
        <v>231</v>
      </c>
      <c r="B194" s="48" t="s">
        <v>48</v>
      </c>
      <c r="C194" s="48"/>
      <c r="D194" s="50" t="s">
        <v>47</v>
      </c>
      <c r="E194" s="54"/>
      <c r="F194" s="54"/>
      <c r="G194" s="54"/>
      <c r="H194" s="54"/>
      <c r="I194" s="54"/>
      <c r="J194" s="54"/>
      <c r="K194" s="54"/>
      <c r="L194" s="54" t="s">
        <v>306</v>
      </c>
      <c r="M194" s="54" t="s">
        <v>306</v>
      </c>
      <c r="N194" s="49"/>
      <c r="O194" s="49" t="s">
        <v>306</v>
      </c>
      <c r="P194" s="49" t="s">
        <v>306</v>
      </c>
      <c r="Q194" s="55"/>
      <c r="R194" s="55"/>
      <c r="S194" s="55"/>
      <c r="T194" s="55"/>
      <c r="U194" s="55"/>
      <c r="V194" s="55"/>
      <c r="W194" s="55"/>
      <c r="X194" s="52"/>
      <c r="Y194" s="54"/>
      <c r="Z194" s="54"/>
      <c r="AA194" s="54"/>
      <c r="AB194" s="54"/>
      <c r="AC194" s="54"/>
      <c r="AD194" s="59"/>
      <c r="AE194" s="198"/>
    </row>
    <row r="195" spans="1:31">
      <c r="A195" s="48" t="s">
        <v>227</v>
      </c>
      <c r="B195" s="48" t="s">
        <v>243</v>
      </c>
      <c r="C195" s="48"/>
      <c r="D195" s="50" t="s">
        <v>75</v>
      </c>
      <c r="E195" s="54"/>
      <c r="F195" s="54"/>
      <c r="G195" s="54"/>
      <c r="H195" s="54"/>
      <c r="I195" s="54"/>
      <c r="J195" s="54"/>
      <c r="K195" s="54"/>
      <c r="L195" s="54"/>
      <c r="M195" s="54"/>
      <c r="N195" s="49"/>
      <c r="O195" s="49" t="s">
        <v>306</v>
      </c>
      <c r="P195" s="49" t="s">
        <v>306</v>
      </c>
      <c r="Q195" s="55"/>
      <c r="R195" s="55"/>
      <c r="S195" s="55"/>
      <c r="T195" s="55"/>
      <c r="U195" s="55"/>
      <c r="V195" s="55"/>
      <c r="W195" s="55"/>
      <c r="X195" s="52"/>
      <c r="Y195" s="54"/>
      <c r="Z195" s="54"/>
      <c r="AA195" s="54"/>
      <c r="AB195" s="54"/>
      <c r="AC195" s="54"/>
      <c r="AD195" s="59"/>
      <c r="AE195" s="198"/>
    </row>
    <row r="196" spans="1:31">
      <c r="A196" s="48" t="s">
        <v>227</v>
      </c>
      <c r="B196" s="48" t="s">
        <v>244</v>
      </c>
      <c r="C196" s="48"/>
      <c r="D196" s="50" t="s">
        <v>76</v>
      </c>
      <c r="E196" s="54"/>
      <c r="F196" s="54"/>
      <c r="G196" s="54"/>
      <c r="H196" s="54"/>
      <c r="I196" s="54"/>
      <c r="J196" s="54"/>
      <c r="K196" s="54"/>
      <c r="L196" s="54"/>
      <c r="M196" s="54"/>
      <c r="N196" s="49"/>
      <c r="O196" s="49" t="s">
        <v>306</v>
      </c>
      <c r="P196" s="49" t="s">
        <v>306</v>
      </c>
      <c r="Q196" s="55"/>
      <c r="R196" s="55"/>
      <c r="S196" s="55"/>
      <c r="T196" s="55"/>
      <c r="U196" s="55"/>
      <c r="V196" s="55"/>
      <c r="W196" s="55"/>
      <c r="X196" s="52"/>
      <c r="Y196" s="54"/>
      <c r="Z196" s="54"/>
      <c r="AA196" s="54"/>
      <c r="AB196" s="54"/>
      <c r="AC196" s="54"/>
      <c r="AD196" s="59"/>
      <c r="AE196" s="198"/>
    </row>
    <row r="197" spans="1:31">
      <c r="A197" s="48" t="s">
        <v>234</v>
      </c>
      <c r="B197" s="48" t="s">
        <v>98</v>
      </c>
      <c r="C197" s="48"/>
      <c r="D197" s="50" t="s">
        <v>97</v>
      </c>
      <c r="E197" s="54" t="s">
        <v>306</v>
      </c>
      <c r="F197" s="54"/>
      <c r="G197" s="54" t="s">
        <v>306</v>
      </c>
      <c r="H197" s="54" t="s">
        <v>306</v>
      </c>
      <c r="I197" s="54"/>
      <c r="J197" s="54" t="s">
        <v>306</v>
      </c>
      <c r="K197" s="54" t="s">
        <v>306</v>
      </c>
      <c r="L197" s="54" t="s">
        <v>306</v>
      </c>
      <c r="M197" s="54" t="s">
        <v>306</v>
      </c>
      <c r="N197" s="49"/>
      <c r="O197" s="49" t="s">
        <v>306</v>
      </c>
      <c r="P197" s="49" t="s">
        <v>306</v>
      </c>
      <c r="Q197" s="55" t="s">
        <v>306</v>
      </c>
      <c r="R197" s="55"/>
      <c r="S197" s="55"/>
      <c r="T197" s="55"/>
      <c r="U197" s="55"/>
      <c r="V197" s="55" t="s">
        <v>306</v>
      </c>
      <c r="W197" s="55"/>
      <c r="X197" s="52" t="s">
        <v>306</v>
      </c>
      <c r="Y197" s="54"/>
      <c r="Z197" s="54"/>
      <c r="AA197" s="54"/>
      <c r="AB197" s="54"/>
      <c r="AC197" s="54" t="s">
        <v>306</v>
      </c>
      <c r="AD197" s="59"/>
      <c r="AE197" s="198"/>
    </row>
    <row r="198" spans="1:31">
      <c r="A198" s="48" t="s">
        <v>234</v>
      </c>
      <c r="B198" s="48" t="s">
        <v>649</v>
      </c>
      <c r="C198" s="48"/>
      <c r="D198" s="50" t="s">
        <v>321</v>
      </c>
      <c r="E198" s="54" t="s">
        <v>306</v>
      </c>
      <c r="F198" s="54"/>
      <c r="G198" s="54" t="s">
        <v>306</v>
      </c>
      <c r="H198" s="54" t="s">
        <v>306</v>
      </c>
      <c r="I198" s="54"/>
      <c r="J198" s="54" t="s">
        <v>306</v>
      </c>
      <c r="K198" s="54" t="s">
        <v>306</v>
      </c>
      <c r="L198" s="54" t="s">
        <v>306</v>
      </c>
      <c r="M198" s="54" t="s">
        <v>306</v>
      </c>
      <c r="N198" s="49"/>
      <c r="O198" s="49" t="s">
        <v>306</v>
      </c>
      <c r="P198" s="49" t="s">
        <v>306</v>
      </c>
      <c r="Q198" s="55" t="s">
        <v>306</v>
      </c>
      <c r="R198" s="55"/>
      <c r="S198" s="55"/>
      <c r="T198" s="55"/>
      <c r="U198" s="55"/>
      <c r="V198" s="55" t="s">
        <v>306</v>
      </c>
      <c r="W198" s="55"/>
      <c r="X198" s="52" t="s">
        <v>306</v>
      </c>
      <c r="Y198" s="54"/>
      <c r="Z198" s="54"/>
      <c r="AA198" s="54"/>
      <c r="AB198" s="54"/>
      <c r="AC198" s="54" t="s">
        <v>306</v>
      </c>
      <c r="AD198" s="59"/>
      <c r="AE198" s="198"/>
    </row>
    <row r="199" spans="1:31">
      <c r="A199" s="48" t="s">
        <v>232</v>
      </c>
      <c r="B199" s="48" t="s">
        <v>649</v>
      </c>
      <c r="C199" s="48"/>
      <c r="D199" s="50" t="s">
        <v>321</v>
      </c>
      <c r="E199" s="54" t="s">
        <v>306</v>
      </c>
      <c r="F199" s="54"/>
      <c r="G199" s="54" t="s">
        <v>306</v>
      </c>
      <c r="H199" s="54" t="s">
        <v>306</v>
      </c>
      <c r="I199" s="54"/>
      <c r="J199" s="54" t="s">
        <v>306</v>
      </c>
      <c r="K199" s="54" t="s">
        <v>306</v>
      </c>
      <c r="L199" s="54" t="s">
        <v>306</v>
      </c>
      <c r="M199" s="54" t="s">
        <v>306</v>
      </c>
      <c r="N199" s="49"/>
      <c r="O199" s="49" t="s">
        <v>306</v>
      </c>
      <c r="P199" s="49" t="s">
        <v>306</v>
      </c>
      <c r="Q199" s="55" t="s">
        <v>306</v>
      </c>
      <c r="R199" s="55"/>
      <c r="S199" s="55"/>
      <c r="T199" s="55"/>
      <c r="U199" s="55"/>
      <c r="V199" s="55" t="s">
        <v>306</v>
      </c>
      <c r="W199" s="55"/>
      <c r="X199" s="52" t="s">
        <v>306</v>
      </c>
      <c r="Y199" s="54"/>
      <c r="Z199" s="54"/>
      <c r="AA199" s="54"/>
      <c r="AB199" s="54"/>
      <c r="AC199" s="54" t="s">
        <v>306</v>
      </c>
      <c r="AD199" s="59"/>
      <c r="AE199" s="198"/>
    </row>
    <row r="200" spans="1:31">
      <c r="A200" s="48" t="s">
        <v>232</v>
      </c>
      <c r="B200" s="48" t="s">
        <v>649</v>
      </c>
      <c r="C200" s="48"/>
      <c r="D200" s="50" t="s">
        <v>146</v>
      </c>
      <c r="E200" s="54" t="s">
        <v>306</v>
      </c>
      <c r="F200" s="54"/>
      <c r="G200" s="54" t="s">
        <v>306</v>
      </c>
      <c r="H200" s="54" t="s">
        <v>306</v>
      </c>
      <c r="I200" s="54"/>
      <c r="J200" s="54" t="s">
        <v>306</v>
      </c>
      <c r="K200" s="54" t="s">
        <v>306</v>
      </c>
      <c r="L200" s="54" t="s">
        <v>306</v>
      </c>
      <c r="M200" s="54" t="s">
        <v>306</v>
      </c>
      <c r="N200" s="49"/>
      <c r="O200" s="49" t="s">
        <v>306</v>
      </c>
      <c r="P200" s="49" t="s">
        <v>306</v>
      </c>
      <c r="Q200" s="55" t="s">
        <v>306</v>
      </c>
      <c r="R200" s="55"/>
      <c r="S200" s="55"/>
      <c r="T200" s="55"/>
      <c r="U200" s="55"/>
      <c r="V200" s="55" t="s">
        <v>306</v>
      </c>
      <c r="W200" s="55"/>
      <c r="X200" s="52" t="s">
        <v>306</v>
      </c>
      <c r="Y200" s="54"/>
      <c r="Z200" s="54"/>
      <c r="AA200" s="54"/>
      <c r="AB200" s="54"/>
      <c r="AC200" s="54" t="s">
        <v>306</v>
      </c>
      <c r="AD200" s="59"/>
      <c r="AE200" s="198"/>
    </row>
    <row r="201" spans="1:31">
      <c r="A201" s="48" t="s">
        <v>234</v>
      </c>
      <c r="B201" s="48" t="s">
        <v>649</v>
      </c>
      <c r="C201" s="48"/>
      <c r="D201" s="50" t="s">
        <v>146</v>
      </c>
      <c r="E201" s="54" t="s">
        <v>306</v>
      </c>
      <c r="F201" s="54"/>
      <c r="G201" s="54" t="s">
        <v>306</v>
      </c>
      <c r="H201" s="54" t="s">
        <v>306</v>
      </c>
      <c r="I201" s="54"/>
      <c r="J201" s="54" t="s">
        <v>306</v>
      </c>
      <c r="K201" s="54" t="s">
        <v>306</v>
      </c>
      <c r="L201" s="54" t="s">
        <v>306</v>
      </c>
      <c r="M201" s="54" t="s">
        <v>306</v>
      </c>
      <c r="N201" s="49"/>
      <c r="O201" s="49" t="s">
        <v>306</v>
      </c>
      <c r="P201" s="49" t="s">
        <v>306</v>
      </c>
      <c r="Q201" s="55" t="s">
        <v>306</v>
      </c>
      <c r="R201" s="55"/>
      <c r="S201" s="55"/>
      <c r="T201" s="55"/>
      <c r="U201" s="55"/>
      <c r="V201" s="55" t="s">
        <v>306</v>
      </c>
      <c r="W201" s="55"/>
      <c r="X201" s="52" t="s">
        <v>306</v>
      </c>
      <c r="Y201" s="54"/>
      <c r="Z201" s="54"/>
      <c r="AA201" s="54"/>
      <c r="AB201" s="54"/>
      <c r="AC201" s="54" t="s">
        <v>306</v>
      </c>
      <c r="AD201" s="59"/>
      <c r="AE201" s="198"/>
    </row>
    <row r="202" spans="1:31">
      <c r="A202" s="48" t="s">
        <v>232</v>
      </c>
      <c r="B202" s="48" t="s">
        <v>98</v>
      </c>
      <c r="C202" s="48"/>
      <c r="D202" s="50" t="s">
        <v>97</v>
      </c>
      <c r="E202" s="54" t="s">
        <v>306</v>
      </c>
      <c r="F202" s="54"/>
      <c r="G202" s="54" t="s">
        <v>306</v>
      </c>
      <c r="H202" s="54" t="s">
        <v>306</v>
      </c>
      <c r="I202" s="54"/>
      <c r="J202" s="54" t="s">
        <v>306</v>
      </c>
      <c r="K202" s="54" t="s">
        <v>306</v>
      </c>
      <c r="L202" s="54" t="s">
        <v>306</v>
      </c>
      <c r="M202" s="54" t="s">
        <v>306</v>
      </c>
      <c r="N202" s="49"/>
      <c r="O202" s="49" t="s">
        <v>306</v>
      </c>
      <c r="P202" s="49" t="s">
        <v>306</v>
      </c>
      <c r="Q202" s="55" t="s">
        <v>306</v>
      </c>
      <c r="R202" s="55"/>
      <c r="S202" s="55"/>
      <c r="T202" s="55"/>
      <c r="U202" s="55"/>
      <c r="V202" s="55" t="s">
        <v>306</v>
      </c>
      <c r="W202" s="55"/>
      <c r="X202" s="52" t="s">
        <v>306</v>
      </c>
      <c r="Y202" s="54"/>
      <c r="Z202" s="54"/>
      <c r="AA202" s="54"/>
      <c r="AB202" s="54"/>
      <c r="AC202" s="54" t="s">
        <v>306</v>
      </c>
      <c r="AD202" s="59"/>
      <c r="AE202" s="198"/>
    </row>
    <row r="203" spans="1:31">
      <c r="A203" s="48" t="s">
        <v>232</v>
      </c>
      <c r="B203" s="48" t="s">
        <v>90</v>
      </c>
      <c r="C203" s="48"/>
      <c r="D203" s="50" t="s">
        <v>89</v>
      </c>
      <c r="E203" s="54" t="s">
        <v>306</v>
      </c>
      <c r="F203" s="54"/>
      <c r="G203" s="54" t="s">
        <v>306</v>
      </c>
      <c r="H203" s="54" t="s">
        <v>306</v>
      </c>
      <c r="I203" s="54"/>
      <c r="J203" s="54" t="s">
        <v>306</v>
      </c>
      <c r="K203" s="54" t="s">
        <v>306</v>
      </c>
      <c r="L203" s="54" t="s">
        <v>306</v>
      </c>
      <c r="M203" s="54" t="s">
        <v>306</v>
      </c>
      <c r="N203" s="49" t="s">
        <v>306</v>
      </c>
      <c r="O203" s="49" t="s">
        <v>306</v>
      </c>
      <c r="P203" s="49" t="s">
        <v>306</v>
      </c>
      <c r="Q203" s="55" t="s">
        <v>306</v>
      </c>
      <c r="R203" s="55"/>
      <c r="S203" s="55"/>
      <c r="T203" s="55"/>
      <c r="U203" s="55"/>
      <c r="V203" s="55" t="s">
        <v>306</v>
      </c>
      <c r="W203" s="55"/>
      <c r="X203" s="52" t="s">
        <v>306</v>
      </c>
      <c r="Y203" s="54"/>
      <c r="Z203" s="54"/>
      <c r="AA203" s="54"/>
      <c r="AB203" s="54"/>
      <c r="AC203" s="54" t="s">
        <v>306</v>
      </c>
      <c r="AD203" s="59"/>
      <c r="AE203" s="198"/>
    </row>
    <row r="204" spans="1:31">
      <c r="A204" s="48" t="s">
        <v>234</v>
      </c>
      <c r="B204" s="48" t="s">
        <v>90</v>
      </c>
      <c r="C204" s="48"/>
      <c r="D204" s="50" t="s">
        <v>89</v>
      </c>
      <c r="E204" s="54" t="s">
        <v>306</v>
      </c>
      <c r="F204" s="54"/>
      <c r="G204" s="54" t="s">
        <v>306</v>
      </c>
      <c r="H204" s="54" t="s">
        <v>306</v>
      </c>
      <c r="I204" s="54"/>
      <c r="J204" s="54" t="s">
        <v>306</v>
      </c>
      <c r="K204" s="54" t="s">
        <v>306</v>
      </c>
      <c r="L204" s="54" t="s">
        <v>306</v>
      </c>
      <c r="M204" s="54" t="s">
        <v>306</v>
      </c>
      <c r="N204" s="49" t="s">
        <v>306</v>
      </c>
      <c r="O204" s="49" t="s">
        <v>306</v>
      </c>
      <c r="P204" s="49" t="s">
        <v>306</v>
      </c>
      <c r="Q204" s="55" t="s">
        <v>306</v>
      </c>
      <c r="R204" s="55"/>
      <c r="S204" s="55"/>
      <c r="T204" s="55"/>
      <c r="U204" s="55"/>
      <c r="V204" s="55" t="s">
        <v>306</v>
      </c>
      <c r="W204" s="55"/>
      <c r="X204" s="52" t="s">
        <v>306</v>
      </c>
      <c r="Y204" s="54"/>
      <c r="Z204" s="54"/>
      <c r="AA204" s="54"/>
      <c r="AB204" s="54"/>
      <c r="AC204" s="54" t="s">
        <v>306</v>
      </c>
      <c r="AD204" s="59"/>
      <c r="AE204" s="198"/>
    </row>
    <row r="205" spans="1:31">
      <c r="A205" s="48" t="s">
        <v>234</v>
      </c>
      <c r="B205" s="48" t="s">
        <v>92</v>
      </c>
      <c r="C205" s="48"/>
      <c r="D205" s="50" t="s">
        <v>326</v>
      </c>
      <c r="E205" s="54" t="s">
        <v>306</v>
      </c>
      <c r="F205" s="54"/>
      <c r="G205" s="54" t="s">
        <v>306</v>
      </c>
      <c r="H205" s="54" t="s">
        <v>306</v>
      </c>
      <c r="I205" s="54" t="s">
        <v>306</v>
      </c>
      <c r="J205" s="54"/>
      <c r="K205" s="54"/>
      <c r="L205" s="54" t="s">
        <v>306</v>
      </c>
      <c r="M205" s="54" t="s">
        <v>306</v>
      </c>
      <c r="N205" s="49" t="s">
        <v>306</v>
      </c>
      <c r="O205" s="49" t="s">
        <v>306</v>
      </c>
      <c r="P205" s="49" t="s">
        <v>306</v>
      </c>
      <c r="Q205" s="55" t="s">
        <v>306</v>
      </c>
      <c r="R205" s="55"/>
      <c r="S205" s="55"/>
      <c r="T205" s="55"/>
      <c r="U205" s="55"/>
      <c r="V205" s="55" t="s">
        <v>306</v>
      </c>
      <c r="W205" s="55"/>
      <c r="X205" s="52" t="s">
        <v>306</v>
      </c>
      <c r="Y205" s="54"/>
      <c r="Z205" s="54"/>
      <c r="AA205" s="54"/>
      <c r="AB205" s="54"/>
      <c r="AC205" s="54" t="s">
        <v>306</v>
      </c>
      <c r="AD205" s="59"/>
      <c r="AE205" s="198"/>
    </row>
    <row r="206" spans="1:31">
      <c r="A206" s="48" t="s">
        <v>232</v>
      </c>
      <c r="B206" s="48" t="s">
        <v>92</v>
      </c>
      <c r="C206" s="48"/>
      <c r="D206" s="50" t="s">
        <v>326</v>
      </c>
      <c r="E206" s="54" t="s">
        <v>306</v>
      </c>
      <c r="F206" s="54"/>
      <c r="G206" s="54" t="s">
        <v>306</v>
      </c>
      <c r="H206" s="54" t="s">
        <v>306</v>
      </c>
      <c r="I206" s="54" t="s">
        <v>306</v>
      </c>
      <c r="J206" s="54"/>
      <c r="K206" s="54"/>
      <c r="L206" s="54" t="s">
        <v>306</v>
      </c>
      <c r="M206" s="54" t="s">
        <v>306</v>
      </c>
      <c r="N206" s="49" t="s">
        <v>306</v>
      </c>
      <c r="O206" s="49" t="s">
        <v>306</v>
      </c>
      <c r="P206" s="49" t="s">
        <v>306</v>
      </c>
      <c r="Q206" s="55" t="s">
        <v>306</v>
      </c>
      <c r="R206" s="55"/>
      <c r="S206" s="55"/>
      <c r="T206" s="55"/>
      <c r="U206" s="55"/>
      <c r="V206" s="55" t="s">
        <v>306</v>
      </c>
      <c r="W206" s="55"/>
      <c r="X206" s="52" t="s">
        <v>306</v>
      </c>
      <c r="Y206" s="54"/>
      <c r="Z206" s="54"/>
      <c r="AA206" s="54"/>
      <c r="AB206" s="54"/>
      <c r="AC206" s="54" t="s">
        <v>306</v>
      </c>
      <c r="AD206" s="59"/>
      <c r="AE206" s="198"/>
    </row>
    <row r="207" spans="1:31">
      <c r="A207" s="48" t="s">
        <v>232</v>
      </c>
      <c r="B207" s="48" t="s">
        <v>92</v>
      </c>
      <c r="C207" s="48"/>
      <c r="D207" s="50" t="s">
        <v>147</v>
      </c>
      <c r="E207" s="54" t="s">
        <v>306</v>
      </c>
      <c r="F207" s="54"/>
      <c r="G207" s="54" t="s">
        <v>306</v>
      </c>
      <c r="H207" s="54" t="s">
        <v>306</v>
      </c>
      <c r="I207" s="54" t="s">
        <v>306</v>
      </c>
      <c r="J207" s="54"/>
      <c r="K207" s="54"/>
      <c r="L207" s="54" t="s">
        <v>306</v>
      </c>
      <c r="M207" s="54" t="s">
        <v>306</v>
      </c>
      <c r="N207" s="49" t="s">
        <v>306</v>
      </c>
      <c r="O207" s="49" t="s">
        <v>306</v>
      </c>
      <c r="P207" s="49" t="s">
        <v>306</v>
      </c>
      <c r="Q207" s="55" t="s">
        <v>306</v>
      </c>
      <c r="R207" s="55"/>
      <c r="S207" s="55"/>
      <c r="T207" s="55"/>
      <c r="U207" s="55"/>
      <c r="V207" s="55" t="s">
        <v>306</v>
      </c>
      <c r="W207" s="55"/>
      <c r="X207" s="52" t="s">
        <v>306</v>
      </c>
      <c r="Y207" s="54"/>
      <c r="Z207" s="54"/>
      <c r="AA207" s="54"/>
      <c r="AB207" s="54"/>
      <c r="AC207" s="54" t="s">
        <v>306</v>
      </c>
      <c r="AD207" s="59"/>
      <c r="AE207" s="198"/>
    </row>
    <row r="208" spans="1:31">
      <c r="A208" s="48" t="s">
        <v>234</v>
      </c>
      <c r="B208" s="48" t="s">
        <v>92</v>
      </c>
      <c r="C208" s="48"/>
      <c r="D208" s="50" t="s">
        <v>147</v>
      </c>
      <c r="E208" s="54" t="s">
        <v>306</v>
      </c>
      <c r="F208" s="54"/>
      <c r="G208" s="54" t="s">
        <v>306</v>
      </c>
      <c r="H208" s="54" t="s">
        <v>306</v>
      </c>
      <c r="I208" s="54" t="s">
        <v>306</v>
      </c>
      <c r="J208" s="54"/>
      <c r="K208" s="54"/>
      <c r="L208" s="54" t="s">
        <v>306</v>
      </c>
      <c r="M208" s="54" t="s">
        <v>306</v>
      </c>
      <c r="N208" s="49" t="s">
        <v>306</v>
      </c>
      <c r="O208" s="49" t="s">
        <v>306</v>
      </c>
      <c r="P208" s="49" t="s">
        <v>306</v>
      </c>
      <c r="Q208" s="55" t="s">
        <v>306</v>
      </c>
      <c r="R208" s="55"/>
      <c r="S208" s="55"/>
      <c r="T208" s="55"/>
      <c r="U208" s="55"/>
      <c r="V208" s="55" t="s">
        <v>306</v>
      </c>
      <c r="W208" s="55"/>
      <c r="X208" s="52" t="s">
        <v>306</v>
      </c>
      <c r="Y208" s="54"/>
      <c r="Z208" s="54"/>
      <c r="AA208" s="54"/>
      <c r="AB208" s="54"/>
      <c r="AC208" s="54" t="s">
        <v>306</v>
      </c>
      <c r="AD208" s="59"/>
      <c r="AE208" s="198"/>
    </row>
    <row r="209" spans="1:31">
      <c r="A209" s="48" t="s">
        <v>234</v>
      </c>
      <c r="B209" s="48" t="s">
        <v>414</v>
      </c>
      <c r="C209" s="48"/>
      <c r="D209" s="50" t="s">
        <v>96</v>
      </c>
      <c r="E209" s="54" t="s">
        <v>306</v>
      </c>
      <c r="F209" s="54"/>
      <c r="G209" s="54" t="s">
        <v>306</v>
      </c>
      <c r="H209" s="54" t="s">
        <v>306</v>
      </c>
      <c r="I209" s="54" t="s">
        <v>306</v>
      </c>
      <c r="J209" s="54"/>
      <c r="K209" s="54"/>
      <c r="L209" s="54" t="s">
        <v>306</v>
      </c>
      <c r="M209" s="54" t="s">
        <v>306</v>
      </c>
      <c r="N209" s="49" t="s">
        <v>306</v>
      </c>
      <c r="O209" s="49" t="s">
        <v>306</v>
      </c>
      <c r="P209" s="49" t="s">
        <v>306</v>
      </c>
      <c r="Q209" s="55" t="s">
        <v>306</v>
      </c>
      <c r="R209" s="55"/>
      <c r="S209" s="55"/>
      <c r="T209" s="55"/>
      <c r="U209" s="55"/>
      <c r="V209" s="55" t="s">
        <v>306</v>
      </c>
      <c r="W209" s="55"/>
      <c r="X209" s="52" t="s">
        <v>306</v>
      </c>
      <c r="Y209" s="54"/>
      <c r="Z209" s="54"/>
      <c r="AA209" s="54"/>
      <c r="AB209" s="54"/>
      <c r="AC209" s="54" t="s">
        <v>306</v>
      </c>
      <c r="AD209" s="59"/>
      <c r="AE209" s="198"/>
    </row>
    <row r="210" spans="1:31">
      <c r="A210" s="48" t="s">
        <v>232</v>
      </c>
      <c r="B210" s="48" t="s">
        <v>414</v>
      </c>
      <c r="C210" s="48"/>
      <c r="D210" s="50" t="s">
        <v>96</v>
      </c>
      <c r="E210" s="54" t="s">
        <v>306</v>
      </c>
      <c r="F210" s="54"/>
      <c r="G210" s="54" t="s">
        <v>306</v>
      </c>
      <c r="H210" s="54" t="s">
        <v>306</v>
      </c>
      <c r="I210" s="54" t="s">
        <v>306</v>
      </c>
      <c r="J210" s="54"/>
      <c r="K210" s="54"/>
      <c r="L210" s="54" t="s">
        <v>306</v>
      </c>
      <c r="M210" s="54" t="s">
        <v>306</v>
      </c>
      <c r="N210" s="49" t="s">
        <v>306</v>
      </c>
      <c r="O210" s="49" t="s">
        <v>306</v>
      </c>
      <c r="P210" s="49" t="s">
        <v>306</v>
      </c>
      <c r="Q210" s="55" t="s">
        <v>306</v>
      </c>
      <c r="R210" s="55"/>
      <c r="S210" s="55"/>
      <c r="T210" s="55"/>
      <c r="U210" s="55"/>
      <c r="V210" s="55" t="s">
        <v>306</v>
      </c>
      <c r="W210" s="55"/>
      <c r="X210" s="52" t="s">
        <v>306</v>
      </c>
      <c r="Y210" s="54"/>
      <c r="Z210" s="54"/>
      <c r="AA210" s="54"/>
      <c r="AB210" s="54"/>
      <c r="AC210" s="54" t="s">
        <v>306</v>
      </c>
      <c r="AD210" s="59"/>
      <c r="AE210" s="198"/>
    </row>
    <row r="211" spans="1:31">
      <c r="A211" s="48" t="s">
        <v>232</v>
      </c>
      <c r="B211" s="48" t="s">
        <v>88</v>
      </c>
      <c r="C211" s="48"/>
      <c r="D211" s="50" t="s">
        <v>87</v>
      </c>
      <c r="E211" s="54" t="s">
        <v>306</v>
      </c>
      <c r="F211" s="54"/>
      <c r="G211" s="54" t="s">
        <v>306</v>
      </c>
      <c r="H211" s="54" t="s">
        <v>306</v>
      </c>
      <c r="I211" s="54" t="s">
        <v>306</v>
      </c>
      <c r="J211" s="54"/>
      <c r="K211" s="54" t="s">
        <v>306</v>
      </c>
      <c r="L211" s="54" t="s">
        <v>306</v>
      </c>
      <c r="M211" s="54" t="s">
        <v>306</v>
      </c>
      <c r="N211" s="49" t="s">
        <v>306</v>
      </c>
      <c r="O211" s="49" t="s">
        <v>306</v>
      </c>
      <c r="P211" s="49" t="s">
        <v>306</v>
      </c>
      <c r="Q211" s="55" t="s">
        <v>306</v>
      </c>
      <c r="R211" s="55"/>
      <c r="S211" s="55"/>
      <c r="T211" s="55"/>
      <c r="U211" s="55"/>
      <c r="V211" s="55" t="s">
        <v>306</v>
      </c>
      <c r="W211" s="55"/>
      <c r="X211" s="52" t="s">
        <v>306</v>
      </c>
      <c r="Y211" s="54"/>
      <c r="Z211" s="54"/>
      <c r="AA211" s="54"/>
      <c r="AB211" s="54"/>
      <c r="AC211" s="54" t="s">
        <v>306</v>
      </c>
      <c r="AD211" s="59"/>
      <c r="AE211" s="198"/>
    </row>
    <row r="212" spans="1:31">
      <c r="A212" s="48" t="s">
        <v>234</v>
      </c>
      <c r="B212" s="48" t="s">
        <v>88</v>
      </c>
      <c r="C212" s="48"/>
      <c r="D212" s="50" t="s">
        <v>87</v>
      </c>
      <c r="E212" s="54" t="s">
        <v>306</v>
      </c>
      <c r="F212" s="54"/>
      <c r="G212" s="54" t="s">
        <v>306</v>
      </c>
      <c r="H212" s="54" t="s">
        <v>306</v>
      </c>
      <c r="I212" s="54" t="s">
        <v>306</v>
      </c>
      <c r="J212" s="54"/>
      <c r="K212" s="54" t="s">
        <v>306</v>
      </c>
      <c r="L212" s="54" t="s">
        <v>306</v>
      </c>
      <c r="M212" s="54" t="s">
        <v>306</v>
      </c>
      <c r="N212" s="49" t="s">
        <v>306</v>
      </c>
      <c r="O212" s="49" t="s">
        <v>306</v>
      </c>
      <c r="P212" s="49" t="s">
        <v>306</v>
      </c>
      <c r="Q212" s="55" t="s">
        <v>306</v>
      </c>
      <c r="R212" s="55"/>
      <c r="S212" s="55"/>
      <c r="T212" s="55"/>
      <c r="U212" s="55"/>
      <c r="V212" s="55" t="s">
        <v>306</v>
      </c>
      <c r="W212" s="55"/>
      <c r="X212" s="52" t="s">
        <v>306</v>
      </c>
      <c r="Y212" s="54"/>
      <c r="Z212" s="54"/>
      <c r="AA212" s="54"/>
      <c r="AB212" s="54"/>
      <c r="AC212" s="54" t="s">
        <v>306</v>
      </c>
      <c r="AD212" s="59"/>
      <c r="AE212" s="198"/>
    </row>
    <row r="213" spans="1:31">
      <c r="A213" s="200"/>
      <c r="B213" s="200"/>
      <c r="C213" s="200"/>
      <c r="D213" s="201"/>
      <c r="E213" s="201"/>
      <c r="F213" s="201"/>
      <c r="G213" s="201"/>
      <c r="H213" s="201"/>
      <c r="I213" s="201"/>
      <c r="J213" s="201"/>
      <c r="K213" s="201"/>
      <c r="L213" s="201"/>
      <c r="M213" s="201"/>
      <c r="N213" s="201"/>
      <c r="O213" s="201"/>
      <c r="P213" s="201"/>
      <c r="Q213" s="201"/>
      <c r="R213" s="201"/>
      <c r="S213" s="201"/>
      <c r="T213" s="201"/>
      <c r="U213" s="201"/>
      <c r="V213" s="201"/>
      <c r="W213" s="201"/>
      <c r="X213" s="201"/>
      <c r="Y213" s="201"/>
      <c r="Z213" s="201"/>
      <c r="AA213" s="201"/>
      <c r="AB213" s="201"/>
      <c r="AC213" s="201"/>
      <c r="AD213" s="201"/>
      <c r="AE213" s="202"/>
    </row>
    <row r="214" spans="1:31">
      <c r="A214" s="199" t="s">
        <v>430</v>
      </c>
      <c r="B214" s="199" t="s">
        <v>430</v>
      </c>
      <c r="C214" s="199" t="s">
        <v>430</v>
      </c>
      <c r="D214" s="199" t="s">
        <v>731</v>
      </c>
      <c r="E214" s="199"/>
      <c r="F214" s="199"/>
      <c r="G214" s="199"/>
      <c r="H214" s="199"/>
      <c r="I214" s="199"/>
      <c r="J214" s="199"/>
      <c r="K214" s="199"/>
      <c r="L214" s="199"/>
      <c r="M214" s="199"/>
      <c r="N214" s="199"/>
      <c r="O214" s="199" t="s">
        <v>306</v>
      </c>
      <c r="P214" s="199" t="s">
        <v>306</v>
      </c>
      <c r="Q214" s="199"/>
      <c r="R214" s="199"/>
      <c r="S214" s="199"/>
      <c r="T214" s="199"/>
      <c r="U214" s="199"/>
      <c r="V214" s="199"/>
      <c r="W214" s="199"/>
      <c r="X214" s="199"/>
      <c r="Y214" s="199"/>
      <c r="Z214" s="199"/>
      <c r="AA214" s="199"/>
      <c r="AB214" s="199"/>
      <c r="AC214" s="199"/>
      <c r="AD214" s="199"/>
      <c r="AE214" s="198"/>
    </row>
    <row r="215" spans="1:31">
      <c r="A215" s="199" t="s">
        <v>430</v>
      </c>
      <c r="B215" s="199" t="s">
        <v>430</v>
      </c>
      <c r="C215" s="199" t="s">
        <v>430</v>
      </c>
      <c r="D215" s="199" t="s">
        <v>732</v>
      </c>
      <c r="E215" s="199"/>
      <c r="F215" s="199"/>
      <c r="G215" s="199"/>
      <c r="H215" s="199"/>
      <c r="I215" s="199" t="s">
        <v>306</v>
      </c>
      <c r="J215" s="199"/>
      <c r="K215" s="199"/>
      <c r="L215" s="199"/>
      <c r="M215" s="199"/>
      <c r="N215" s="199"/>
      <c r="O215" s="199" t="s">
        <v>306</v>
      </c>
      <c r="P215" s="199" t="s">
        <v>306</v>
      </c>
      <c r="Q215" s="199"/>
      <c r="R215" s="199"/>
      <c r="S215" s="199"/>
      <c r="T215" s="199"/>
      <c r="U215" s="199"/>
      <c r="V215" s="199"/>
      <c r="W215" s="199"/>
      <c r="X215" s="199"/>
      <c r="Y215" s="199"/>
      <c r="Z215" s="199"/>
      <c r="AA215" s="199"/>
      <c r="AB215" s="199"/>
      <c r="AC215" s="199"/>
      <c r="AD215" s="199"/>
      <c r="AE215" s="198"/>
    </row>
    <row r="216" spans="1:31">
      <c r="A216" s="199" t="s">
        <v>430</v>
      </c>
      <c r="B216" s="199" t="s">
        <v>430</v>
      </c>
      <c r="C216" s="199" t="s">
        <v>430</v>
      </c>
      <c r="D216" s="199" t="s">
        <v>733</v>
      </c>
      <c r="E216" s="199"/>
      <c r="F216" s="199"/>
      <c r="G216" s="199"/>
      <c r="H216" s="199"/>
      <c r="I216" s="199" t="s">
        <v>306</v>
      </c>
      <c r="J216" s="199"/>
      <c r="K216" s="199"/>
      <c r="L216" s="199"/>
      <c r="M216" s="199"/>
      <c r="N216" s="199"/>
      <c r="O216" s="199" t="s">
        <v>306</v>
      </c>
      <c r="P216" s="199" t="s">
        <v>306</v>
      </c>
      <c r="Q216" s="199"/>
      <c r="R216" s="199"/>
      <c r="S216" s="199"/>
      <c r="T216" s="199"/>
      <c r="U216" s="199"/>
      <c r="V216" s="199"/>
      <c r="W216" s="199"/>
      <c r="X216" s="199"/>
      <c r="Y216" s="199"/>
      <c r="Z216" s="199"/>
      <c r="AA216" s="199"/>
      <c r="AB216" s="199"/>
      <c r="AC216" s="199"/>
      <c r="AD216" s="199"/>
      <c r="AE216" s="198"/>
    </row>
  </sheetData>
  <autoFilter ref="A1:AD212"/>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theme="0" tint="-0.499984740745262"/>
  </sheetPr>
  <dimension ref="A1:H836"/>
  <sheetViews>
    <sheetView showGridLines="0" zoomScale="90" zoomScaleNormal="90" workbookViewId="0"/>
  </sheetViews>
  <sheetFormatPr baseColWidth="10" defaultRowHeight="15"/>
  <cols>
    <col min="1" max="1" width="16.5703125" customWidth="1"/>
    <col min="2" max="2" width="21.28515625" style="191" customWidth="1"/>
    <col min="3" max="3" width="17.28515625" style="191" customWidth="1"/>
    <col min="4" max="4" width="23.85546875" customWidth="1"/>
    <col min="5" max="5" width="29" bestFit="1" customWidth="1"/>
    <col min="6" max="6" width="21.5703125" bestFit="1" customWidth="1"/>
    <col min="7" max="7" width="42.85546875" customWidth="1"/>
    <col min="8" max="8" width="29.5703125" customWidth="1"/>
  </cols>
  <sheetData>
    <row r="1" spans="1:8" s="195" customFormat="1" ht="30">
      <c r="A1" s="194" t="s">
        <v>224</v>
      </c>
      <c r="B1" s="194" t="s">
        <v>172</v>
      </c>
      <c r="C1" s="194" t="s">
        <v>225</v>
      </c>
      <c r="D1" s="194" t="s">
        <v>728</v>
      </c>
      <c r="E1" s="194" t="s">
        <v>729</v>
      </c>
      <c r="F1" s="196" t="s">
        <v>730</v>
      </c>
      <c r="G1" s="194" t="s">
        <v>14</v>
      </c>
      <c r="H1" s="194" t="s">
        <v>39</v>
      </c>
    </row>
    <row r="2" spans="1:8">
      <c r="A2" s="41" t="s">
        <v>117</v>
      </c>
      <c r="B2" s="39" t="s">
        <v>232</v>
      </c>
      <c r="C2" s="39" t="s">
        <v>226</v>
      </c>
      <c r="D2" s="41" t="str">
        <f t="shared" ref="D2:D65" si="0">+CONCATENATE(A2,C2)</f>
        <v>CAW006A75HC</v>
      </c>
      <c r="E2" s="41" t="str">
        <f t="shared" ref="E2:E65" si="1">+CONCATENATE(A2,B2)</f>
        <v>CAW006A75Adolecentes 10-19</v>
      </c>
      <c r="F2" s="41" t="str">
        <f t="shared" ref="F2:F65" si="2">CONCATENATE(A2,C2,B2)</f>
        <v>CAW006A75HCAdolecentes 10-19</v>
      </c>
      <c r="G2" s="41" t="s">
        <v>651</v>
      </c>
      <c r="H2" s="41" t="s">
        <v>192</v>
      </c>
    </row>
    <row r="3" spans="1:8">
      <c r="A3" s="41" t="s">
        <v>118</v>
      </c>
      <c r="B3" s="39" t="s">
        <v>232</v>
      </c>
      <c r="C3" s="39" t="s">
        <v>226</v>
      </c>
      <c r="D3" s="41" t="str">
        <f t="shared" si="0"/>
        <v>CAW006B72HC</v>
      </c>
      <c r="E3" s="41" t="str">
        <f t="shared" si="1"/>
        <v>CAW006B72Adolecentes 10-19</v>
      </c>
      <c r="F3" s="41" t="str">
        <f t="shared" si="2"/>
        <v>CAW006B72HCAdolecentes 10-19</v>
      </c>
      <c r="G3" s="41" t="s">
        <v>651</v>
      </c>
      <c r="H3" s="41" t="s">
        <v>192</v>
      </c>
    </row>
    <row r="4" spans="1:8">
      <c r="A4" s="41" t="s">
        <v>119</v>
      </c>
      <c r="B4" s="39" t="s">
        <v>232</v>
      </c>
      <c r="C4" s="39" t="s">
        <v>226</v>
      </c>
      <c r="D4" s="41" t="str">
        <f t="shared" si="0"/>
        <v>CAW006B73HC</v>
      </c>
      <c r="E4" s="41" t="str">
        <f t="shared" si="1"/>
        <v>CAW006B73Adolecentes 10-19</v>
      </c>
      <c r="F4" s="41" t="str">
        <f t="shared" si="2"/>
        <v>CAW006B73HCAdolecentes 10-19</v>
      </c>
      <c r="G4" s="41" t="s">
        <v>651</v>
      </c>
      <c r="H4" s="41" t="s">
        <v>192</v>
      </c>
    </row>
    <row r="5" spans="1:8">
      <c r="A5" s="41" t="s">
        <v>120</v>
      </c>
      <c r="B5" s="39" t="s">
        <v>232</v>
      </c>
      <c r="C5" s="39" t="s">
        <v>226</v>
      </c>
      <c r="D5" s="41" t="str">
        <f t="shared" si="0"/>
        <v>CAW006B80HC</v>
      </c>
      <c r="E5" s="41" t="str">
        <f t="shared" si="1"/>
        <v>CAW006B80Adolecentes 10-19</v>
      </c>
      <c r="F5" s="41" t="str">
        <f t="shared" si="2"/>
        <v>CAW006B80HCAdolecentes 10-19</v>
      </c>
      <c r="G5" s="41" t="s">
        <v>651</v>
      </c>
      <c r="H5" s="41" t="s">
        <v>192</v>
      </c>
    </row>
    <row r="6" spans="1:8">
      <c r="A6" s="41" t="s">
        <v>121</v>
      </c>
      <c r="B6" s="39" t="s">
        <v>232</v>
      </c>
      <c r="C6" s="39" t="s">
        <v>226</v>
      </c>
      <c r="D6" s="41" t="str">
        <f t="shared" si="0"/>
        <v>CAW006B78HC</v>
      </c>
      <c r="E6" s="41" t="str">
        <f t="shared" si="1"/>
        <v>CAW006B78Adolecentes 10-19</v>
      </c>
      <c r="F6" s="41" t="str">
        <f t="shared" si="2"/>
        <v>CAW006B78HCAdolecentes 10-19</v>
      </c>
      <c r="G6" s="41" t="s">
        <v>651</v>
      </c>
      <c r="H6" s="41" t="s">
        <v>192</v>
      </c>
    </row>
    <row r="7" spans="1:8">
      <c r="A7" s="41" t="s">
        <v>122</v>
      </c>
      <c r="B7" s="39" t="s">
        <v>232</v>
      </c>
      <c r="C7" s="39" t="s">
        <v>226</v>
      </c>
      <c r="D7" s="41" t="str">
        <f t="shared" si="0"/>
        <v>CAW006B81HC</v>
      </c>
      <c r="E7" s="41" t="str">
        <f t="shared" si="1"/>
        <v>CAW006B81Adolecentes 10-19</v>
      </c>
      <c r="F7" s="41" t="str">
        <f t="shared" si="2"/>
        <v>CAW006B81HCAdolecentes 10-19</v>
      </c>
      <c r="G7" s="41" t="s">
        <v>651</v>
      </c>
      <c r="H7" s="41" t="s">
        <v>192</v>
      </c>
    </row>
    <row r="8" spans="1:8">
      <c r="A8" s="41" t="s">
        <v>123</v>
      </c>
      <c r="B8" s="39" t="s">
        <v>232</v>
      </c>
      <c r="C8" s="39" t="s">
        <v>226</v>
      </c>
      <c r="D8" s="41" t="str">
        <f t="shared" si="0"/>
        <v>CAW006B82HC</v>
      </c>
      <c r="E8" s="41" t="str">
        <f t="shared" si="1"/>
        <v>CAW006B82Adolecentes 10-19</v>
      </c>
      <c r="F8" s="41" t="str">
        <f t="shared" si="2"/>
        <v>CAW006B82HCAdolecentes 10-19</v>
      </c>
      <c r="G8" s="41" t="s">
        <v>651</v>
      </c>
      <c r="H8" s="41" t="s">
        <v>192</v>
      </c>
    </row>
    <row r="9" spans="1:8">
      <c r="A9" s="41" t="s">
        <v>124</v>
      </c>
      <c r="B9" s="39" t="s">
        <v>232</v>
      </c>
      <c r="C9" s="39" t="s">
        <v>226</v>
      </c>
      <c r="D9" s="41" t="str">
        <f t="shared" si="0"/>
        <v>CAW006D96HC</v>
      </c>
      <c r="E9" s="41" t="str">
        <f t="shared" si="1"/>
        <v>CAW006D96Adolecentes 10-19</v>
      </c>
      <c r="F9" s="41" t="str">
        <f t="shared" si="2"/>
        <v>CAW006D96HCAdolecentes 10-19</v>
      </c>
      <c r="G9" s="41" t="s">
        <v>651</v>
      </c>
      <c r="H9" s="41" t="s">
        <v>192</v>
      </c>
    </row>
    <row r="10" spans="1:8">
      <c r="A10" s="41" t="s">
        <v>125</v>
      </c>
      <c r="B10" s="39" t="s">
        <v>232</v>
      </c>
      <c r="C10" s="39" t="s">
        <v>226</v>
      </c>
      <c r="D10" s="41" t="str">
        <f t="shared" si="0"/>
        <v>CAW006D61HC</v>
      </c>
      <c r="E10" s="41" t="str">
        <f t="shared" si="1"/>
        <v>CAW006D61Adolecentes 10-19</v>
      </c>
      <c r="F10" s="41" t="str">
        <f t="shared" si="2"/>
        <v>CAW006D61HCAdolecentes 10-19</v>
      </c>
      <c r="G10" s="41" t="s">
        <v>651</v>
      </c>
      <c r="H10" s="41" t="s">
        <v>192</v>
      </c>
    </row>
    <row r="11" spans="1:8">
      <c r="A11" s="41" t="s">
        <v>126</v>
      </c>
      <c r="B11" s="39" t="s">
        <v>232</v>
      </c>
      <c r="C11" s="39" t="s">
        <v>226</v>
      </c>
      <c r="D11" s="41" t="str">
        <f t="shared" si="0"/>
        <v>CAW006D62HC</v>
      </c>
      <c r="E11" s="41" t="str">
        <f t="shared" si="1"/>
        <v>CAW006D62Adolecentes 10-19</v>
      </c>
      <c r="F11" s="41" t="str">
        <f t="shared" si="2"/>
        <v>CAW006D62HCAdolecentes 10-19</v>
      </c>
      <c r="G11" s="41" t="s">
        <v>651</v>
      </c>
      <c r="H11" s="41" t="s">
        <v>192</v>
      </c>
    </row>
    <row r="12" spans="1:8">
      <c r="A12" s="41" t="s">
        <v>127</v>
      </c>
      <c r="B12" s="39" t="s">
        <v>232</v>
      </c>
      <c r="C12" s="39" t="s">
        <v>226</v>
      </c>
      <c r="D12" s="41" t="str">
        <f t="shared" si="0"/>
        <v>CAW006D72HC</v>
      </c>
      <c r="E12" s="41" t="str">
        <f t="shared" si="1"/>
        <v>CAW006D72Adolecentes 10-19</v>
      </c>
      <c r="F12" s="41" t="str">
        <f t="shared" si="2"/>
        <v>CAW006D72HCAdolecentes 10-19</v>
      </c>
      <c r="G12" s="41" t="s">
        <v>651</v>
      </c>
      <c r="H12" s="41" t="s">
        <v>192</v>
      </c>
    </row>
    <row r="13" spans="1:8">
      <c r="A13" s="41" t="s">
        <v>128</v>
      </c>
      <c r="B13" s="39" t="s">
        <v>232</v>
      </c>
      <c r="C13" s="39" t="s">
        <v>226</v>
      </c>
      <c r="D13" s="41" t="str">
        <f t="shared" si="0"/>
        <v>CAW006B90HC</v>
      </c>
      <c r="E13" s="41" t="str">
        <f t="shared" si="1"/>
        <v>CAW006B90Adolecentes 10-19</v>
      </c>
      <c r="F13" s="41" t="str">
        <f t="shared" si="2"/>
        <v>CAW006B90HCAdolecentes 10-19</v>
      </c>
      <c r="G13" s="41" t="s">
        <v>651</v>
      </c>
      <c r="H13" s="41" t="s">
        <v>192</v>
      </c>
    </row>
    <row r="14" spans="1:8">
      <c r="A14" s="41" t="s">
        <v>129</v>
      </c>
      <c r="B14" s="39" t="s">
        <v>232</v>
      </c>
      <c r="C14" s="39" t="s">
        <v>226</v>
      </c>
      <c r="D14" s="41" t="str">
        <f t="shared" si="0"/>
        <v>CAW006K73HC</v>
      </c>
      <c r="E14" s="41" t="str">
        <f t="shared" si="1"/>
        <v>CAW006K73Adolecentes 10-19</v>
      </c>
      <c r="F14" s="41" t="str">
        <f t="shared" si="2"/>
        <v>CAW006K73HCAdolecentes 10-19</v>
      </c>
      <c r="G14" s="41" t="s">
        <v>651</v>
      </c>
      <c r="H14" s="41" t="s">
        <v>192</v>
      </c>
    </row>
    <row r="15" spans="1:8">
      <c r="A15" s="41" t="s">
        <v>130</v>
      </c>
      <c r="B15" s="39" t="s">
        <v>232</v>
      </c>
      <c r="C15" s="39" t="s">
        <v>226</v>
      </c>
      <c r="D15" s="41" t="str">
        <f t="shared" si="0"/>
        <v>CAW006K96HC</v>
      </c>
      <c r="E15" s="41" t="str">
        <f t="shared" si="1"/>
        <v>CAW006K96Adolecentes 10-19</v>
      </c>
      <c r="F15" s="41" t="str">
        <f t="shared" si="2"/>
        <v>CAW006K96HCAdolecentes 10-19</v>
      </c>
      <c r="G15" s="41" t="s">
        <v>651</v>
      </c>
      <c r="H15" s="41" t="s">
        <v>192</v>
      </c>
    </row>
    <row r="16" spans="1:8">
      <c r="A16" s="41" t="s">
        <v>131</v>
      </c>
      <c r="B16" s="39" t="s">
        <v>232</v>
      </c>
      <c r="C16" s="39" t="s">
        <v>226</v>
      </c>
      <c r="D16" s="41" t="str">
        <f t="shared" si="0"/>
        <v>CAW006K83HC</v>
      </c>
      <c r="E16" s="41" t="str">
        <f t="shared" si="1"/>
        <v>CAW006K83Adolecentes 10-19</v>
      </c>
      <c r="F16" s="41" t="str">
        <f t="shared" si="2"/>
        <v>CAW006K83HCAdolecentes 10-19</v>
      </c>
      <c r="G16" s="41" t="s">
        <v>651</v>
      </c>
      <c r="H16" s="41" t="s">
        <v>192</v>
      </c>
    </row>
    <row r="17" spans="1:8">
      <c r="A17" s="41" t="s">
        <v>132</v>
      </c>
      <c r="B17" s="39" t="s">
        <v>232</v>
      </c>
      <c r="C17" s="39" t="s">
        <v>226</v>
      </c>
      <c r="D17" s="41" t="str">
        <f t="shared" si="0"/>
        <v>CAW006K86HC</v>
      </c>
      <c r="E17" s="41" t="str">
        <f t="shared" si="1"/>
        <v>CAW006K86Adolecentes 10-19</v>
      </c>
      <c r="F17" s="41" t="str">
        <f t="shared" si="2"/>
        <v>CAW006K86HCAdolecentes 10-19</v>
      </c>
      <c r="G17" s="41" t="s">
        <v>651</v>
      </c>
      <c r="H17" s="41" t="s">
        <v>192</v>
      </c>
    </row>
    <row r="18" spans="1:8">
      <c r="A18" s="41" t="s">
        <v>133</v>
      </c>
      <c r="B18" s="39" t="s">
        <v>232</v>
      </c>
      <c r="C18" s="39" t="s">
        <v>226</v>
      </c>
      <c r="D18" s="41" t="str">
        <f t="shared" si="0"/>
        <v>CAW006T79HC</v>
      </c>
      <c r="E18" s="41" t="str">
        <f t="shared" si="1"/>
        <v>CAW006T79Adolecentes 10-19</v>
      </c>
      <c r="F18" s="41" t="str">
        <f t="shared" si="2"/>
        <v>CAW006T79HCAdolecentes 10-19</v>
      </c>
      <c r="G18" s="41" t="s">
        <v>651</v>
      </c>
      <c r="H18" s="41" t="s">
        <v>192</v>
      </c>
    </row>
    <row r="19" spans="1:8">
      <c r="A19" s="41" t="s">
        <v>377</v>
      </c>
      <c r="B19" s="39" t="s">
        <v>232</v>
      </c>
      <c r="C19" s="39" t="s">
        <v>226</v>
      </c>
      <c r="D19" s="41" t="str">
        <f t="shared" si="0"/>
        <v>CAW006T82HC</v>
      </c>
      <c r="E19" s="41" t="str">
        <f t="shared" si="1"/>
        <v>CAW006T82Adolecentes 10-19</v>
      </c>
      <c r="F19" s="41" t="str">
        <f t="shared" si="2"/>
        <v>CAW006T82HCAdolecentes 10-19</v>
      </c>
      <c r="G19" s="41" t="s">
        <v>651</v>
      </c>
      <c r="H19" s="41" t="s">
        <v>192</v>
      </c>
    </row>
    <row r="20" spans="1:8">
      <c r="A20" s="41" t="s">
        <v>378</v>
      </c>
      <c r="B20" s="39" t="s">
        <v>232</v>
      </c>
      <c r="C20" s="39" t="s">
        <v>226</v>
      </c>
      <c r="D20" s="41" t="str">
        <f t="shared" si="0"/>
        <v>CAW006T83HC</v>
      </c>
      <c r="E20" s="41" t="str">
        <f t="shared" si="1"/>
        <v>CAW006T83Adolecentes 10-19</v>
      </c>
      <c r="F20" s="41" t="str">
        <f t="shared" si="2"/>
        <v>CAW006T83HCAdolecentes 10-19</v>
      </c>
      <c r="G20" s="41" t="s">
        <v>651</v>
      </c>
      <c r="H20" s="41" t="s">
        <v>192</v>
      </c>
    </row>
    <row r="21" spans="1:8">
      <c r="A21" s="41" t="s">
        <v>379</v>
      </c>
      <c r="B21" s="39" t="s">
        <v>232</v>
      </c>
      <c r="C21" s="39" t="s">
        <v>226</v>
      </c>
      <c r="D21" s="41" t="str">
        <f t="shared" si="0"/>
        <v>CAW006T89HC</v>
      </c>
      <c r="E21" s="41" t="str">
        <f t="shared" si="1"/>
        <v>CAW006T89Adolecentes 10-19</v>
      </c>
      <c r="F21" s="41" t="str">
        <f t="shared" si="2"/>
        <v>CAW006T89HCAdolecentes 10-19</v>
      </c>
      <c r="G21" s="41" t="s">
        <v>651</v>
      </c>
      <c r="H21" s="41" t="s">
        <v>192</v>
      </c>
    </row>
    <row r="22" spans="1:8">
      <c r="A22" s="41" t="s">
        <v>380</v>
      </c>
      <c r="B22" s="39" t="s">
        <v>232</v>
      </c>
      <c r="C22" s="39" t="s">
        <v>226</v>
      </c>
      <c r="D22" s="41" t="str">
        <f t="shared" si="0"/>
        <v>CAW006T90HC</v>
      </c>
      <c r="E22" s="41" t="str">
        <f t="shared" si="1"/>
        <v>CAW006T90Adolecentes 10-19</v>
      </c>
      <c r="F22" s="41" t="str">
        <f t="shared" si="2"/>
        <v>CAW006T90HCAdolecentes 10-19</v>
      </c>
      <c r="G22" s="41" t="s">
        <v>651</v>
      </c>
      <c r="H22" s="41" t="s">
        <v>192</v>
      </c>
    </row>
    <row r="23" spans="1:8">
      <c r="A23" s="41" t="s">
        <v>381</v>
      </c>
      <c r="B23" s="39" t="s">
        <v>232</v>
      </c>
      <c r="C23" s="39" t="s">
        <v>226</v>
      </c>
      <c r="D23" s="41" t="str">
        <f t="shared" si="0"/>
        <v>CAW006Y70HC</v>
      </c>
      <c r="E23" s="41" t="str">
        <f t="shared" si="1"/>
        <v>CAW006Y70Adolecentes 10-19</v>
      </c>
      <c r="F23" s="41" t="str">
        <f t="shared" si="2"/>
        <v>CAW006Y70HCAdolecentes 10-19</v>
      </c>
      <c r="G23" s="41" t="s">
        <v>651</v>
      </c>
      <c r="H23" s="41" t="s">
        <v>192</v>
      </c>
    </row>
    <row r="24" spans="1:8">
      <c r="A24" s="41" t="s">
        <v>111</v>
      </c>
      <c r="B24" s="39" t="s">
        <v>232</v>
      </c>
      <c r="C24" s="39" t="s">
        <v>226</v>
      </c>
      <c r="D24" s="41" t="str">
        <f t="shared" si="0"/>
        <v>COT015A98HC</v>
      </c>
      <c r="E24" s="41" t="str">
        <f t="shared" si="1"/>
        <v>COT015A98Adolecentes 10-19</v>
      </c>
      <c r="F24" s="41" t="str">
        <f t="shared" si="2"/>
        <v>COT015A98HCAdolecentes 10-19</v>
      </c>
      <c r="G24" s="41" t="s">
        <v>162</v>
      </c>
      <c r="H24" s="41" t="s">
        <v>192</v>
      </c>
    </row>
    <row r="25" spans="1:8">
      <c r="A25" s="41" t="s">
        <v>109</v>
      </c>
      <c r="B25" s="39" t="s">
        <v>232</v>
      </c>
      <c r="C25" s="39" t="s">
        <v>226</v>
      </c>
      <c r="D25" s="41" t="str">
        <f t="shared" si="0"/>
        <v>COT016A98HC</v>
      </c>
      <c r="E25" s="41" t="str">
        <f t="shared" si="1"/>
        <v>COT016A98Adolecentes 10-19</v>
      </c>
      <c r="F25" s="41" t="str">
        <f t="shared" si="2"/>
        <v>COT016A98HCAdolecentes 10-19</v>
      </c>
      <c r="G25" s="41" t="s">
        <v>110</v>
      </c>
      <c r="H25" s="41" t="s">
        <v>192</v>
      </c>
    </row>
    <row r="26" spans="1:8">
      <c r="A26" s="41" t="s">
        <v>85</v>
      </c>
      <c r="B26" s="39" t="s">
        <v>232</v>
      </c>
      <c r="C26" s="39" t="s">
        <v>226</v>
      </c>
      <c r="D26" s="41" t="str">
        <f t="shared" si="0"/>
        <v>COT018A98HC</v>
      </c>
      <c r="E26" s="41" t="str">
        <f t="shared" si="1"/>
        <v>COT018A98Adolecentes 10-19</v>
      </c>
      <c r="F26" s="41" t="str">
        <f t="shared" si="2"/>
        <v>COT018A98HCAdolecentes 10-19</v>
      </c>
      <c r="G26" s="41" t="s">
        <v>652</v>
      </c>
      <c r="H26" s="41" t="s">
        <v>405</v>
      </c>
    </row>
    <row r="27" spans="1:8">
      <c r="A27" s="41" t="s">
        <v>17</v>
      </c>
      <c r="B27" s="39" t="s">
        <v>232</v>
      </c>
      <c r="C27" s="39" t="s">
        <v>226</v>
      </c>
      <c r="D27" s="41" t="str">
        <f t="shared" si="0"/>
        <v>CTC001A97HC</v>
      </c>
      <c r="E27" s="41" t="str">
        <f t="shared" si="1"/>
        <v>CTC001A97Adolecentes 10-19</v>
      </c>
      <c r="F27" s="41" t="str">
        <f t="shared" si="2"/>
        <v>CTC001A97HCAdolecentes 10-19</v>
      </c>
      <c r="G27" s="41" t="s">
        <v>653</v>
      </c>
      <c r="H27" s="41" t="s">
        <v>192</v>
      </c>
    </row>
    <row r="28" spans="1:8">
      <c r="A28" s="41" t="s">
        <v>59</v>
      </c>
      <c r="B28" s="39" t="s">
        <v>232</v>
      </c>
      <c r="C28" s="39" t="s">
        <v>226</v>
      </c>
      <c r="D28" s="41" t="str">
        <f t="shared" si="0"/>
        <v>CTC001B72HC</v>
      </c>
      <c r="E28" s="41" t="str">
        <f t="shared" si="1"/>
        <v>CTC001B72Adolecentes 10-19</v>
      </c>
      <c r="F28" s="41" t="str">
        <f t="shared" si="2"/>
        <v>CTC001B72HCAdolecentes 10-19</v>
      </c>
      <c r="G28" s="41" t="s">
        <v>163</v>
      </c>
      <c r="H28" s="41" t="s">
        <v>654</v>
      </c>
    </row>
    <row r="29" spans="1:8">
      <c r="A29" s="41" t="s">
        <v>57</v>
      </c>
      <c r="B29" s="39" t="s">
        <v>232</v>
      </c>
      <c r="C29" s="39" t="s">
        <v>226</v>
      </c>
      <c r="D29" s="41" t="str">
        <f t="shared" si="0"/>
        <v>CTC001B73HC</v>
      </c>
      <c r="E29" s="41" t="str">
        <f t="shared" si="1"/>
        <v>CTC001B73Adolecentes 10-19</v>
      </c>
      <c r="F29" s="41" t="str">
        <f t="shared" si="2"/>
        <v>CTC001B73HCAdolecentes 10-19</v>
      </c>
      <c r="G29" s="41" t="s">
        <v>164</v>
      </c>
      <c r="H29" s="41" t="s">
        <v>654</v>
      </c>
    </row>
    <row r="30" spans="1:8">
      <c r="A30" s="41" t="s">
        <v>64</v>
      </c>
      <c r="B30" s="39" t="s">
        <v>232</v>
      </c>
      <c r="C30" s="39" t="s">
        <v>226</v>
      </c>
      <c r="D30" s="41" t="str">
        <f t="shared" si="0"/>
        <v>CTC001B80HC</v>
      </c>
      <c r="E30" s="41" t="str">
        <f t="shared" si="1"/>
        <v>CTC001B80Adolecentes 10-19</v>
      </c>
      <c r="F30" s="41" t="str">
        <f t="shared" si="2"/>
        <v>CTC001B80HCAdolecentes 10-19</v>
      </c>
      <c r="G30" s="41" t="s">
        <v>101</v>
      </c>
      <c r="H30" s="41" t="s">
        <v>65</v>
      </c>
    </row>
    <row r="31" spans="1:8">
      <c r="A31" s="41" t="s">
        <v>60</v>
      </c>
      <c r="B31" s="39" t="s">
        <v>232</v>
      </c>
      <c r="C31" s="39" t="s">
        <v>226</v>
      </c>
      <c r="D31" s="41" t="str">
        <f t="shared" si="0"/>
        <v>CTC002B72HC</v>
      </c>
      <c r="E31" s="41" t="str">
        <f t="shared" si="1"/>
        <v>CTC002B72Adolecentes 10-19</v>
      </c>
      <c r="F31" s="41" t="str">
        <f t="shared" si="2"/>
        <v>CTC002B72HCAdolecentes 10-19</v>
      </c>
      <c r="G31" s="41" t="s">
        <v>165</v>
      </c>
      <c r="H31" s="41" t="s">
        <v>654</v>
      </c>
    </row>
    <row r="32" spans="1:8">
      <c r="A32" s="41" t="s">
        <v>58</v>
      </c>
      <c r="B32" s="39" t="s">
        <v>232</v>
      </c>
      <c r="C32" s="39" t="s">
        <v>226</v>
      </c>
      <c r="D32" s="41" t="str">
        <f t="shared" si="0"/>
        <v>CTC002B73HC</v>
      </c>
      <c r="E32" s="41" t="str">
        <f t="shared" si="1"/>
        <v>CTC002B73Adolecentes 10-19</v>
      </c>
      <c r="F32" s="41" t="str">
        <f t="shared" si="2"/>
        <v>CTC002B73HCAdolecentes 10-19</v>
      </c>
      <c r="G32" s="41" t="s">
        <v>166</v>
      </c>
      <c r="H32" s="41" t="s">
        <v>654</v>
      </c>
    </row>
    <row r="33" spans="1:8">
      <c r="A33" s="41" t="s">
        <v>67</v>
      </c>
      <c r="B33" s="39" t="s">
        <v>232</v>
      </c>
      <c r="C33" s="39" t="s">
        <v>226</v>
      </c>
      <c r="D33" s="41" t="str">
        <f t="shared" si="0"/>
        <v>CTC002B80HC</v>
      </c>
      <c r="E33" s="41" t="str">
        <f t="shared" si="1"/>
        <v>CTC002B80Adolecentes 10-19</v>
      </c>
      <c r="F33" s="41" t="str">
        <f t="shared" si="2"/>
        <v>CTC002B80HCAdolecentes 10-19</v>
      </c>
      <c r="G33" s="41" t="s">
        <v>102</v>
      </c>
      <c r="H33" s="41" t="s">
        <v>65</v>
      </c>
    </row>
    <row r="34" spans="1:8">
      <c r="A34" s="41" t="s">
        <v>134</v>
      </c>
      <c r="B34" s="39" t="s">
        <v>232</v>
      </c>
      <c r="C34" s="39" t="s">
        <v>226</v>
      </c>
      <c r="D34" s="41" t="str">
        <f t="shared" si="0"/>
        <v>CTC001P20HC</v>
      </c>
      <c r="E34" s="41" t="str">
        <f t="shared" si="1"/>
        <v>CTC001P20Adolecentes 10-19</v>
      </c>
      <c r="F34" s="41" t="str">
        <f t="shared" si="2"/>
        <v>CTC001P20HCAdolecentes 10-19</v>
      </c>
      <c r="G34" s="41" t="s">
        <v>107</v>
      </c>
      <c r="H34" s="41" t="s">
        <v>404</v>
      </c>
    </row>
    <row r="35" spans="1:8">
      <c r="A35" s="41" t="s">
        <v>135</v>
      </c>
      <c r="B35" s="39" t="s">
        <v>232</v>
      </c>
      <c r="C35" s="39" t="s">
        <v>226</v>
      </c>
      <c r="D35" s="41" t="str">
        <f t="shared" si="0"/>
        <v>CTC001P23HC</v>
      </c>
      <c r="E35" s="41" t="str">
        <f t="shared" si="1"/>
        <v>CTC001P23Adolecentes 10-19</v>
      </c>
      <c r="F35" s="41" t="str">
        <f t="shared" si="2"/>
        <v>CTC001P23HCAdolecentes 10-19</v>
      </c>
      <c r="G35" s="41" t="s">
        <v>107</v>
      </c>
      <c r="H35" s="41" t="s">
        <v>404</v>
      </c>
    </row>
    <row r="36" spans="1:8">
      <c r="A36" s="41" t="s">
        <v>136</v>
      </c>
      <c r="B36" s="39" t="s">
        <v>232</v>
      </c>
      <c r="C36" s="39" t="s">
        <v>226</v>
      </c>
      <c r="D36" s="41" t="str">
        <f t="shared" si="0"/>
        <v>CTC001P24HC</v>
      </c>
      <c r="E36" s="41" t="str">
        <f t="shared" si="1"/>
        <v>CTC001P24Adolecentes 10-19</v>
      </c>
      <c r="F36" s="41" t="str">
        <f t="shared" si="2"/>
        <v>CTC001P24HCAdolecentes 10-19</v>
      </c>
      <c r="G36" s="41" t="s">
        <v>107</v>
      </c>
      <c r="H36" s="41" t="s">
        <v>404</v>
      </c>
    </row>
    <row r="37" spans="1:8">
      <c r="A37" s="41" t="s">
        <v>99</v>
      </c>
      <c r="B37" s="39" t="s">
        <v>232</v>
      </c>
      <c r="C37" s="39" t="s">
        <v>226</v>
      </c>
      <c r="D37" s="41" t="str">
        <f t="shared" si="0"/>
        <v>CTC001P98HC</v>
      </c>
      <c r="E37" s="41" t="str">
        <f t="shared" si="1"/>
        <v>CTC001P98Adolecentes 10-19</v>
      </c>
      <c r="F37" s="41" t="str">
        <f t="shared" si="2"/>
        <v>CTC001P98HCAdolecentes 10-19</v>
      </c>
      <c r="G37" s="41" t="s">
        <v>100</v>
      </c>
      <c r="H37" s="41" t="s">
        <v>404</v>
      </c>
    </row>
    <row r="38" spans="1:8">
      <c r="A38" s="41" t="s">
        <v>140</v>
      </c>
      <c r="B38" s="39" t="s">
        <v>232</v>
      </c>
      <c r="C38" s="39" t="s">
        <v>226</v>
      </c>
      <c r="D38" s="41" t="str">
        <f t="shared" si="0"/>
        <v>CTC002P20HC</v>
      </c>
      <c r="E38" s="41" t="str">
        <f t="shared" si="1"/>
        <v>CTC002P20Adolecentes 10-19</v>
      </c>
      <c r="F38" s="41" t="str">
        <f t="shared" si="2"/>
        <v>CTC002P20HCAdolecentes 10-19</v>
      </c>
      <c r="G38" s="41" t="s">
        <v>108</v>
      </c>
      <c r="H38" s="41" t="s">
        <v>404</v>
      </c>
    </row>
    <row r="39" spans="1:8">
      <c r="A39" s="41" t="s">
        <v>141</v>
      </c>
      <c r="B39" s="39" t="s">
        <v>232</v>
      </c>
      <c r="C39" s="39" t="s">
        <v>226</v>
      </c>
      <c r="D39" s="41" t="str">
        <f t="shared" si="0"/>
        <v>CTC002P23HC</v>
      </c>
      <c r="E39" s="41" t="str">
        <f t="shared" si="1"/>
        <v>CTC002P23Adolecentes 10-19</v>
      </c>
      <c r="F39" s="41" t="str">
        <f t="shared" si="2"/>
        <v>CTC002P23HCAdolecentes 10-19</v>
      </c>
      <c r="G39" s="41" t="s">
        <v>108</v>
      </c>
      <c r="H39" s="41" t="s">
        <v>404</v>
      </c>
    </row>
    <row r="40" spans="1:8">
      <c r="A40" s="41" t="s">
        <v>142</v>
      </c>
      <c r="B40" s="39" t="s">
        <v>232</v>
      </c>
      <c r="C40" s="39" t="s">
        <v>226</v>
      </c>
      <c r="D40" s="41" t="str">
        <f t="shared" si="0"/>
        <v>CTC002P24HC</v>
      </c>
      <c r="E40" s="41" t="str">
        <f t="shared" si="1"/>
        <v>CTC002P24Adolecentes 10-19</v>
      </c>
      <c r="F40" s="41" t="str">
        <f t="shared" si="2"/>
        <v>CTC002P24HCAdolecentes 10-19</v>
      </c>
      <c r="G40" s="41" t="s">
        <v>108</v>
      </c>
      <c r="H40" s="41" t="s">
        <v>404</v>
      </c>
    </row>
    <row r="41" spans="1:8">
      <c r="A41" s="41" t="s">
        <v>69</v>
      </c>
      <c r="B41" s="39" t="s">
        <v>232</v>
      </c>
      <c r="C41" s="39" t="s">
        <v>226</v>
      </c>
      <c r="D41" s="41" t="str">
        <f t="shared" si="0"/>
        <v>CTC001R96HC</v>
      </c>
      <c r="E41" s="41" t="str">
        <f t="shared" si="1"/>
        <v>CTC001R96Adolecentes 10-19</v>
      </c>
      <c r="F41" s="41" t="str">
        <f t="shared" si="2"/>
        <v>CTC001R96HCAdolecentes 10-19</v>
      </c>
      <c r="G41" s="41" t="s">
        <v>70</v>
      </c>
      <c r="H41" s="41" t="s">
        <v>655</v>
      </c>
    </row>
    <row r="42" spans="1:8">
      <c r="A42" s="41" t="s">
        <v>138</v>
      </c>
      <c r="B42" s="39" t="s">
        <v>232</v>
      </c>
      <c r="C42" s="39" t="s">
        <v>226</v>
      </c>
      <c r="D42" s="41" t="str">
        <f t="shared" si="0"/>
        <v>CTC001T79HC</v>
      </c>
      <c r="E42" s="41" t="str">
        <f t="shared" si="1"/>
        <v>CTC001T79Adolecentes 10-19</v>
      </c>
      <c r="F42" s="41" t="str">
        <f t="shared" si="2"/>
        <v>CTC001T79HCAdolecentes 10-19</v>
      </c>
      <c r="G42" s="41" t="s">
        <v>61</v>
      </c>
      <c r="H42" s="41" t="s">
        <v>29</v>
      </c>
    </row>
    <row r="43" spans="1:8">
      <c r="A43" s="41" t="s">
        <v>139</v>
      </c>
      <c r="B43" s="39" t="s">
        <v>232</v>
      </c>
      <c r="C43" s="39" t="s">
        <v>226</v>
      </c>
      <c r="D43" s="41" t="str">
        <f t="shared" si="0"/>
        <v>CTC001T82HC</v>
      </c>
      <c r="E43" s="41" t="str">
        <f t="shared" si="1"/>
        <v>CTC001T82Adolecentes 10-19</v>
      </c>
      <c r="F43" s="41" t="str">
        <f t="shared" si="2"/>
        <v>CTC001T82HCAdolecentes 10-19</v>
      </c>
      <c r="G43" s="41" t="s">
        <v>61</v>
      </c>
      <c r="H43" s="41" t="s">
        <v>29</v>
      </c>
    </row>
    <row r="44" spans="1:8">
      <c r="A44" s="41" t="s">
        <v>62</v>
      </c>
      <c r="B44" s="39" t="s">
        <v>232</v>
      </c>
      <c r="C44" s="39" t="s">
        <v>226</v>
      </c>
      <c r="D44" s="41" t="str">
        <f t="shared" si="0"/>
        <v>CTC001T83HC</v>
      </c>
      <c r="E44" s="41" t="str">
        <f t="shared" si="1"/>
        <v>CTC001T83Adolecentes 10-19</v>
      </c>
      <c r="F44" s="41" t="str">
        <f t="shared" si="2"/>
        <v>CTC001T83HCAdolecentes 10-19</v>
      </c>
      <c r="G44" s="41" t="s">
        <v>656</v>
      </c>
      <c r="H44" s="41" t="s">
        <v>19</v>
      </c>
    </row>
    <row r="45" spans="1:8">
      <c r="A45" s="41" t="s">
        <v>71</v>
      </c>
      <c r="B45" s="39" t="s">
        <v>232</v>
      </c>
      <c r="C45" s="39" t="s">
        <v>226</v>
      </c>
      <c r="D45" s="41" t="str">
        <f t="shared" si="0"/>
        <v>CTC002R96HC</v>
      </c>
      <c r="E45" s="41" t="str">
        <f t="shared" si="1"/>
        <v>CTC002R96Adolecentes 10-19</v>
      </c>
      <c r="F45" s="41" t="str">
        <f t="shared" si="2"/>
        <v>CTC002R96HCAdolecentes 10-19</v>
      </c>
      <c r="G45" s="41" t="s">
        <v>72</v>
      </c>
      <c r="H45" s="41" t="s">
        <v>655</v>
      </c>
    </row>
    <row r="46" spans="1:8">
      <c r="A46" s="41" t="s">
        <v>144</v>
      </c>
      <c r="B46" s="39" t="s">
        <v>232</v>
      </c>
      <c r="C46" s="39" t="s">
        <v>226</v>
      </c>
      <c r="D46" s="41" t="str">
        <f t="shared" si="0"/>
        <v>CTC002T79HC</v>
      </c>
      <c r="E46" s="41" t="str">
        <f t="shared" si="1"/>
        <v>CTC002T79Adolecentes 10-19</v>
      </c>
      <c r="F46" s="41" t="str">
        <f t="shared" si="2"/>
        <v>CTC002T79HCAdolecentes 10-19</v>
      </c>
      <c r="G46" s="41" t="s">
        <v>30</v>
      </c>
      <c r="H46" s="41" t="s">
        <v>29</v>
      </c>
    </row>
    <row r="47" spans="1:8">
      <c r="A47" s="41" t="s">
        <v>145</v>
      </c>
      <c r="B47" s="39" t="s">
        <v>232</v>
      </c>
      <c r="C47" s="39" t="s">
        <v>226</v>
      </c>
      <c r="D47" s="41" t="str">
        <f t="shared" si="0"/>
        <v>CTC002T82HC</v>
      </c>
      <c r="E47" s="41" t="str">
        <f t="shared" si="1"/>
        <v>CTC002T82Adolecentes 10-19</v>
      </c>
      <c r="F47" s="41" t="str">
        <f t="shared" si="2"/>
        <v>CTC002T82HCAdolecentes 10-19</v>
      </c>
      <c r="G47" s="41" t="s">
        <v>30</v>
      </c>
      <c r="H47" s="41" t="s">
        <v>29</v>
      </c>
    </row>
    <row r="48" spans="1:8">
      <c r="A48" s="41" t="s">
        <v>20</v>
      </c>
      <c r="B48" s="39" t="s">
        <v>232</v>
      </c>
      <c r="C48" s="39" t="s">
        <v>226</v>
      </c>
      <c r="D48" s="41" t="str">
        <f t="shared" si="0"/>
        <v>CTC002T83HC</v>
      </c>
      <c r="E48" s="41" t="str">
        <f t="shared" si="1"/>
        <v>CTC002T83Adolecentes 10-19</v>
      </c>
      <c r="F48" s="41" t="str">
        <f t="shared" si="2"/>
        <v>CTC002T83HCAdolecentes 10-19</v>
      </c>
      <c r="G48" s="41" t="s">
        <v>21</v>
      </c>
      <c r="H48" s="41" t="s">
        <v>19</v>
      </c>
    </row>
    <row r="49" spans="1:8">
      <c r="A49" s="41" t="s">
        <v>23</v>
      </c>
      <c r="B49" s="39" t="s">
        <v>232</v>
      </c>
      <c r="C49" s="39" t="s">
        <v>226</v>
      </c>
      <c r="D49" s="41" t="str">
        <f t="shared" si="0"/>
        <v>CTC008A97HC</v>
      </c>
      <c r="E49" s="41" t="str">
        <f t="shared" si="1"/>
        <v>CTC008A97Adolecentes 10-19</v>
      </c>
      <c r="F49" s="41" t="str">
        <f t="shared" si="2"/>
        <v>CTC008A97HCAdolecentes 10-19</v>
      </c>
      <c r="G49" s="41" t="s">
        <v>168</v>
      </c>
      <c r="H49" s="41" t="s">
        <v>192</v>
      </c>
    </row>
    <row r="50" spans="1:8">
      <c r="A50" s="41" t="s">
        <v>112</v>
      </c>
      <c r="B50" s="39" t="s">
        <v>232</v>
      </c>
      <c r="C50" s="39" t="s">
        <v>226</v>
      </c>
      <c r="D50" s="41" t="str">
        <f t="shared" si="0"/>
        <v>CTC009A97HC</v>
      </c>
      <c r="E50" s="41" t="str">
        <f t="shared" si="1"/>
        <v>CTC009A97Adolecentes 10-19</v>
      </c>
      <c r="F50" s="41" t="str">
        <f t="shared" si="2"/>
        <v>CTC009A97HCAdolecentes 10-19</v>
      </c>
      <c r="G50" s="41" t="s">
        <v>79</v>
      </c>
      <c r="H50" s="41" t="s">
        <v>192</v>
      </c>
    </row>
    <row r="51" spans="1:8">
      <c r="A51" s="41" t="s">
        <v>78</v>
      </c>
      <c r="B51" s="39" t="s">
        <v>232</v>
      </c>
      <c r="C51" s="39" t="s">
        <v>226</v>
      </c>
      <c r="D51" s="41" t="str">
        <f t="shared" si="0"/>
        <v>CTC011A97HC</v>
      </c>
      <c r="E51" s="41" t="str">
        <f t="shared" si="1"/>
        <v>CTC011A97Adolecentes 10-19</v>
      </c>
      <c r="F51" s="41" t="str">
        <f t="shared" si="2"/>
        <v>CTC011A97HCAdolecentes 10-19</v>
      </c>
      <c r="G51" s="41" t="s">
        <v>170</v>
      </c>
      <c r="H51" s="41" t="s">
        <v>192</v>
      </c>
    </row>
    <row r="52" spans="1:8">
      <c r="A52" s="41" t="s">
        <v>111</v>
      </c>
      <c r="B52" s="39" t="s">
        <v>232</v>
      </c>
      <c r="C52" s="39" t="s">
        <v>228</v>
      </c>
      <c r="D52" s="41" t="str">
        <f t="shared" si="0"/>
        <v>COT015A98FM</v>
      </c>
      <c r="E52" s="41" t="str">
        <f t="shared" si="1"/>
        <v>COT015A98Adolecentes 10-19</v>
      </c>
      <c r="F52" s="41" t="str">
        <f t="shared" si="2"/>
        <v>COT015A98FMAdolecentes 10-19</v>
      </c>
      <c r="G52" s="41" t="s">
        <v>162</v>
      </c>
      <c r="H52" s="41" t="s">
        <v>192</v>
      </c>
    </row>
    <row r="53" spans="1:8">
      <c r="A53" s="41" t="s">
        <v>109</v>
      </c>
      <c r="B53" s="39" t="s">
        <v>232</v>
      </c>
      <c r="C53" s="39" t="s">
        <v>228</v>
      </c>
      <c r="D53" s="41" t="str">
        <f t="shared" si="0"/>
        <v>COT016A98FM</v>
      </c>
      <c r="E53" s="41" t="str">
        <f t="shared" si="1"/>
        <v>COT016A98Adolecentes 10-19</v>
      </c>
      <c r="F53" s="41" t="str">
        <f t="shared" si="2"/>
        <v>COT016A98FMAdolecentes 10-19</v>
      </c>
      <c r="G53" s="41" t="s">
        <v>110</v>
      </c>
      <c r="H53" s="41" t="s">
        <v>192</v>
      </c>
    </row>
    <row r="54" spans="1:8">
      <c r="A54" s="41" t="s">
        <v>85</v>
      </c>
      <c r="B54" s="39" t="s">
        <v>232</v>
      </c>
      <c r="C54" s="39" t="s">
        <v>228</v>
      </c>
      <c r="D54" s="41" t="str">
        <f t="shared" si="0"/>
        <v>COT018A98FM</v>
      </c>
      <c r="E54" s="41" t="str">
        <f t="shared" si="1"/>
        <v>COT018A98Adolecentes 10-19</v>
      </c>
      <c r="F54" s="41" t="str">
        <f t="shared" si="2"/>
        <v>COT018A98FMAdolecentes 10-19</v>
      </c>
      <c r="G54" s="41" t="s">
        <v>652</v>
      </c>
      <c r="H54" s="41" t="s">
        <v>405</v>
      </c>
    </row>
    <row r="55" spans="1:8">
      <c r="A55" s="41" t="s">
        <v>17</v>
      </c>
      <c r="B55" s="39" t="s">
        <v>232</v>
      </c>
      <c r="C55" s="39" t="s">
        <v>228</v>
      </c>
      <c r="D55" s="41" t="str">
        <f t="shared" si="0"/>
        <v>CTC001A97FM</v>
      </c>
      <c r="E55" s="41" t="str">
        <f t="shared" si="1"/>
        <v>CTC001A97Adolecentes 10-19</v>
      </c>
      <c r="F55" s="41" t="str">
        <f t="shared" si="2"/>
        <v>CTC001A97FMAdolecentes 10-19</v>
      </c>
      <c r="G55" s="41" t="s">
        <v>653</v>
      </c>
      <c r="H55" s="41" t="s">
        <v>192</v>
      </c>
    </row>
    <row r="56" spans="1:8">
      <c r="A56" s="41" t="s">
        <v>59</v>
      </c>
      <c r="B56" s="39" t="s">
        <v>232</v>
      </c>
      <c r="C56" s="39" t="s">
        <v>228</v>
      </c>
      <c r="D56" s="41" t="str">
        <f t="shared" si="0"/>
        <v>CTC001B72FM</v>
      </c>
      <c r="E56" s="41" t="str">
        <f t="shared" si="1"/>
        <v>CTC001B72Adolecentes 10-19</v>
      </c>
      <c r="F56" s="41" t="str">
        <f t="shared" si="2"/>
        <v>CTC001B72FMAdolecentes 10-19</v>
      </c>
      <c r="G56" s="41" t="s">
        <v>163</v>
      </c>
      <c r="H56" s="41" t="s">
        <v>654</v>
      </c>
    </row>
    <row r="57" spans="1:8">
      <c r="A57" s="41" t="s">
        <v>57</v>
      </c>
      <c r="B57" s="39" t="s">
        <v>232</v>
      </c>
      <c r="C57" s="39" t="s">
        <v>228</v>
      </c>
      <c r="D57" s="41" t="str">
        <f t="shared" si="0"/>
        <v>CTC001B73FM</v>
      </c>
      <c r="E57" s="41" t="str">
        <f t="shared" si="1"/>
        <v>CTC001B73Adolecentes 10-19</v>
      </c>
      <c r="F57" s="41" t="str">
        <f t="shared" si="2"/>
        <v>CTC001B73FMAdolecentes 10-19</v>
      </c>
      <c r="G57" s="41" t="s">
        <v>164</v>
      </c>
      <c r="H57" s="41" t="s">
        <v>654</v>
      </c>
    </row>
    <row r="58" spans="1:8">
      <c r="A58" s="41" t="s">
        <v>64</v>
      </c>
      <c r="B58" s="39" t="s">
        <v>232</v>
      </c>
      <c r="C58" s="39" t="s">
        <v>228</v>
      </c>
      <c r="D58" s="41" t="str">
        <f t="shared" si="0"/>
        <v>CTC001B80FM</v>
      </c>
      <c r="E58" s="41" t="str">
        <f t="shared" si="1"/>
        <v>CTC001B80Adolecentes 10-19</v>
      </c>
      <c r="F58" s="41" t="str">
        <f t="shared" si="2"/>
        <v>CTC001B80FMAdolecentes 10-19</v>
      </c>
      <c r="G58" s="41" t="s">
        <v>101</v>
      </c>
      <c r="H58" s="41" t="s">
        <v>65</v>
      </c>
    </row>
    <row r="59" spans="1:8">
      <c r="A59" s="41" t="s">
        <v>60</v>
      </c>
      <c r="B59" s="39" t="s">
        <v>232</v>
      </c>
      <c r="C59" s="39" t="s">
        <v>228</v>
      </c>
      <c r="D59" s="41" t="str">
        <f t="shared" si="0"/>
        <v>CTC002B72FM</v>
      </c>
      <c r="E59" s="41" t="str">
        <f t="shared" si="1"/>
        <v>CTC002B72Adolecentes 10-19</v>
      </c>
      <c r="F59" s="41" t="str">
        <f t="shared" si="2"/>
        <v>CTC002B72FMAdolecentes 10-19</v>
      </c>
      <c r="G59" s="41" t="s">
        <v>165</v>
      </c>
      <c r="H59" s="41" t="s">
        <v>654</v>
      </c>
    </row>
    <row r="60" spans="1:8">
      <c r="A60" s="41" t="s">
        <v>58</v>
      </c>
      <c r="B60" s="39" t="s">
        <v>232</v>
      </c>
      <c r="C60" s="39" t="s">
        <v>228</v>
      </c>
      <c r="D60" s="41" t="str">
        <f t="shared" si="0"/>
        <v>CTC002B73FM</v>
      </c>
      <c r="E60" s="41" t="str">
        <f t="shared" si="1"/>
        <v>CTC002B73Adolecentes 10-19</v>
      </c>
      <c r="F60" s="41" t="str">
        <f t="shared" si="2"/>
        <v>CTC002B73FMAdolecentes 10-19</v>
      </c>
      <c r="G60" s="41" t="s">
        <v>166</v>
      </c>
      <c r="H60" s="41" t="s">
        <v>654</v>
      </c>
    </row>
    <row r="61" spans="1:8">
      <c r="A61" s="41" t="s">
        <v>67</v>
      </c>
      <c r="B61" s="39" t="s">
        <v>232</v>
      </c>
      <c r="C61" s="39" t="s">
        <v>228</v>
      </c>
      <c r="D61" s="41" t="str">
        <f t="shared" si="0"/>
        <v>CTC002B80FM</v>
      </c>
      <c r="E61" s="41" t="str">
        <f t="shared" si="1"/>
        <v>CTC002B80Adolecentes 10-19</v>
      </c>
      <c r="F61" s="41" t="str">
        <f t="shared" si="2"/>
        <v>CTC002B80FMAdolecentes 10-19</v>
      </c>
      <c r="G61" s="41" t="s">
        <v>102</v>
      </c>
      <c r="H61" s="41" t="s">
        <v>65</v>
      </c>
    </row>
    <row r="62" spans="1:8">
      <c r="A62" s="41" t="s">
        <v>134</v>
      </c>
      <c r="B62" s="39" t="s">
        <v>232</v>
      </c>
      <c r="C62" s="39" t="s">
        <v>228</v>
      </c>
      <c r="D62" s="41" t="str">
        <f t="shared" si="0"/>
        <v>CTC001P20FM</v>
      </c>
      <c r="E62" s="41" t="str">
        <f t="shared" si="1"/>
        <v>CTC001P20Adolecentes 10-19</v>
      </c>
      <c r="F62" s="41" t="str">
        <f t="shared" si="2"/>
        <v>CTC001P20FMAdolecentes 10-19</v>
      </c>
      <c r="G62" s="41" t="s">
        <v>107</v>
      </c>
      <c r="H62" s="41" t="s">
        <v>404</v>
      </c>
    </row>
    <row r="63" spans="1:8">
      <c r="A63" s="41" t="s">
        <v>135</v>
      </c>
      <c r="B63" s="39" t="s">
        <v>232</v>
      </c>
      <c r="C63" s="39" t="s">
        <v>228</v>
      </c>
      <c r="D63" s="41" t="str">
        <f t="shared" si="0"/>
        <v>CTC001P23FM</v>
      </c>
      <c r="E63" s="41" t="str">
        <f t="shared" si="1"/>
        <v>CTC001P23Adolecentes 10-19</v>
      </c>
      <c r="F63" s="41" t="str">
        <f t="shared" si="2"/>
        <v>CTC001P23FMAdolecentes 10-19</v>
      </c>
      <c r="G63" s="41" t="s">
        <v>107</v>
      </c>
      <c r="H63" s="41" t="s">
        <v>404</v>
      </c>
    </row>
    <row r="64" spans="1:8">
      <c r="A64" s="41" t="s">
        <v>136</v>
      </c>
      <c r="B64" s="39" t="s">
        <v>232</v>
      </c>
      <c r="C64" s="39" t="s">
        <v>228</v>
      </c>
      <c r="D64" s="41" t="str">
        <f t="shared" si="0"/>
        <v>CTC001P24FM</v>
      </c>
      <c r="E64" s="41" t="str">
        <f t="shared" si="1"/>
        <v>CTC001P24Adolecentes 10-19</v>
      </c>
      <c r="F64" s="41" t="str">
        <f t="shared" si="2"/>
        <v>CTC001P24FMAdolecentes 10-19</v>
      </c>
      <c r="G64" s="41" t="s">
        <v>107</v>
      </c>
      <c r="H64" s="41" t="s">
        <v>404</v>
      </c>
    </row>
    <row r="65" spans="1:8">
      <c r="A65" s="41" t="s">
        <v>99</v>
      </c>
      <c r="B65" s="39" t="s">
        <v>232</v>
      </c>
      <c r="C65" s="39" t="s">
        <v>228</v>
      </c>
      <c r="D65" s="41" t="str">
        <f t="shared" si="0"/>
        <v>CTC001P98FM</v>
      </c>
      <c r="E65" s="41" t="str">
        <f t="shared" si="1"/>
        <v>CTC001P98Adolecentes 10-19</v>
      </c>
      <c r="F65" s="41" t="str">
        <f t="shared" si="2"/>
        <v>CTC001P98FMAdolecentes 10-19</v>
      </c>
      <c r="G65" s="41" t="s">
        <v>100</v>
      </c>
      <c r="H65" s="41" t="s">
        <v>404</v>
      </c>
    </row>
    <row r="66" spans="1:8">
      <c r="A66" s="41" t="s">
        <v>140</v>
      </c>
      <c r="B66" s="39" t="s">
        <v>232</v>
      </c>
      <c r="C66" s="39" t="s">
        <v>228</v>
      </c>
      <c r="D66" s="41" t="str">
        <f t="shared" ref="D66:D129" si="3">+CONCATENATE(A66,C66)</f>
        <v>CTC002P20FM</v>
      </c>
      <c r="E66" s="41" t="str">
        <f t="shared" ref="E66:E129" si="4">+CONCATENATE(A66,B66)</f>
        <v>CTC002P20Adolecentes 10-19</v>
      </c>
      <c r="F66" s="41" t="str">
        <f t="shared" ref="F66:F129" si="5">CONCATENATE(A66,C66,B66)</f>
        <v>CTC002P20FMAdolecentes 10-19</v>
      </c>
      <c r="G66" s="41" t="s">
        <v>108</v>
      </c>
      <c r="H66" s="41" t="s">
        <v>404</v>
      </c>
    </row>
    <row r="67" spans="1:8">
      <c r="A67" s="41" t="s">
        <v>141</v>
      </c>
      <c r="B67" s="39" t="s">
        <v>232</v>
      </c>
      <c r="C67" s="39" t="s">
        <v>228</v>
      </c>
      <c r="D67" s="41" t="str">
        <f t="shared" si="3"/>
        <v>CTC002P23FM</v>
      </c>
      <c r="E67" s="41" t="str">
        <f t="shared" si="4"/>
        <v>CTC002P23Adolecentes 10-19</v>
      </c>
      <c r="F67" s="41" t="str">
        <f t="shared" si="5"/>
        <v>CTC002P23FMAdolecentes 10-19</v>
      </c>
      <c r="G67" s="41" t="s">
        <v>108</v>
      </c>
      <c r="H67" s="41" t="s">
        <v>404</v>
      </c>
    </row>
    <row r="68" spans="1:8">
      <c r="A68" s="41" t="s">
        <v>142</v>
      </c>
      <c r="B68" s="39" t="s">
        <v>232</v>
      </c>
      <c r="C68" s="39" t="s">
        <v>228</v>
      </c>
      <c r="D68" s="41" t="str">
        <f t="shared" si="3"/>
        <v>CTC002P24FM</v>
      </c>
      <c r="E68" s="41" t="str">
        <f t="shared" si="4"/>
        <v>CTC002P24Adolecentes 10-19</v>
      </c>
      <c r="F68" s="41" t="str">
        <f t="shared" si="5"/>
        <v>CTC002P24FMAdolecentes 10-19</v>
      </c>
      <c r="G68" s="41" t="s">
        <v>108</v>
      </c>
      <c r="H68" s="41" t="s">
        <v>404</v>
      </c>
    </row>
    <row r="69" spans="1:8">
      <c r="A69" s="41" t="s">
        <v>69</v>
      </c>
      <c r="B69" s="39" t="s">
        <v>232</v>
      </c>
      <c r="C69" s="39" t="s">
        <v>228</v>
      </c>
      <c r="D69" s="41" t="str">
        <f t="shared" si="3"/>
        <v>CTC001R96FM</v>
      </c>
      <c r="E69" s="41" t="str">
        <f t="shared" si="4"/>
        <v>CTC001R96Adolecentes 10-19</v>
      </c>
      <c r="F69" s="41" t="str">
        <f t="shared" si="5"/>
        <v>CTC001R96FMAdolecentes 10-19</v>
      </c>
      <c r="G69" s="41" t="s">
        <v>70</v>
      </c>
      <c r="H69" s="41" t="s">
        <v>655</v>
      </c>
    </row>
    <row r="70" spans="1:8">
      <c r="A70" s="41" t="s">
        <v>138</v>
      </c>
      <c r="B70" s="39" t="s">
        <v>232</v>
      </c>
      <c r="C70" s="39" t="s">
        <v>228</v>
      </c>
      <c r="D70" s="41" t="str">
        <f t="shared" si="3"/>
        <v>CTC001T79FM</v>
      </c>
      <c r="E70" s="41" t="str">
        <f t="shared" si="4"/>
        <v>CTC001T79Adolecentes 10-19</v>
      </c>
      <c r="F70" s="41" t="str">
        <f t="shared" si="5"/>
        <v>CTC001T79FMAdolecentes 10-19</v>
      </c>
      <c r="G70" s="41" t="s">
        <v>61</v>
      </c>
      <c r="H70" s="41" t="s">
        <v>29</v>
      </c>
    </row>
    <row r="71" spans="1:8">
      <c r="A71" s="41" t="s">
        <v>139</v>
      </c>
      <c r="B71" s="39" t="s">
        <v>232</v>
      </c>
      <c r="C71" s="39" t="s">
        <v>228</v>
      </c>
      <c r="D71" s="41" t="str">
        <f t="shared" si="3"/>
        <v>CTC001T82FM</v>
      </c>
      <c r="E71" s="41" t="str">
        <f t="shared" si="4"/>
        <v>CTC001T82Adolecentes 10-19</v>
      </c>
      <c r="F71" s="41" t="str">
        <f t="shared" si="5"/>
        <v>CTC001T82FMAdolecentes 10-19</v>
      </c>
      <c r="G71" s="41" t="s">
        <v>61</v>
      </c>
      <c r="H71" s="41" t="s">
        <v>29</v>
      </c>
    </row>
    <row r="72" spans="1:8">
      <c r="A72" s="41" t="s">
        <v>62</v>
      </c>
      <c r="B72" s="39" t="s">
        <v>232</v>
      </c>
      <c r="C72" s="39" t="s">
        <v>228</v>
      </c>
      <c r="D72" s="41" t="str">
        <f t="shared" si="3"/>
        <v>CTC001T83FM</v>
      </c>
      <c r="E72" s="41" t="str">
        <f t="shared" si="4"/>
        <v>CTC001T83Adolecentes 10-19</v>
      </c>
      <c r="F72" s="41" t="str">
        <f t="shared" si="5"/>
        <v>CTC001T83FMAdolecentes 10-19</v>
      </c>
      <c r="G72" s="41" t="s">
        <v>656</v>
      </c>
      <c r="H72" s="41" t="s">
        <v>19</v>
      </c>
    </row>
    <row r="73" spans="1:8">
      <c r="A73" s="41" t="s">
        <v>71</v>
      </c>
      <c r="B73" s="39" t="s">
        <v>232</v>
      </c>
      <c r="C73" s="39" t="s">
        <v>228</v>
      </c>
      <c r="D73" s="41" t="str">
        <f t="shared" si="3"/>
        <v>CTC002R96FM</v>
      </c>
      <c r="E73" s="41" t="str">
        <f t="shared" si="4"/>
        <v>CTC002R96Adolecentes 10-19</v>
      </c>
      <c r="F73" s="41" t="str">
        <f t="shared" si="5"/>
        <v>CTC002R96FMAdolecentes 10-19</v>
      </c>
      <c r="G73" s="41" t="s">
        <v>72</v>
      </c>
      <c r="H73" s="41" t="s">
        <v>655</v>
      </c>
    </row>
    <row r="74" spans="1:8">
      <c r="A74" s="41" t="s">
        <v>144</v>
      </c>
      <c r="B74" s="39" t="s">
        <v>232</v>
      </c>
      <c r="C74" s="39" t="s">
        <v>228</v>
      </c>
      <c r="D74" s="41" t="str">
        <f t="shared" si="3"/>
        <v>CTC002T79FM</v>
      </c>
      <c r="E74" s="41" t="str">
        <f t="shared" si="4"/>
        <v>CTC002T79Adolecentes 10-19</v>
      </c>
      <c r="F74" s="41" t="str">
        <f t="shared" si="5"/>
        <v>CTC002T79FMAdolecentes 10-19</v>
      </c>
      <c r="G74" s="41" t="s">
        <v>30</v>
      </c>
      <c r="H74" s="41" t="s">
        <v>29</v>
      </c>
    </row>
    <row r="75" spans="1:8">
      <c r="A75" s="41" t="s">
        <v>145</v>
      </c>
      <c r="B75" s="39" t="s">
        <v>232</v>
      </c>
      <c r="C75" s="39" t="s">
        <v>228</v>
      </c>
      <c r="D75" s="41" t="str">
        <f t="shared" si="3"/>
        <v>CTC002T82FM</v>
      </c>
      <c r="E75" s="41" t="str">
        <f t="shared" si="4"/>
        <v>CTC002T82Adolecentes 10-19</v>
      </c>
      <c r="F75" s="41" t="str">
        <f t="shared" si="5"/>
        <v>CTC002T82FMAdolecentes 10-19</v>
      </c>
      <c r="G75" s="41" t="s">
        <v>30</v>
      </c>
      <c r="H75" s="41" t="s">
        <v>29</v>
      </c>
    </row>
    <row r="76" spans="1:8">
      <c r="A76" s="41" t="s">
        <v>20</v>
      </c>
      <c r="B76" s="39" t="s">
        <v>232</v>
      </c>
      <c r="C76" s="39" t="s">
        <v>228</v>
      </c>
      <c r="D76" s="41" t="str">
        <f t="shared" si="3"/>
        <v>CTC002T83FM</v>
      </c>
      <c r="E76" s="41" t="str">
        <f t="shared" si="4"/>
        <v>CTC002T83Adolecentes 10-19</v>
      </c>
      <c r="F76" s="41" t="str">
        <f t="shared" si="5"/>
        <v>CTC002T83FMAdolecentes 10-19</v>
      </c>
      <c r="G76" s="41" t="s">
        <v>21</v>
      </c>
      <c r="H76" s="41" t="s">
        <v>19</v>
      </c>
    </row>
    <row r="77" spans="1:8">
      <c r="A77" s="41" t="s">
        <v>23</v>
      </c>
      <c r="B77" s="39" t="s">
        <v>232</v>
      </c>
      <c r="C77" s="39" t="s">
        <v>228</v>
      </c>
      <c r="D77" s="41" t="str">
        <f t="shared" si="3"/>
        <v>CTC008A97FM</v>
      </c>
      <c r="E77" s="41" t="str">
        <f t="shared" si="4"/>
        <v>CTC008A97Adolecentes 10-19</v>
      </c>
      <c r="F77" s="41" t="str">
        <f t="shared" si="5"/>
        <v>CTC008A97FMAdolecentes 10-19</v>
      </c>
      <c r="G77" s="41" t="s">
        <v>168</v>
      </c>
      <c r="H77" s="41" t="s">
        <v>192</v>
      </c>
    </row>
    <row r="78" spans="1:8">
      <c r="A78" s="41" t="s">
        <v>112</v>
      </c>
      <c r="B78" s="39" t="s">
        <v>232</v>
      </c>
      <c r="C78" s="39" t="s">
        <v>228</v>
      </c>
      <c r="D78" s="41" t="str">
        <f t="shared" si="3"/>
        <v>CTC009A97FM</v>
      </c>
      <c r="E78" s="41" t="str">
        <f t="shared" si="4"/>
        <v>CTC009A97Adolecentes 10-19</v>
      </c>
      <c r="F78" s="41" t="str">
        <f t="shared" si="5"/>
        <v>CTC009A97FMAdolecentes 10-19</v>
      </c>
      <c r="G78" s="41" t="s">
        <v>79</v>
      </c>
      <c r="H78" s="41" t="s">
        <v>192</v>
      </c>
    </row>
    <row r="79" spans="1:8">
      <c r="A79" s="41" t="s">
        <v>78</v>
      </c>
      <c r="B79" s="39" t="s">
        <v>232</v>
      </c>
      <c r="C79" s="39" t="s">
        <v>228</v>
      </c>
      <c r="D79" s="41" t="str">
        <f t="shared" si="3"/>
        <v>CTC011A97FM</v>
      </c>
      <c r="E79" s="41" t="str">
        <f t="shared" si="4"/>
        <v>CTC011A97Adolecentes 10-19</v>
      </c>
      <c r="F79" s="41" t="str">
        <f t="shared" si="5"/>
        <v>CTC011A97FMAdolecentes 10-19</v>
      </c>
      <c r="G79" s="41" t="s">
        <v>170</v>
      </c>
      <c r="H79" s="41" t="s">
        <v>192</v>
      </c>
    </row>
    <row r="80" spans="1:8">
      <c r="A80" s="41" t="s">
        <v>266</v>
      </c>
      <c r="B80" s="39" t="s">
        <v>232</v>
      </c>
      <c r="C80" s="39" t="s">
        <v>226</v>
      </c>
      <c r="D80" s="41" t="str">
        <f t="shared" si="3"/>
        <v>IGR031W78HC</v>
      </c>
      <c r="E80" s="41" t="str">
        <f t="shared" si="4"/>
        <v>IGR031W78Adolecentes 10-19</v>
      </c>
      <c r="F80" s="41" t="str">
        <f t="shared" si="5"/>
        <v>IGR031W78HCAdolecentes 10-19</v>
      </c>
      <c r="G80" s="41" t="s">
        <v>657</v>
      </c>
      <c r="H80" s="41" t="s">
        <v>82</v>
      </c>
    </row>
    <row r="81" spans="1:8">
      <c r="A81" s="41" t="s">
        <v>266</v>
      </c>
      <c r="B81" s="39" t="s">
        <v>232</v>
      </c>
      <c r="C81" s="39" t="s">
        <v>228</v>
      </c>
      <c r="D81" s="41" t="str">
        <f t="shared" si="3"/>
        <v>IGR031W78FM</v>
      </c>
      <c r="E81" s="41" t="str">
        <f t="shared" si="4"/>
        <v>IGR031W78Adolecentes 10-19</v>
      </c>
      <c r="F81" s="41" t="str">
        <f t="shared" si="5"/>
        <v>IGR031W78FMAdolecentes 10-19</v>
      </c>
      <c r="G81" s="41" t="s">
        <v>657</v>
      </c>
      <c r="H81" s="41" t="s">
        <v>82</v>
      </c>
    </row>
    <row r="82" spans="1:8">
      <c r="A82" s="41" t="s">
        <v>266</v>
      </c>
      <c r="B82" s="39" t="s">
        <v>232</v>
      </c>
      <c r="C82" s="39" t="s">
        <v>237</v>
      </c>
      <c r="D82" s="41" t="str">
        <f t="shared" si="3"/>
        <v>IGR031W78LSI</v>
      </c>
      <c r="E82" s="41" t="str">
        <f t="shared" si="4"/>
        <v>IGR031W78Adolecentes 10-19</v>
      </c>
      <c r="F82" s="41" t="str">
        <f t="shared" si="5"/>
        <v>IGR031W78LSIAdolecentes 10-19</v>
      </c>
      <c r="G82" s="41" t="s">
        <v>657</v>
      </c>
      <c r="H82" s="41" t="s">
        <v>82</v>
      </c>
    </row>
    <row r="83" spans="1:8">
      <c r="A83" s="41" t="s">
        <v>105</v>
      </c>
      <c r="B83" s="39" t="s">
        <v>232</v>
      </c>
      <c r="C83" s="39" t="s">
        <v>226</v>
      </c>
      <c r="D83" s="41" t="str">
        <f t="shared" si="3"/>
        <v>CAW004A98HC</v>
      </c>
      <c r="E83" s="41" t="str">
        <f t="shared" si="4"/>
        <v>CAW004A98Adolecentes 10-19</v>
      </c>
      <c r="F83" s="41" t="str">
        <f t="shared" si="5"/>
        <v>CAW004A98HCAdolecentes 10-19</v>
      </c>
      <c r="G83" s="41" t="s">
        <v>658</v>
      </c>
      <c r="H83" s="41" t="s">
        <v>192</v>
      </c>
    </row>
    <row r="84" spans="1:8">
      <c r="A84" s="41" t="s">
        <v>103</v>
      </c>
      <c r="B84" s="39" t="s">
        <v>232</v>
      </c>
      <c r="C84" s="39" t="s">
        <v>226</v>
      </c>
      <c r="D84" s="41" t="str">
        <f t="shared" si="3"/>
        <v>CAW005A98HC</v>
      </c>
      <c r="E84" s="41" t="str">
        <f t="shared" si="4"/>
        <v>CAW005A98Adolecentes 10-19</v>
      </c>
      <c r="F84" s="41" t="str">
        <f t="shared" si="5"/>
        <v>CAW005A98HCAdolecentes 10-19</v>
      </c>
      <c r="G84" s="41" t="s">
        <v>659</v>
      </c>
      <c r="H84" s="41" t="s">
        <v>192</v>
      </c>
    </row>
    <row r="85" spans="1:8">
      <c r="A85" s="41" t="s">
        <v>105</v>
      </c>
      <c r="B85" s="39" t="s">
        <v>232</v>
      </c>
      <c r="C85" s="39" t="s">
        <v>228</v>
      </c>
      <c r="D85" s="41" t="str">
        <f t="shared" si="3"/>
        <v>CAW004A98FM</v>
      </c>
      <c r="E85" s="41" t="str">
        <f t="shared" si="4"/>
        <v>CAW004A98Adolecentes 10-19</v>
      </c>
      <c r="F85" s="41" t="str">
        <f t="shared" si="5"/>
        <v>CAW004A98FMAdolecentes 10-19</v>
      </c>
      <c r="G85" s="41" t="s">
        <v>658</v>
      </c>
      <c r="H85" s="41" t="s">
        <v>192</v>
      </c>
    </row>
    <row r="86" spans="1:8">
      <c r="A86" s="41" t="s">
        <v>103</v>
      </c>
      <c r="B86" s="39" t="s">
        <v>232</v>
      </c>
      <c r="C86" s="39" t="s">
        <v>228</v>
      </c>
      <c r="D86" s="41" t="str">
        <f t="shared" si="3"/>
        <v>CAW005A98FM</v>
      </c>
      <c r="E86" s="41" t="str">
        <f t="shared" si="4"/>
        <v>CAW005A98Adolecentes 10-19</v>
      </c>
      <c r="F86" s="41" t="str">
        <f t="shared" si="5"/>
        <v>CAW005A98FMAdolecentes 10-19</v>
      </c>
      <c r="G86" s="41" t="s">
        <v>659</v>
      </c>
      <c r="H86" s="41" t="s">
        <v>192</v>
      </c>
    </row>
    <row r="87" spans="1:8">
      <c r="A87" s="41" t="s">
        <v>105</v>
      </c>
      <c r="B87" s="39" t="s">
        <v>232</v>
      </c>
      <c r="C87" s="39" t="s">
        <v>425</v>
      </c>
      <c r="D87" s="41" t="str">
        <f t="shared" si="3"/>
        <v>CAW004A98PAS</v>
      </c>
      <c r="E87" s="41" t="str">
        <f t="shared" si="4"/>
        <v>CAW004A98Adolecentes 10-19</v>
      </c>
      <c r="F87" s="41" t="str">
        <f t="shared" si="5"/>
        <v>CAW004A98PASAdolecentes 10-19</v>
      </c>
      <c r="G87" s="41" t="s">
        <v>658</v>
      </c>
      <c r="H87" s="41" t="s">
        <v>192</v>
      </c>
    </row>
    <row r="88" spans="1:8">
      <c r="A88" s="41" t="s">
        <v>103</v>
      </c>
      <c r="B88" s="39" t="s">
        <v>232</v>
      </c>
      <c r="C88" s="39" t="s">
        <v>425</v>
      </c>
      <c r="D88" s="41" t="str">
        <f t="shared" si="3"/>
        <v>CAW005A98PAS</v>
      </c>
      <c r="E88" s="41" t="str">
        <f t="shared" si="4"/>
        <v>CAW005A98Adolecentes 10-19</v>
      </c>
      <c r="F88" s="41" t="str">
        <f t="shared" si="5"/>
        <v>CAW005A98PASAdolecentes 10-19</v>
      </c>
      <c r="G88" s="41" t="s">
        <v>659</v>
      </c>
      <c r="H88" s="41" t="s">
        <v>192</v>
      </c>
    </row>
    <row r="89" spans="1:8">
      <c r="A89" s="41" t="s">
        <v>18</v>
      </c>
      <c r="B89" s="39" t="s">
        <v>232</v>
      </c>
      <c r="C89" s="39" t="s">
        <v>226</v>
      </c>
      <c r="D89" s="41" t="str">
        <f t="shared" si="3"/>
        <v>CTC010A97HC</v>
      </c>
      <c r="E89" s="41" t="str">
        <f t="shared" si="4"/>
        <v>CTC010A97Adolecentes 10-19</v>
      </c>
      <c r="F89" s="41" t="str">
        <f t="shared" si="5"/>
        <v>CTC010A97HCAdolecentes 10-19</v>
      </c>
      <c r="G89" s="41" t="s">
        <v>169</v>
      </c>
      <c r="H89" s="41" t="s">
        <v>192</v>
      </c>
    </row>
    <row r="90" spans="1:8">
      <c r="A90" s="41" t="s">
        <v>18</v>
      </c>
      <c r="B90" s="39" t="s">
        <v>232</v>
      </c>
      <c r="C90" s="39" t="s">
        <v>426</v>
      </c>
      <c r="D90" s="41" t="str">
        <f t="shared" si="3"/>
        <v>CTC010A97FOd</v>
      </c>
      <c r="E90" s="41" t="str">
        <f t="shared" si="4"/>
        <v>CTC010A97Adolecentes 10-19</v>
      </c>
      <c r="F90" s="41" t="str">
        <f t="shared" si="5"/>
        <v>CTC010A97FOdAdolecentes 10-19</v>
      </c>
      <c r="G90" s="41" t="s">
        <v>169</v>
      </c>
      <c r="H90" s="41" t="s">
        <v>192</v>
      </c>
    </row>
    <row r="91" spans="1:8">
      <c r="A91" s="41" t="s">
        <v>321</v>
      </c>
      <c r="B91" s="39" t="s">
        <v>232</v>
      </c>
      <c r="C91" s="39" t="s">
        <v>226</v>
      </c>
      <c r="D91" s="41" t="str">
        <f t="shared" si="3"/>
        <v>CTC007O10.0HC</v>
      </c>
      <c r="E91" s="41" t="str">
        <f t="shared" si="4"/>
        <v>CTC007O10.0Adolecentes 10-19</v>
      </c>
      <c r="F91" s="41" t="str">
        <f t="shared" si="5"/>
        <v>CTC007O10.0HCAdolecentes 10-19</v>
      </c>
      <c r="G91" s="41" t="s">
        <v>93</v>
      </c>
      <c r="H91" s="41" t="s">
        <v>91</v>
      </c>
    </row>
    <row r="92" spans="1:8">
      <c r="A92" s="41" t="s">
        <v>146</v>
      </c>
      <c r="B92" s="39" t="s">
        <v>232</v>
      </c>
      <c r="C92" s="39" t="s">
        <v>226</v>
      </c>
      <c r="D92" s="41" t="str">
        <f t="shared" si="3"/>
        <v>CTC007O10.4HC</v>
      </c>
      <c r="E92" s="41" t="str">
        <f t="shared" si="4"/>
        <v>CTC007O10.4Adolecentes 10-19</v>
      </c>
      <c r="F92" s="41" t="str">
        <f t="shared" si="5"/>
        <v>CTC007O10.4HCAdolecentes 10-19</v>
      </c>
      <c r="G92" s="41" t="s">
        <v>93</v>
      </c>
      <c r="H92" s="41" t="s">
        <v>91</v>
      </c>
    </row>
    <row r="93" spans="1:8">
      <c r="A93" s="41" t="s">
        <v>97</v>
      </c>
      <c r="B93" s="39" t="s">
        <v>232</v>
      </c>
      <c r="C93" s="39" t="s">
        <v>226</v>
      </c>
      <c r="D93" s="41" t="str">
        <f t="shared" si="3"/>
        <v>CTC007O16HC</v>
      </c>
      <c r="E93" s="41" t="str">
        <f t="shared" si="4"/>
        <v>CTC007O16Adolecentes 10-19</v>
      </c>
      <c r="F93" s="41" t="str">
        <f t="shared" si="5"/>
        <v>CTC007O16HCAdolecentes 10-19</v>
      </c>
      <c r="G93" s="41" t="s">
        <v>98</v>
      </c>
      <c r="H93" s="41" t="s">
        <v>95</v>
      </c>
    </row>
    <row r="94" spans="1:8">
      <c r="A94" s="41" t="s">
        <v>89</v>
      </c>
      <c r="B94" s="39" t="s">
        <v>232</v>
      </c>
      <c r="C94" s="39" t="s">
        <v>226</v>
      </c>
      <c r="D94" s="41" t="str">
        <f t="shared" si="3"/>
        <v>CTC007O24.4HC</v>
      </c>
      <c r="E94" s="41" t="str">
        <f t="shared" si="4"/>
        <v>CTC007O24.4Adolecentes 10-19</v>
      </c>
      <c r="F94" s="41" t="str">
        <f t="shared" si="5"/>
        <v>CTC007O24.4HCAdolecentes 10-19</v>
      </c>
      <c r="G94" s="41" t="s">
        <v>90</v>
      </c>
      <c r="H94" s="41" t="s">
        <v>86</v>
      </c>
    </row>
    <row r="95" spans="1:8">
      <c r="A95" s="41" t="s">
        <v>326</v>
      </c>
      <c r="B95" s="39" t="s">
        <v>232</v>
      </c>
      <c r="C95" s="39" t="s">
        <v>226</v>
      </c>
      <c r="D95" s="41" t="str">
        <f t="shared" si="3"/>
        <v>CTC022O10.0HC</v>
      </c>
      <c r="E95" s="41" t="str">
        <f t="shared" si="4"/>
        <v>CTC022O10.0Adolecentes 10-19</v>
      </c>
      <c r="F95" s="41" t="str">
        <f t="shared" si="5"/>
        <v>CTC022O10.0HCAdolecentes 10-19</v>
      </c>
      <c r="G95" s="41" t="s">
        <v>92</v>
      </c>
      <c r="H95" s="41" t="s">
        <v>91</v>
      </c>
    </row>
    <row r="96" spans="1:8">
      <c r="A96" s="41" t="s">
        <v>147</v>
      </c>
      <c r="B96" s="39" t="s">
        <v>232</v>
      </c>
      <c r="C96" s="39" t="s">
        <v>226</v>
      </c>
      <c r="D96" s="41" t="str">
        <f t="shared" si="3"/>
        <v>CTC022O10.4HC</v>
      </c>
      <c r="E96" s="41" t="str">
        <f t="shared" si="4"/>
        <v>CTC022O10.4Adolecentes 10-19</v>
      </c>
      <c r="F96" s="41" t="str">
        <f t="shared" si="5"/>
        <v>CTC022O10.4HCAdolecentes 10-19</v>
      </c>
      <c r="G96" s="41" t="s">
        <v>92</v>
      </c>
      <c r="H96" s="41" t="s">
        <v>91</v>
      </c>
    </row>
    <row r="97" spans="1:8">
      <c r="A97" s="41" t="s">
        <v>96</v>
      </c>
      <c r="B97" s="39" t="s">
        <v>232</v>
      </c>
      <c r="C97" s="39" t="s">
        <v>226</v>
      </c>
      <c r="D97" s="41" t="str">
        <f t="shared" si="3"/>
        <v>CTC022O16HC</v>
      </c>
      <c r="E97" s="41" t="str">
        <f t="shared" si="4"/>
        <v>CTC022O16Adolecentes 10-19</v>
      </c>
      <c r="F97" s="41" t="str">
        <f t="shared" si="5"/>
        <v>CTC022O16HCAdolecentes 10-19</v>
      </c>
      <c r="G97" s="41" t="s">
        <v>414</v>
      </c>
      <c r="H97" s="41" t="s">
        <v>95</v>
      </c>
    </row>
    <row r="98" spans="1:8">
      <c r="A98" s="41" t="s">
        <v>87</v>
      </c>
      <c r="B98" s="39" t="s">
        <v>232</v>
      </c>
      <c r="C98" s="39" t="s">
        <v>226</v>
      </c>
      <c r="D98" s="41" t="str">
        <f t="shared" si="3"/>
        <v>CTC022O24.4HC</v>
      </c>
      <c r="E98" s="41" t="str">
        <f t="shared" si="4"/>
        <v>CTC022O24.4Adolecentes 10-19</v>
      </c>
      <c r="F98" s="41" t="str">
        <f t="shared" si="5"/>
        <v>CTC022O24.4HCAdolecentes 10-19</v>
      </c>
      <c r="G98" s="41" t="s">
        <v>88</v>
      </c>
      <c r="H98" s="41" t="s">
        <v>86</v>
      </c>
    </row>
    <row r="99" spans="1:8">
      <c r="A99" s="41" t="s">
        <v>321</v>
      </c>
      <c r="B99" s="39" t="s">
        <v>232</v>
      </c>
      <c r="C99" s="39" t="s">
        <v>238</v>
      </c>
      <c r="D99" s="41" t="str">
        <f t="shared" si="3"/>
        <v>CTC007O10.0HCPB</v>
      </c>
      <c r="E99" s="41" t="str">
        <f t="shared" si="4"/>
        <v>CTC007O10.0Adolecentes 10-19</v>
      </c>
      <c r="F99" s="41" t="str">
        <f t="shared" si="5"/>
        <v>CTC007O10.0HCPBAdolecentes 10-19</v>
      </c>
      <c r="G99" s="41" t="s">
        <v>93</v>
      </c>
      <c r="H99" s="41" t="s">
        <v>91</v>
      </c>
    </row>
    <row r="100" spans="1:8">
      <c r="A100" s="41" t="s">
        <v>146</v>
      </c>
      <c r="B100" s="39" t="s">
        <v>232</v>
      </c>
      <c r="C100" s="39" t="s">
        <v>238</v>
      </c>
      <c r="D100" s="41" t="str">
        <f t="shared" si="3"/>
        <v>CTC007O10.4HCPB</v>
      </c>
      <c r="E100" s="41" t="str">
        <f t="shared" si="4"/>
        <v>CTC007O10.4Adolecentes 10-19</v>
      </c>
      <c r="F100" s="41" t="str">
        <f t="shared" si="5"/>
        <v>CTC007O10.4HCPBAdolecentes 10-19</v>
      </c>
      <c r="G100" s="41" t="s">
        <v>93</v>
      </c>
      <c r="H100" s="41" t="s">
        <v>91</v>
      </c>
    </row>
    <row r="101" spans="1:8">
      <c r="A101" s="41" t="s">
        <v>97</v>
      </c>
      <c r="B101" s="39" t="s">
        <v>232</v>
      </c>
      <c r="C101" s="39" t="s">
        <v>238</v>
      </c>
      <c r="D101" s="41" t="str">
        <f t="shared" si="3"/>
        <v>CTC007O16HCPB</v>
      </c>
      <c r="E101" s="41" t="str">
        <f t="shared" si="4"/>
        <v>CTC007O16Adolecentes 10-19</v>
      </c>
      <c r="F101" s="41" t="str">
        <f t="shared" si="5"/>
        <v>CTC007O16HCPBAdolecentes 10-19</v>
      </c>
      <c r="G101" s="41" t="s">
        <v>98</v>
      </c>
      <c r="H101" s="41" t="s">
        <v>95</v>
      </c>
    </row>
    <row r="102" spans="1:8">
      <c r="A102" s="41" t="s">
        <v>89</v>
      </c>
      <c r="B102" s="39" t="s">
        <v>232</v>
      </c>
      <c r="C102" s="39" t="s">
        <v>238</v>
      </c>
      <c r="D102" s="41" t="str">
        <f t="shared" si="3"/>
        <v>CTC007O24.4HCPB</v>
      </c>
      <c r="E102" s="41" t="str">
        <f t="shared" si="4"/>
        <v>CTC007O24.4Adolecentes 10-19</v>
      </c>
      <c r="F102" s="41" t="str">
        <f t="shared" si="5"/>
        <v>CTC007O24.4HCPBAdolecentes 10-19</v>
      </c>
      <c r="G102" s="41" t="s">
        <v>90</v>
      </c>
      <c r="H102" s="41" t="s">
        <v>86</v>
      </c>
    </row>
    <row r="103" spans="1:8">
      <c r="A103" s="41" t="s">
        <v>326</v>
      </c>
      <c r="B103" s="39" t="s">
        <v>232</v>
      </c>
      <c r="C103" s="39" t="s">
        <v>238</v>
      </c>
      <c r="D103" s="41" t="str">
        <f t="shared" si="3"/>
        <v>CTC022O10.0HCPB</v>
      </c>
      <c r="E103" s="41" t="str">
        <f t="shared" si="4"/>
        <v>CTC022O10.0Adolecentes 10-19</v>
      </c>
      <c r="F103" s="41" t="str">
        <f t="shared" si="5"/>
        <v>CTC022O10.0HCPBAdolecentes 10-19</v>
      </c>
      <c r="G103" s="41" t="s">
        <v>92</v>
      </c>
      <c r="H103" s="41" t="s">
        <v>91</v>
      </c>
    </row>
    <row r="104" spans="1:8">
      <c r="A104" s="41" t="s">
        <v>147</v>
      </c>
      <c r="B104" s="39" t="s">
        <v>232</v>
      </c>
      <c r="C104" s="39" t="s">
        <v>238</v>
      </c>
      <c r="D104" s="41" t="str">
        <f t="shared" si="3"/>
        <v>CTC022O10.4HCPB</v>
      </c>
      <c r="E104" s="41" t="str">
        <f t="shared" si="4"/>
        <v>CTC022O10.4Adolecentes 10-19</v>
      </c>
      <c r="F104" s="41" t="str">
        <f t="shared" si="5"/>
        <v>CTC022O10.4HCPBAdolecentes 10-19</v>
      </c>
      <c r="G104" s="41" t="s">
        <v>92</v>
      </c>
      <c r="H104" s="41" t="s">
        <v>91</v>
      </c>
    </row>
    <row r="105" spans="1:8">
      <c r="A105" s="41" t="s">
        <v>96</v>
      </c>
      <c r="B105" s="39" t="s">
        <v>232</v>
      </c>
      <c r="C105" s="39" t="s">
        <v>238</v>
      </c>
      <c r="D105" s="41" t="str">
        <f t="shared" si="3"/>
        <v>CTC022O16HCPB</v>
      </c>
      <c r="E105" s="41" t="str">
        <f t="shared" si="4"/>
        <v>CTC022O16Adolecentes 10-19</v>
      </c>
      <c r="F105" s="41" t="str">
        <f t="shared" si="5"/>
        <v>CTC022O16HCPBAdolecentes 10-19</v>
      </c>
      <c r="G105" s="41" t="s">
        <v>414</v>
      </c>
      <c r="H105" s="41" t="s">
        <v>95</v>
      </c>
    </row>
    <row r="106" spans="1:8">
      <c r="A106" s="41" t="s">
        <v>87</v>
      </c>
      <c r="B106" s="39" t="s">
        <v>232</v>
      </c>
      <c r="C106" s="39" t="s">
        <v>238</v>
      </c>
      <c r="D106" s="41" t="str">
        <f t="shared" si="3"/>
        <v>CTC022O24.4HCPB</v>
      </c>
      <c r="E106" s="41" t="str">
        <f t="shared" si="4"/>
        <v>CTC022O24.4Adolecentes 10-19</v>
      </c>
      <c r="F106" s="41" t="str">
        <f t="shared" si="5"/>
        <v>CTC022O24.4HCPBAdolecentes 10-19</v>
      </c>
      <c r="G106" s="41" t="s">
        <v>88</v>
      </c>
      <c r="H106" s="41" t="s">
        <v>86</v>
      </c>
    </row>
    <row r="107" spans="1:8">
      <c r="A107" s="41" t="s">
        <v>321</v>
      </c>
      <c r="B107" s="39" t="s">
        <v>232</v>
      </c>
      <c r="C107" s="39" t="s">
        <v>228</v>
      </c>
      <c r="D107" s="41" t="str">
        <f t="shared" si="3"/>
        <v>CTC007O10.0FM</v>
      </c>
      <c r="E107" s="41" t="str">
        <f t="shared" si="4"/>
        <v>CTC007O10.0Adolecentes 10-19</v>
      </c>
      <c r="F107" s="41" t="str">
        <f t="shared" si="5"/>
        <v>CTC007O10.0FMAdolecentes 10-19</v>
      </c>
      <c r="G107" s="41" t="s">
        <v>93</v>
      </c>
      <c r="H107" s="41" t="s">
        <v>91</v>
      </c>
    </row>
    <row r="108" spans="1:8">
      <c r="A108" s="41" t="s">
        <v>146</v>
      </c>
      <c r="B108" s="39" t="s">
        <v>232</v>
      </c>
      <c r="C108" s="39" t="s">
        <v>228</v>
      </c>
      <c r="D108" s="41" t="str">
        <f t="shared" si="3"/>
        <v>CTC007O10.4FM</v>
      </c>
      <c r="E108" s="41" t="str">
        <f t="shared" si="4"/>
        <v>CTC007O10.4Adolecentes 10-19</v>
      </c>
      <c r="F108" s="41" t="str">
        <f t="shared" si="5"/>
        <v>CTC007O10.4FMAdolecentes 10-19</v>
      </c>
      <c r="G108" s="41" t="s">
        <v>93</v>
      </c>
      <c r="H108" s="41" t="s">
        <v>91</v>
      </c>
    </row>
    <row r="109" spans="1:8">
      <c r="A109" s="41" t="s">
        <v>97</v>
      </c>
      <c r="B109" s="39" t="s">
        <v>232</v>
      </c>
      <c r="C109" s="39" t="s">
        <v>228</v>
      </c>
      <c r="D109" s="41" t="str">
        <f t="shared" si="3"/>
        <v>CTC007O16FM</v>
      </c>
      <c r="E109" s="41" t="str">
        <f t="shared" si="4"/>
        <v>CTC007O16Adolecentes 10-19</v>
      </c>
      <c r="F109" s="41" t="str">
        <f t="shared" si="5"/>
        <v>CTC007O16FMAdolecentes 10-19</v>
      </c>
      <c r="G109" s="41" t="s">
        <v>98</v>
      </c>
      <c r="H109" s="41" t="s">
        <v>95</v>
      </c>
    </row>
    <row r="110" spans="1:8">
      <c r="A110" s="41" t="s">
        <v>89</v>
      </c>
      <c r="B110" s="39" t="s">
        <v>232</v>
      </c>
      <c r="C110" s="39" t="s">
        <v>228</v>
      </c>
      <c r="D110" s="41" t="str">
        <f t="shared" si="3"/>
        <v>CTC007O24.4FM</v>
      </c>
      <c r="E110" s="41" t="str">
        <f t="shared" si="4"/>
        <v>CTC007O24.4Adolecentes 10-19</v>
      </c>
      <c r="F110" s="41" t="str">
        <f t="shared" si="5"/>
        <v>CTC007O24.4FMAdolecentes 10-19</v>
      </c>
      <c r="G110" s="41" t="s">
        <v>90</v>
      </c>
      <c r="H110" s="41" t="s">
        <v>86</v>
      </c>
    </row>
    <row r="111" spans="1:8">
      <c r="A111" s="41" t="s">
        <v>326</v>
      </c>
      <c r="B111" s="39" t="s">
        <v>232</v>
      </c>
      <c r="C111" s="39" t="s">
        <v>228</v>
      </c>
      <c r="D111" s="41" t="str">
        <f t="shared" si="3"/>
        <v>CTC022O10.0FM</v>
      </c>
      <c r="E111" s="41" t="str">
        <f t="shared" si="4"/>
        <v>CTC022O10.0Adolecentes 10-19</v>
      </c>
      <c r="F111" s="41" t="str">
        <f t="shared" si="5"/>
        <v>CTC022O10.0FMAdolecentes 10-19</v>
      </c>
      <c r="G111" s="41" t="s">
        <v>92</v>
      </c>
      <c r="H111" s="41" t="s">
        <v>91</v>
      </c>
    </row>
    <row r="112" spans="1:8">
      <c r="A112" s="41" t="s">
        <v>147</v>
      </c>
      <c r="B112" s="39" t="s">
        <v>232</v>
      </c>
      <c r="C112" s="39" t="s">
        <v>228</v>
      </c>
      <c r="D112" s="41" t="str">
        <f t="shared" si="3"/>
        <v>CTC022O10.4FM</v>
      </c>
      <c r="E112" s="41" t="str">
        <f t="shared" si="4"/>
        <v>CTC022O10.4Adolecentes 10-19</v>
      </c>
      <c r="F112" s="41" t="str">
        <f t="shared" si="5"/>
        <v>CTC022O10.4FMAdolecentes 10-19</v>
      </c>
      <c r="G112" s="41" t="s">
        <v>92</v>
      </c>
      <c r="H112" s="41" t="s">
        <v>91</v>
      </c>
    </row>
    <row r="113" spans="1:8">
      <c r="A113" s="41" t="s">
        <v>96</v>
      </c>
      <c r="B113" s="39" t="s">
        <v>232</v>
      </c>
      <c r="C113" s="39" t="s">
        <v>228</v>
      </c>
      <c r="D113" s="41" t="str">
        <f t="shared" si="3"/>
        <v>CTC022O16FM</v>
      </c>
      <c r="E113" s="41" t="str">
        <f t="shared" si="4"/>
        <v>CTC022O16Adolecentes 10-19</v>
      </c>
      <c r="F113" s="41" t="str">
        <f t="shared" si="5"/>
        <v>CTC022O16FMAdolecentes 10-19</v>
      </c>
      <c r="G113" s="41" t="s">
        <v>414</v>
      </c>
      <c r="H113" s="41" t="s">
        <v>95</v>
      </c>
    </row>
    <row r="114" spans="1:8">
      <c r="A114" s="41" t="s">
        <v>87</v>
      </c>
      <c r="B114" s="39" t="s">
        <v>232</v>
      </c>
      <c r="C114" s="39" t="s">
        <v>228</v>
      </c>
      <c r="D114" s="41" t="str">
        <f t="shared" si="3"/>
        <v>CTC022O24.4FM</v>
      </c>
      <c r="E114" s="41" t="str">
        <f t="shared" si="4"/>
        <v>CTC022O24.4Adolecentes 10-19</v>
      </c>
      <c r="F114" s="41" t="str">
        <f t="shared" si="5"/>
        <v>CTC022O24.4FMAdolecentes 10-19</v>
      </c>
      <c r="G114" s="41" t="s">
        <v>88</v>
      </c>
      <c r="H114" s="41" t="s">
        <v>86</v>
      </c>
    </row>
    <row r="115" spans="1:8">
      <c r="A115" s="41" t="s">
        <v>34</v>
      </c>
      <c r="B115" s="39" t="s">
        <v>232</v>
      </c>
      <c r="C115" s="39" t="s">
        <v>226</v>
      </c>
      <c r="D115" s="41" t="str">
        <f t="shared" si="3"/>
        <v>CTC005W78HC</v>
      </c>
      <c r="E115" s="41" t="str">
        <f t="shared" si="4"/>
        <v>CTC005W78Adolecentes 10-19</v>
      </c>
      <c r="F115" s="41" t="str">
        <f t="shared" si="5"/>
        <v>CTC005W78HCAdolecentes 10-19</v>
      </c>
      <c r="G115" s="41" t="s">
        <v>660</v>
      </c>
      <c r="H115" s="41" t="s">
        <v>31</v>
      </c>
    </row>
    <row r="116" spans="1:8">
      <c r="A116" s="41" t="s">
        <v>32</v>
      </c>
      <c r="B116" s="39" t="s">
        <v>232</v>
      </c>
      <c r="C116" s="39" t="s">
        <v>226</v>
      </c>
      <c r="D116" s="41" t="str">
        <f t="shared" si="3"/>
        <v>CTC006W78HC</v>
      </c>
      <c r="E116" s="41" t="str">
        <f t="shared" si="4"/>
        <v>CTC006W78Adolecentes 10-19</v>
      </c>
      <c r="F116" s="41" t="str">
        <f t="shared" si="5"/>
        <v>CTC006W78HCAdolecentes 10-19</v>
      </c>
      <c r="G116" s="41" t="s">
        <v>167</v>
      </c>
      <c r="H116" s="41" t="s">
        <v>31</v>
      </c>
    </row>
    <row r="117" spans="1:8">
      <c r="A117" s="41" t="s">
        <v>34</v>
      </c>
      <c r="B117" s="39" t="s">
        <v>232</v>
      </c>
      <c r="C117" s="39" t="s">
        <v>238</v>
      </c>
      <c r="D117" s="41" t="str">
        <f t="shared" si="3"/>
        <v>CTC005W78HCPB</v>
      </c>
      <c r="E117" s="41" t="str">
        <f t="shared" si="4"/>
        <v>CTC005W78Adolecentes 10-19</v>
      </c>
      <c r="F117" s="41" t="str">
        <f t="shared" si="5"/>
        <v>CTC005W78HCPBAdolecentes 10-19</v>
      </c>
      <c r="G117" s="41" t="s">
        <v>660</v>
      </c>
      <c r="H117" s="41" t="s">
        <v>31</v>
      </c>
    </row>
    <row r="118" spans="1:8">
      <c r="A118" s="41" t="s">
        <v>32</v>
      </c>
      <c r="B118" s="39" t="s">
        <v>232</v>
      </c>
      <c r="C118" s="39" t="s">
        <v>238</v>
      </c>
      <c r="D118" s="41" t="str">
        <f t="shared" si="3"/>
        <v>CTC006W78HCPB</v>
      </c>
      <c r="E118" s="41" t="str">
        <f t="shared" si="4"/>
        <v>CTC006W78Adolecentes 10-19</v>
      </c>
      <c r="F118" s="41" t="str">
        <f t="shared" si="5"/>
        <v>CTC006W78HCPBAdolecentes 10-19</v>
      </c>
      <c r="G118" s="41" t="s">
        <v>167</v>
      </c>
      <c r="H118" s="41" t="s">
        <v>31</v>
      </c>
    </row>
    <row r="119" spans="1:8">
      <c r="A119" s="41" t="s">
        <v>34</v>
      </c>
      <c r="B119" s="39" t="s">
        <v>232</v>
      </c>
      <c r="C119" s="39" t="s">
        <v>241</v>
      </c>
      <c r="D119" s="41" t="str">
        <f t="shared" si="3"/>
        <v>CTC005W78SIP</v>
      </c>
      <c r="E119" s="41" t="str">
        <f t="shared" si="4"/>
        <v>CTC005W78Adolecentes 10-19</v>
      </c>
      <c r="F119" s="41" t="str">
        <f t="shared" si="5"/>
        <v>CTC005W78SIPAdolecentes 10-19</v>
      </c>
      <c r="G119" s="41" t="s">
        <v>660</v>
      </c>
      <c r="H119" s="41" t="s">
        <v>31</v>
      </c>
    </row>
    <row r="120" spans="1:8">
      <c r="A120" s="41" t="s">
        <v>32</v>
      </c>
      <c r="B120" s="39" t="s">
        <v>232</v>
      </c>
      <c r="C120" s="39" t="s">
        <v>241</v>
      </c>
      <c r="D120" s="41" t="str">
        <f t="shared" si="3"/>
        <v>CTC006W78SIP</v>
      </c>
      <c r="E120" s="41" t="str">
        <f t="shared" si="4"/>
        <v>CTC006W78Adolecentes 10-19</v>
      </c>
      <c r="F120" s="41" t="str">
        <f t="shared" si="5"/>
        <v>CTC006W78SIPAdolecentes 10-19</v>
      </c>
      <c r="G120" s="41" t="s">
        <v>167</v>
      </c>
      <c r="H120" s="41" t="s">
        <v>31</v>
      </c>
    </row>
    <row r="121" spans="1:8">
      <c r="A121" s="41" t="s">
        <v>34</v>
      </c>
      <c r="B121" s="39" t="s">
        <v>232</v>
      </c>
      <c r="C121" s="39" t="s">
        <v>228</v>
      </c>
      <c r="D121" s="41" t="str">
        <f t="shared" si="3"/>
        <v>CTC005W78FM</v>
      </c>
      <c r="E121" s="41" t="str">
        <f t="shared" si="4"/>
        <v>CTC005W78Adolecentes 10-19</v>
      </c>
      <c r="F121" s="41" t="str">
        <f t="shared" si="5"/>
        <v>CTC005W78FMAdolecentes 10-19</v>
      </c>
      <c r="G121" s="41" t="s">
        <v>660</v>
      </c>
      <c r="H121" s="41" t="s">
        <v>31</v>
      </c>
    </row>
    <row r="122" spans="1:8">
      <c r="A122" s="41" t="s">
        <v>32</v>
      </c>
      <c r="B122" s="39" t="s">
        <v>232</v>
      </c>
      <c r="C122" s="39" t="s">
        <v>228</v>
      </c>
      <c r="D122" s="41" t="str">
        <f t="shared" si="3"/>
        <v>CTC006W78FM</v>
      </c>
      <c r="E122" s="41" t="str">
        <f t="shared" si="4"/>
        <v>CTC006W78Adolecentes 10-19</v>
      </c>
      <c r="F122" s="41" t="str">
        <f t="shared" si="5"/>
        <v>CTC006W78FMAdolecentes 10-19</v>
      </c>
      <c r="G122" s="41" t="s">
        <v>167</v>
      </c>
      <c r="H122" s="41" t="s">
        <v>31</v>
      </c>
    </row>
    <row r="123" spans="1:8">
      <c r="A123" s="41" t="s">
        <v>24</v>
      </c>
      <c r="B123" s="39" t="s">
        <v>232</v>
      </c>
      <c r="C123" s="39" t="s">
        <v>226</v>
      </c>
      <c r="D123" s="41" t="str">
        <f t="shared" si="3"/>
        <v>IMV008A98HC</v>
      </c>
      <c r="E123" s="41" t="str">
        <f t="shared" si="4"/>
        <v>IMV008A98Adolecentes 10-19</v>
      </c>
      <c r="F123" s="41" t="str">
        <f t="shared" si="5"/>
        <v>IMV008A98HCAdolecentes 10-19</v>
      </c>
      <c r="G123" s="41" t="s">
        <v>256</v>
      </c>
      <c r="H123" s="41" t="s">
        <v>192</v>
      </c>
    </row>
    <row r="124" spans="1:8">
      <c r="A124" s="41" t="s">
        <v>25</v>
      </c>
      <c r="B124" s="39" t="s">
        <v>232</v>
      </c>
      <c r="C124" s="39" t="s">
        <v>226</v>
      </c>
      <c r="D124" s="41" t="str">
        <f t="shared" si="3"/>
        <v>IMV009A98HC</v>
      </c>
      <c r="E124" s="41" t="str">
        <f t="shared" si="4"/>
        <v>IMV009A98Adolecentes 10-19</v>
      </c>
      <c r="F124" s="41" t="str">
        <f t="shared" si="5"/>
        <v>IMV009A98HCAdolecentes 10-19</v>
      </c>
      <c r="G124" s="41" t="s">
        <v>302</v>
      </c>
      <c r="H124" s="41" t="s">
        <v>192</v>
      </c>
    </row>
    <row r="125" spans="1:8">
      <c r="A125" s="41" t="s">
        <v>26</v>
      </c>
      <c r="B125" s="39" t="s">
        <v>232</v>
      </c>
      <c r="C125" s="39" t="s">
        <v>226</v>
      </c>
      <c r="D125" s="41" t="str">
        <f t="shared" si="3"/>
        <v>IMV010A98HC</v>
      </c>
      <c r="E125" s="41" t="str">
        <f t="shared" si="4"/>
        <v>IMV010A98Adolecentes 10-19</v>
      </c>
      <c r="F125" s="41" t="str">
        <f t="shared" si="5"/>
        <v>IMV010A98HCAdolecentes 10-19</v>
      </c>
      <c r="G125" s="41" t="s">
        <v>661</v>
      </c>
      <c r="H125" s="41" t="s">
        <v>192</v>
      </c>
    </row>
    <row r="126" spans="1:8">
      <c r="A126" s="41" t="s">
        <v>42</v>
      </c>
      <c r="B126" s="39" t="s">
        <v>232</v>
      </c>
      <c r="C126" s="39" t="s">
        <v>226</v>
      </c>
      <c r="D126" s="41" t="str">
        <f t="shared" si="3"/>
        <v>IMV011A98HC</v>
      </c>
      <c r="E126" s="41" t="str">
        <f t="shared" si="4"/>
        <v>IMV011A98Adolecentes 10-19</v>
      </c>
      <c r="F126" s="41" t="str">
        <f t="shared" si="5"/>
        <v>IMV011A98HCAdolecentes 10-19</v>
      </c>
      <c r="G126" s="41" t="s">
        <v>84</v>
      </c>
      <c r="H126" s="41" t="s">
        <v>192</v>
      </c>
    </row>
    <row r="127" spans="1:8">
      <c r="A127" s="41" t="s">
        <v>43</v>
      </c>
      <c r="B127" s="39" t="s">
        <v>232</v>
      </c>
      <c r="C127" s="39" t="s">
        <v>226</v>
      </c>
      <c r="D127" s="41" t="str">
        <f t="shared" si="3"/>
        <v>IMV013A98HC</v>
      </c>
      <c r="E127" s="41" t="str">
        <f t="shared" si="4"/>
        <v>IMV013A98Adolecentes 10-19</v>
      </c>
      <c r="F127" s="41" t="str">
        <f t="shared" si="5"/>
        <v>IMV013A98HCAdolecentes 10-19</v>
      </c>
      <c r="G127" s="41" t="s">
        <v>662</v>
      </c>
      <c r="H127" s="41" t="s">
        <v>192</v>
      </c>
    </row>
    <row r="128" spans="1:8">
      <c r="A128" s="41" t="s">
        <v>27</v>
      </c>
      <c r="B128" s="39" t="s">
        <v>232</v>
      </c>
      <c r="C128" s="39" t="s">
        <v>226</v>
      </c>
      <c r="D128" s="41" t="str">
        <f t="shared" si="3"/>
        <v>IMV014A98HC</v>
      </c>
      <c r="E128" s="41" t="str">
        <f t="shared" si="4"/>
        <v>IMV014A98Adolecentes 10-19</v>
      </c>
      <c r="F128" s="41" t="str">
        <f t="shared" si="5"/>
        <v>IMV014A98HCAdolecentes 10-19</v>
      </c>
      <c r="G128" s="41" t="s">
        <v>663</v>
      </c>
      <c r="H128" s="41" t="s">
        <v>192</v>
      </c>
    </row>
    <row r="129" spans="1:8">
      <c r="A129" s="41" t="s">
        <v>24</v>
      </c>
      <c r="B129" s="39" t="s">
        <v>232</v>
      </c>
      <c r="C129" s="39" t="s">
        <v>229</v>
      </c>
      <c r="D129" s="41" t="str">
        <f t="shared" si="3"/>
        <v>IMV008A98LE</v>
      </c>
      <c r="E129" s="41" t="str">
        <f t="shared" si="4"/>
        <v>IMV008A98Adolecentes 10-19</v>
      </c>
      <c r="F129" s="41" t="str">
        <f t="shared" si="5"/>
        <v>IMV008A98LEAdolecentes 10-19</v>
      </c>
      <c r="G129" s="41" t="s">
        <v>256</v>
      </c>
      <c r="H129" s="41" t="s">
        <v>192</v>
      </c>
    </row>
    <row r="130" spans="1:8">
      <c r="A130" s="41" t="s">
        <v>25</v>
      </c>
      <c r="B130" s="39" t="s">
        <v>232</v>
      </c>
      <c r="C130" s="39" t="s">
        <v>229</v>
      </c>
      <c r="D130" s="41" t="str">
        <f t="shared" ref="D130:D193" si="6">+CONCATENATE(A130,C130)</f>
        <v>IMV009A98LE</v>
      </c>
      <c r="E130" s="41" t="str">
        <f t="shared" ref="E130:E193" si="7">+CONCATENATE(A130,B130)</f>
        <v>IMV009A98Adolecentes 10-19</v>
      </c>
      <c r="F130" s="41" t="str">
        <f t="shared" ref="F130:F193" si="8">CONCATENATE(A130,C130,B130)</f>
        <v>IMV009A98LEAdolecentes 10-19</v>
      </c>
      <c r="G130" s="41" t="s">
        <v>302</v>
      </c>
      <c r="H130" s="41" t="s">
        <v>192</v>
      </c>
    </row>
    <row r="131" spans="1:8">
      <c r="A131" s="41" t="s">
        <v>26</v>
      </c>
      <c r="B131" s="39" t="s">
        <v>232</v>
      </c>
      <c r="C131" s="39" t="s">
        <v>229</v>
      </c>
      <c r="D131" s="41" t="str">
        <f t="shared" si="6"/>
        <v>IMV010A98LE</v>
      </c>
      <c r="E131" s="41" t="str">
        <f t="shared" si="7"/>
        <v>IMV010A98Adolecentes 10-19</v>
      </c>
      <c r="F131" s="41" t="str">
        <f t="shared" si="8"/>
        <v>IMV010A98LEAdolecentes 10-19</v>
      </c>
      <c r="G131" s="41" t="s">
        <v>661</v>
      </c>
      <c r="H131" s="41" t="s">
        <v>192</v>
      </c>
    </row>
    <row r="132" spans="1:8">
      <c r="A132" s="41" t="s">
        <v>42</v>
      </c>
      <c r="B132" s="39" t="s">
        <v>232</v>
      </c>
      <c r="C132" s="39" t="s">
        <v>229</v>
      </c>
      <c r="D132" s="41" t="str">
        <f t="shared" si="6"/>
        <v>IMV011A98LE</v>
      </c>
      <c r="E132" s="41" t="str">
        <f t="shared" si="7"/>
        <v>IMV011A98Adolecentes 10-19</v>
      </c>
      <c r="F132" s="41" t="str">
        <f t="shared" si="8"/>
        <v>IMV011A98LEAdolecentes 10-19</v>
      </c>
      <c r="G132" s="41" t="s">
        <v>84</v>
      </c>
      <c r="H132" s="41" t="s">
        <v>192</v>
      </c>
    </row>
    <row r="133" spans="1:8">
      <c r="A133" s="41" t="s">
        <v>43</v>
      </c>
      <c r="B133" s="39" t="s">
        <v>232</v>
      </c>
      <c r="C133" s="39" t="s">
        <v>229</v>
      </c>
      <c r="D133" s="41" t="str">
        <f t="shared" si="6"/>
        <v>IMV013A98LE</v>
      </c>
      <c r="E133" s="41" t="str">
        <f t="shared" si="7"/>
        <v>IMV013A98Adolecentes 10-19</v>
      </c>
      <c r="F133" s="41" t="str">
        <f t="shared" si="8"/>
        <v>IMV013A98LEAdolecentes 10-19</v>
      </c>
      <c r="G133" s="41" t="s">
        <v>662</v>
      </c>
      <c r="H133" s="41" t="s">
        <v>192</v>
      </c>
    </row>
    <row r="134" spans="1:8">
      <c r="A134" s="41" t="s">
        <v>27</v>
      </c>
      <c r="B134" s="39" t="s">
        <v>232</v>
      </c>
      <c r="C134" s="39" t="s">
        <v>229</v>
      </c>
      <c r="D134" s="41" t="str">
        <f t="shared" si="6"/>
        <v>IMV014A98LE</v>
      </c>
      <c r="E134" s="41" t="str">
        <f t="shared" si="7"/>
        <v>IMV014A98Adolecentes 10-19</v>
      </c>
      <c r="F134" s="41" t="str">
        <f t="shared" si="8"/>
        <v>IMV014A98LEAdolecentes 10-19</v>
      </c>
      <c r="G134" s="41" t="s">
        <v>663</v>
      </c>
      <c r="H134" s="41" t="s">
        <v>192</v>
      </c>
    </row>
    <row r="135" spans="1:8">
      <c r="A135" s="41" t="s">
        <v>24</v>
      </c>
      <c r="B135" s="39" t="s">
        <v>232</v>
      </c>
      <c r="C135" s="39" t="s">
        <v>230</v>
      </c>
      <c r="D135" s="41" t="str">
        <f t="shared" si="6"/>
        <v>IMV008A98RV</v>
      </c>
      <c r="E135" s="41" t="str">
        <f t="shared" si="7"/>
        <v>IMV008A98Adolecentes 10-19</v>
      </c>
      <c r="F135" s="41" t="str">
        <f t="shared" si="8"/>
        <v>IMV008A98RVAdolecentes 10-19</v>
      </c>
      <c r="G135" s="41" t="s">
        <v>256</v>
      </c>
      <c r="H135" s="41" t="s">
        <v>192</v>
      </c>
    </row>
    <row r="136" spans="1:8">
      <c r="A136" s="41" t="s">
        <v>25</v>
      </c>
      <c r="B136" s="39" t="s">
        <v>232</v>
      </c>
      <c r="C136" s="39" t="s">
        <v>230</v>
      </c>
      <c r="D136" s="41" t="str">
        <f t="shared" si="6"/>
        <v>IMV009A98RV</v>
      </c>
      <c r="E136" s="41" t="str">
        <f t="shared" si="7"/>
        <v>IMV009A98Adolecentes 10-19</v>
      </c>
      <c r="F136" s="41" t="str">
        <f t="shared" si="8"/>
        <v>IMV009A98RVAdolecentes 10-19</v>
      </c>
      <c r="G136" s="41" t="s">
        <v>302</v>
      </c>
      <c r="H136" s="41" t="s">
        <v>192</v>
      </c>
    </row>
    <row r="137" spans="1:8">
      <c r="A137" s="41" t="s">
        <v>26</v>
      </c>
      <c r="B137" s="39" t="s">
        <v>232</v>
      </c>
      <c r="C137" s="39" t="s">
        <v>230</v>
      </c>
      <c r="D137" s="41" t="str">
        <f t="shared" si="6"/>
        <v>IMV010A98RV</v>
      </c>
      <c r="E137" s="41" t="str">
        <f t="shared" si="7"/>
        <v>IMV010A98Adolecentes 10-19</v>
      </c>
      <c r="F137" s="41" t="str">
        <f t="shared" si="8"/>
        <v>IMV010A98RVAdolecentes 10-19</v>
      </c>
      <c r="G137" s="41" t="s">
        <v>661</v>
      </c>
      <c r="H137" s="41" t="s">
        <v>192</v>
      </c>
    </row>
    <row r="138" spans="1:8">
      <c r="A138" s="41" t="s">
        <v>42</v>
      </c>
      <c r="B138" s="39" t="s">
        <v>232</v>
      </c>
      <c r="C138" s="39" t="s">
        <v>230</v>
      </c>
      <c r="D138" s="41" t="str">
        <f t="shared" si="6"/>
        <v>IMV011A98RV</v>
      </c>
      <c r="E138" s="41" t="str">
        <f t="shared" si="7"/>
        <v>IMV011A98Adolecentes 10-19</v>
      </c>
      <c r="F138" s="41" t="str">
        <f t="shared" si="8"/>
        <v>IMV011A98RVAdolecentes 10-19</v>
      </c>
      <c r="G138" s="41" t="s">
        <v>84</v>
      </c>
      <c r="H138" s="41" t="s">
        <v>192</v>
      </c>
    </row>
    <row r="139" spans="1:8">
      <c r="A139" s="41" t="s">
        <v>43</v>
      </c>
      <c r="B139" s="39" t="s">
        <v>232</v>
      </c>
      <c r="C139" s="39" t="s">
        <v>230</v>
      </c>
      <c r="D139" s="41" t="str">
        <f t="shared" si="6"/>
        <v>IMV013A98RV</v>
      </c>
      <c r="E139" s="41" t="str">
        <f t="shared" si="7"/>
        <v>IMV013A98Adolecentes 10-19</v>
      </c>
      <c r="F139" s="41" t="str">
        <f t="shared" si="8"/>
        <v>IMV013A98RVAdolecentes 10-19</v>
      </c>
      <c r="G139" s="41" t="s">
        <v>662</v>
      </c>
      <c r="H139" s="41" t="s">
        <v>192</v>
      </c>
    </row>
    <row r="140" spans="1:8">
      <c r="A140" s="41" t="s">
        <v>27</v>
      </c>
      <c r="B140" s="39" t="s">
        <v>232</v>
      </c>
      <c r="C140" s="39" t="s">
        <v>230</v>
      </c>
      <c r="D140" s="41" t="str">
        <f t="shared" si="6"/>
        <v>IMV014A98RV</v>
      </c>
      <c r="E140" s="41" t="str">
        <f t="shared" si="7"/>
        <v>IMV014A98Adolecentes 10-19</v>
      </c>
      <c r="F140" s="41" t="str">
        <f t="shared" si="8"/>
        <v>IMV014A98RVAdolecentes 10-19</v>
      </c>
      <c r="G140" s="41" t="s">
        <v>663</v>
      </c>
      <c r="H140" s="41" t="s">
        <v>192</v>
      </c>
    </row>
    <row r="141" spans="1:8">
      <c r="A141" s="41" t="s">
        <v>24</v>
      </c>
      <c r="B141" s="39" t="s">
        <v>232</v>
      </c>
      <c r="C141" s="39" t="s">
        <v>233</v>
      </c>
      <c r="D141" s="41" t="str">
        <f t="shared" si="6"/>
        <v>IMV008A98SI</v>
      </c>
      <c r="E141" s="41" t="str">
        <f t="shared" si="7"/>
        <v>IMV008A98Adolecentes 10-19</v>
      </c>
      <c r="F141" s="41" t="str">
        <f t="shared" si="8"/>
        <v>IMV008A98SIAdolecentes 10-19</v>
      </c>
      <c r="G141" s="41" t="s">
        <v>256</v>
      </c>
      <c r="H141" s="41" t="s">
        <v>192</v>
      </c>
    </row>
    <row r="142" spans="1:8">
      <c r="A142" s="41" t="s">
        <v>25</v>
      </c>
      <c r="B142" s="39" t="s">
        <v>232</v>
      </c>
      <c r="C142" s="39" t="s">
        <v>233</v>
      </c>
      <c r="D142" s="41" t="str">
        <f t="shared" si="6"/>
        <v>IMV009A98SI</v>
      </c>
      <c r="E142" s="41" t="str">
        <f t="shared" si="7"/>
        <v>IMV009A98Adolecentes 10-19</v>
      </c>
      <c r="F142" s="41" t="str">
        <f t="shared" si="8"/>
        <v>IMV009A98SIAdolecentes 10-19</v>
      </c>
      <c r="G142" s="41" t="s">
        <v>302</v>
      </c>
      <c r="H142" s="41" t="s">
        <v>192</v>
      </c>
    </row>
    <row r="143" spans="1:8">
      <c r="A143" s="41" t="s">
        <v>26</v>
      </c>
      <c r="B143" s="39" t="s">
        <v>232</v>
      </c>
      <c r="C143" s="39" t="s">
        <v>233</v>
      </c>
      <c r="D143" s="41" t="str">
        <f t="shared" si="6"/>
        <v>IMV010A98SI</v>
      </c>
      <c r="E143" s="41" t="str">
        <f t="shared" si="7"/>
        <v>IMV010A98Adolecentes 10-19</v>
      </c>
      <c r="F143" s="41" t="str">
        <f t="shared" si="8"/>
        <v>IMV010A98SIAdolecentes 10-19</v>
      </c>
      <c r="G143" s="41" t="s">
        <v>661</v>
      </c>
      <c r="H143" s="41" t="s">
        <v>192</v>
      </c>
    </row>
    <row r="144" spans="1:8">
      <c r="A144" s="41" t="s">
        <v>42</v>
      </c>
      <c r="B144" s="39" t="s">
        <v>232</v>
      </c>
      <c r="C144" s="39" t="s">
        <v>233</v>
      </c>
      <c r="D144" s="41" t="str">
        <f t="shared" si="6"/>
        <v>IMV011A98SI</v>
      </c>
      <c r="E144" s="41" t="str">
        <f t="shared" si="7"/>
        <v>IMV011A98Adolecentes 10-19</v>
      </c>
      <c r="F144" s="41" t="str">
        <f t="shared" si="8"/>
        <v>IMV011A98SIAdolecentes 10-19</v>
      </c>
      <c r="G144" s="41" t="s">
        <v>84</v>
      </c>
      <c r="H144" s="41" t="s">
        <v>192</v>
      </c>
    </row>
    <row r="145" spans="1:8">
      <c r="A145" s="41" t="s">
        <v>43</v>
      </c>
      <c r="B145" s="39" t="s">
        <v>232</v>
      </c>
      <c r="C145" s="39" t="s">
        <v>233</v>
      </c>
      <c r="D145" s="41" t="str">
        <f t="shared" si="6"/>
        <v>IMV013A98SI</v>
      </c>
      <c r="E145" s="41" t="str">
        <f t="shared" si="7"/>
        <v>IMV013A98Adolecentes 10-19</v>
      </c>
      <c r="F145" s="41" t="str">
        <f t="shared" si="8"/>
        <v>IMV013A98SIAdolecentes 10-19</v>
      </c>
      <c r="G145" s="41" t="s">
        <v>662</v>
      </c>
      <c r="H145" s="41" t="s">
        <v>192</v>
      </c>
    </row>
    <row r="146" spans="1:8">
      <c r="A146" s="41" t="s">
        <v>27</v>
      </c>
      <c r="B146" s="39" t="s">
        <v>232</v>
      </c>
      <c r="C146" s="39" t="s">
        <v>233</v>
      </c>
      <c r="D146" s="41" t="str">
        <f t="shared" si="6"/>
        <v>IMV014A98SI</v>
      </c>
      <c r="E146" s="41" t="str">
        <f t="shared" si="7"/>
        <v>IMV014A98Adolecentes 10-19</v>
      </c>
      <c r="F146" s="41" t="str">
        <f t="shared" si="8"/>
        <v>IMV014A98SIAdolecentes 10-19</v>
      </c>
      <c r="G146" s="41" t="s">
        <v>663</v>
      </c>
      <c r="H146" s="41" t="s">
        <v>192</v>
      </c>
    </row>
    <row r="147" spans="1:8">
      <c r="A147" s="41" t="s">
        <v>17</v>
      </c>
      <c r="B147" s="39" t="s">
        <v>240</v>
      </c>
      <c r="C147" s="39" t="s">
        <v>226</v>
      </c>
      <c r="D147" s="41" t="str">
        <f t="shared" si="6"/>
        <v>CTC001A97HC</v>
      </c>
      <c r="E147" s="41" t="str">
        <f t="shared" si="7"/>
        <v>CTC001A97Hombres 20-64</v>
      </c>
      <c r="F147" s="41" t="str">
        <f t="shared" si="8"/>
        <v>CTC001A97HCHombres 20-64</v>
      </c>
      <c r="G147" s="41" t="s">
        <v>664</v>
      </c>
      <c r="H147" s="41" t="s">
        <v>192</v>
      </c>
    </row>
    <row r="148" spans="1:8">
      <c r="A148" s="41" t="s">
        <v>112</v>
      </c>
      <c r="B148" s="39" t="s">
        <v>240</v>
      </c>
      <c r="C148" s="39" t="s">
        <v>226</v>
      </c>
      <c r="D148" s="41" t="str">
        <f t="shared" si="6"/>
        <v>CTC009A97HC</v>
      </c>
      <c r="E148" s="41" t="str">
        <f t="shared" si="7"/>
        <v>CTC009A97Hombres 20-64</v>
      </c>
      <c r="F148" s="41" t="str">
        <f t="shared" si="8"/>
        <v>CTC009A97HCHombres 20-64</v>
      </c>
      <c r="G148" s="41" t="s">
        <v>79</v>
      </c>
      <c r="H148" s="41" t="s">
        <v>192</v>
      </c>
    </row>
    <row r="149" spans="1:8">
      <c r="A149" s="41" t="s">
        <v>78</v>
      </c>
      <c r="B149" s="39" t="s">
        <v>240</v>
      </c>
      <c r="C149" s="39" t="s">
        <v>226</v>
      </c>
      <c r="D149" s="41" t="str">
        <f t="shared" si="6"/>
        <v>CTC011A97HC</v>
      </c>
      <c r="E149" s="41" t="str">
        <f t="shared" si="7"/>
        <v>CTC011A97Hombres 20-64</v>
      </c>
      <c r="F149" s="41" t="str">
        <f t="shared" si="8"/>
        <v>CTC011A97HCHombres 20-64</v>
      </c>
      <c r="G149" s="41" t="s">
        <v>665</v>
      </c>
      <c r="H149" s="41" t="s">
        <v>192</v>
      </c>
    </row>
    <row r="150" spans="1:8">
      <c r="A150" s="41" t="s">
        <v>360</v>
      </c>
      <c r="B150" s="39" t="s">
        <v>240</v>
      </c>
      <c r="C150" s="39" t="s">
        <v>226</v>
      </c>
      <c r="D150" s="41" t="str">
        <f t="shared" si="6"/>
        <v>CTC048K22HC</v>
      </c>
      <c r="E150" s="41" t="str">
        <f t="shared" si="7"/>
        <v>CTC048K22Hombres 20-64</v>
      </c>
      <c r="F150" s="41" t="str">
        <f t="shared" si="8"/>
        <v>CTC048K22HCHombres 20-64</v>
      </c>
      <c r="G150" s="41" t="s">
        <v>390</v>
      </c>
      <c r="H150" s="41" t="s">
        <v>666</v>
      </c>
    </row>
    <row r="151" spans="1:8">
      <c r="A151" s="41" t="s">
        <v>361</v>
      </c>
      <c r="B151" s="39" t="s">
        <v>240</v>
      </c>
      <c r="C151" s="39" t="s">
        <v>226</v>
      </c>
      <c r="D151" s="41" t="str">
        <f t="shared" si="6"/>
        <v>NTN007K22HC</v>
      </c>
      <c r="E151" s="41" t="str">
        <f t="shared" si="7"/>
        <v>NTN007K22Hombres 20-64</v>
      </c>
      <c r="F151" s="41" t="str">
        <f t="shared" si="8"/>
        <v>NTN007K22HCHombres 20-64</v>
      </c>
      <c r="G151" s="41" t="s">
        <v>667</v>
      </c>
      <c r="H151" s="41" t="s">
        <v>666</v>
      </c>
    </row>
    <row r="152" spans="1:8">
      <c r="A152" s="41" t="s">
        <v>362</v>
      </c>
      <c r="B152" s="39" t="s">
        <v>240</v>
      </c>
      <c r="C152" s="39" t="s">
        <v>226</v>
      </c>
      <c r="D152" s="41" t="str">
        <f t="shared" si="6"/>
        <v>NTN008K22HC</v>
      </c>
      <c r="E152" s="41" t="str">
        <f t="shared" si="7"/>
        <v>NTN008K22Hombres 20-64</v>
      </c>
      <c r="F152" s="41" t="str">
        <f t="shared" si="8"/>
        <v>NTN008K22HCHombres 20-64</v>
      </c>
      <c r="G152" s="41" t="s">
        <v>667</v>
      </c>
      <c r="H152" s="41" t="s">
        <v>666</v>
      </c>
    </row>
    <row r="153" spans="1:8">
      <c r="A153" s="41" t="s">
        <v>363</v>
      </c>
      <c r="B153" s="39" t="s">
        <v>240</v>
      </c>
      <c r="C153" s="39" t="s">
        <v>226</v>
      </c>
      <c r="D153" s="41" t="str">
        <f t="shared" si="6"/>
        <v>NTN009K22HC</v>
      </c>
      <c r="E153" s="41" t="str">
        <f t="shared" si="7"/>
        <v>NTN009K22Hombres 20-64</v>
      </c>
      <c r="F153" s="41" t="str">
        <f t="shared" si="8"/>
        <v>NTN009K22HCHombres 20-64</v>
      </c>
      <c r="G153" s="41" t="s">
        <v>667</v>
      </c>
      <c r="H153" s="41" t="s">
        <v>666</v>
      </c>
    </row>
    <row r="154" spans="1:8">
      <c r="A154" s="41" t="s">
        <v>364</v>
      </c>
      <c r="B154" s="39" t="s">
        <v>240</v>
      </c>
      <c r="C154" s="39" t="s">
        <v>226</v>
      </c>
      <c r="D154" s="41" t="str">
        <f t="shared" si="6"/>
        <v>NTN010K22HC</v>
      </c>
      <c r="E154" s="41" t="str">
        <f t="shared" si="7"/>
        <v>NTN010K22Hombres 20-64</v>
      </c>
      <c r="F154" s="41" t="str">
        <f t="shared" si="8"/>
        <v>NTN010K22HCHombres 20-64</v>
      </c>
      <c r="G154" s="41" t="s">
        <v>667</v>
      </c>
      <c r="H154" s="41" t="s">
        <v>666</v>
      </c>
    </row>
    <row r="155" spans="1:8">
      <c r="A155" s="41" t="s">
        <v>365</v>
      </c>
      <c r="B155" s="39" t="s">
        <v>240</v>
      </c>
      <c r="C155" s="39" t="s">
        <v>226</v>
      </c>
      <c r="D155" s="41" t="str">
        <f t="shared" si="6"/>
        <v>CTC050A98HC</v>
      </c>
      <c r="E155" s="41" t="str">
        <f t="shared" si="7"/>
        <v>CTC050A98Hombres 20-64</v>
      </c>
      <c r="F155" s="41" t="str">
        <f t="shared" si="8"/>
        <v>CTC050A98HCHombres 20-64</v>
      </c>
      <c r="G155" s="41" t="s">
        <v>395</v>
      </c>
      <c r="H155" s="41" t="s">
        <v>666</v>
      </c>
    </row>
    <row r="156" spans="1:8">
      <c r="A156" s="41" t="s">
        <v>366</v>
      </c>
      <c r="B156" s="39" t="s">
        <v>240</v>
      </c>
      <c r="C156" s="39" t="s">
        <v>226</v>
      </c>
      <c r="D156" s="41" t="str">
        <f t="shared" si="6"/>
        <v>CTC050T89HC</v>
      </c>
      <c r="E156" s="41" t="str">
        <f t="shared" si="7"/>
        <v>CTC050T89Hombres 20-64</v>
      </c>
      <c r="F156" s="41" t="str">
        <f t="shared" si="8"/>
        <v>CTC050T89HCHombres 20-64</v>
      </c>
      <c r="G156" s="41" t="s">
        <v>395</v>
      </c>
      <c r="H156" s="41" t="s">
        <v>666</v>
      </c>
    </row>
    <row r="157" spans="1:8">
      <c r="A157" s="41" t="s">
        <v>367</v>
      </c>
      <c r="B157" s="39" t="s">
        <v>240</v>
      </c>
      <c r="C157" s="39" t="s">
        <v>226</v>
      </c>
      <c r="D157" s="41" t="str">
        <f t="shared" si="6"/>
        <v>CTC050T90HC</v>
      </c>
      <c r="E157" s="41" t="str">
        <f t="shared" si="7"/>
        <v>CTC050T90Hombres 20-64</v>
      </c>
      <c r="F157" s="41" t="str">
        <f t="shared" si="8"/>
        <v>CTC050T90HCHombres 20-64</v>
      </c>
      <c r="G157" s="41" t="s">
        <v>395</v>
      </c>
      <c r="H157" s="41" t="s">
        <v>666</v>
      </c>
    </row>
    <row r="158" spans="1:8">
      <c r="A158" s="41" t="s">
        <v>17</v>
      </c>
      <c r="B158" s="39" t="s">
        <v>240</v>
      </c>
      <c r="C158" s="39" t="s">
        <v>228</v>
      </c>
      <c r="D158" s="41" t="str">
        <f t="shared" si="6"/>
        <v>CTC001A97FM</v>
      </c>
      <c r="E158" s="41" t="str">
        <f t="shared" si="7"/>
        <v>CTC001A97Hombres 20-64</v>
      </c>
      <c r="F158" s="41" t="str">
        <f t="shared" si="8"/>
        <v>CTC001A97FMHombres 20-64</v>
      </c>
      <c r="G158" s="41" t="s">
        <v>664</v>
      </c>
      <c r="H158" s="41" t="s">
        <v>192</v>
      </c>
    </row>
    <row r="159" spans="1:8">
      <c r="A159" s="41" t="s">
        <v>112</v>
      </c>
      <c r="B159" s="39" t="s">
        <v>240</v>
      </c>
      <c r="C159" s="39" t="s">
        <v>228</v>
      </c>
      <c r="D159" s="41" t="str">
        <f t="shared" si="6"/>
        <v>CTC009A97FM</v>
      </c>
      <c r="E159" s="41" t="str">
        <f t="shared" si="7"/>
        <v>CTC009A97Hombres 20-64</v>
      </c>
      <c r="F159" s="41" t="str">
        <f t="shared" si="8"/>
        <v>CTC009A97FMHombres 20-64</v>
      </c>
      <c r="G159" s="41" t="s">
        <v>79</v>
      </c>
      <c r="H159" s="41" t="s">
        <v>192</v>
      </c>
    </row>
    <row r="160" spans="1:8">
      <c r="A160" s="41" t="s">
        <v>78</v>
      </c>
      <c r="B160" s="39" t="s">
        <v>240</v>
      </c>
      <c r="C160" s="39" t="s">
        <v>228</v>
      </c>
      <c r="D160" s="41" t="str">
        <f t="shared" si="6"/>
        <v>CTC011A97FM</v>
      </c>
      <c r="E160" s="41" t="str">
        <f t="shared" si="7"/>
        <v>CTC011A97Hombres 20-64</v>
      </c>
      <c r="F160" s="41" t="str">
        <f t="shared" si="8"/>
        <v>CTC011A97FMHombres 20-64</v>
      </c>
      <c r="G160" s="41" t="s">
        <v>665</v>
      </c>
      <c r="H160" s="41" t="s">
        <v>192</v>
      </c>
    </row>
    <row r="161" spans="1:8">
      <c r="A161" s="41" t="s">
        <v>360</v>
      </c>
      <c r="B161" s="39" t="s">
        <v>240</v>
      </c>
      <c r="C161" s="39" t="s">
        <v>228</v>
      </c>
      <c r="D161" s="41" t="str">
        <f t="shared" si="6"/>
        <v>CTC048K22FM</v>
      </c>
      <c r="E161" s="41" t="str">
        <f t="shared" si="7"/>
        <v>CTC048K22Hombres 20-64</v>
      </c>
      <c r="F161" s="41" t="str">
        <f t="shared" si="8"/>
        <v>CTC048K22FMHombres 20-64</v>
      </c>
      <c r="G161" s="41" t="s">
        <v>390</v>
      </c>
      <c r="H161" s="41" t="s">
        <v>666</v>
      </c>
    </row>
    <row r="162" spans="1:8">
      <c r="A162" s="41" t="s">
        <v>361</v>
      </c>
      <c r="B162" s="39" t="s">
        <v>240</v>
      </c>
      <c r="C162" s="39" t="s">
        <v>228</v>
      </c>
      <c r="D162" s="41" t="str">
        <f t="shared" si="6"/>
        <v>NTN007K22FM</v>
      </c>
      <c r="E162" s="41" t="str">
        <f t="shared" si="7"/>
        <v>NTN007K22Hombres 20-64</v>
      </c>
      <c r="F162" s="41" t="str">
        <f t="shared" si="8"/>
        <v>NTN007K22FMHombres 20-64</v>
      </c>
      <c r="G162" s="41" t="s">
        <v>667</v>
      </c>
      <c r="H162" s="41" t="s">
        <v>666</v>
      </c>
    </row>
    <row r="163" spans="1:8">
      <c r="A163" s="41" t="s">
        <v>362</v>
      </c>
      <c r="B163" s="39" t="s">
        <v>240</v>
      </c>
      <c r="C163" s="39" t="s">
        <v>228</v>
      </c>
      <c r="D163" s="41" t="str">
        <f t="shared" si="6"/>
        <v>NTN008K22FM</v>
      </c>
      <c r="E163" s="41" t="str">
        <f t="shared" si="7"/>
        <v>NTN008K22Hombres 20-64</v>
      </c>
      <c r="F163" s="41" t="str">
        <f t="shared" si="8"/>
        <v>NTN008K22FMHombres 20-64</v>
      </c>
      <c r="G163" s="41" t="s">
        <v>667</v>
      </c>
      <c r="H163" s="41" t="s">
        <v>666</v>
      </c>
    </row>
    <row r="164" spans="1:8">
      <c r="A164" s="41" t="s">
        <v>363</v>
      </c>
      <c r="B164" s="39" t="s">
        <v>240</v>
      </c>
      <c r="C164" s="39" t="s">
        <v>228</v>
      </c>
      <c r="D164" s="41" t="str">
        <f t="shared" si="6"/>
        <v>NTN009K22FM</v>
      </c>
      <c r="E164" s="41" t="str">
        <f t="shared" si="7"/>
        <v>NTN009K22Hombres 20-64</v>
      </c>
      <c r="F164" s="41" t="str">
        <f t="shared" si="8"/>
        <v>NTN009K22FMHombres 20-64</v>
      </c>
      <c r="G164" s="41" t="s">
        <v>667</v>
      </c>
      <c r="H164" s="41" t="s">
        <v>666</v>
      </c>
    </row>
    <row r="165" spans="1:8">
      <c r="A165" s="41" t="s">
        <v>364</v>
      </c>
      <c r="B165" s="39" t="s">
        <v>240</v>
      </c>
      <c r="C165" s="39" t="s">
        <v>228</v>
      </c>
      <c r="D165" s="41" t="str">
        <f t="shared" si="6"/>
        <v>NTN010K22FM</v>
      </c>
      <c r="E165" s="41" t="str">
        <f t="shared" si="7"/>
        <v>NTN010K22Hombres 20-64</v>
      </c>
      <c r="F165" s="41" t="str">
        <f t="shared" si="8"/>
        <v>NTN010K22FMHombres 20-64</v>
      </c>
      <c r="G165" s="41" t="s">
        <v>667</v>
      </c>
      <c r="H165" s="41" t="s">
        <v>666</v>
      </c>
    </row>
    <row r="166" spans="1:8">
      <c r="A166" s="41" t="s">
        <v>365</v>
      </c>
      <c r="B166" s="39" t="s">
        <v>240</v>
      </c>
      <c r="C166" s="39" t="s">
        <v>228</v>
      </c>
      <c r="D166" s="41" t="str">
        <f t="shared" si="6"/>
        <v>CTC050A98FM</v>
      </c>
      <c r="E166" s="41" t="str">
        <f t="shared" si="7"/>
        <v>CTC050A98Hombres 20-64</v>
      </c>
      <c r="F166" s="41" t="str">
        <f t="shared" si="8"/>
        <v>CTC050A98FMHombres 20-64</v>
      </c>
      <c r="G166" s="41" t="s">
        <v>395</v>
      </c>
      <c r="H166" s="41" t="s">
        <v>666</v>
      </c>
    </row>
    <row r="167" spans="1:8">
      <c r="A167" s="41" t="s">
        <v>366</v>
      </c>
      <c r="B167" s="39" t="s">
        <v>240</v>
      </c>
      <c r="C167" s="39" t="s">
        <v>228</v>
      </c>
      <c r="D167" s="41" t="str">
        <f t="shared" si="6"/>
        <v>CTC050T89FM</v>
      </c>
      <c r="E167" s="41" t="str">
        <f t="shared" si="7"/>
        <v>CTC050T89Hombres 20-64</v>
      </c>
      <c r="F167" s="41" t="str">
        <f t="shared" si="8"/>
        <v>CTC050T89FMHombres 20-64</v>
      </c>
      <c r="G167" s="41" t="s">
        <v>395</v>
      </c>
      <c r="H167" s="41" t="s">
        <v>666</v>
      </c>
    </row>
    <row r="168" spans="1:8">
      <c r="A168" s="41" t="s">
        <v>367</v>
      </c>
      <c r="B168" s="39" t="s">
        <v>240</v>
      </c>
      <c r="C168" s="39" t="s">
        <v>228</v>
      </c>
      <c r="D168" s="41" t="str">
        <f t="shared" si="6"/>
        <v>CTC050T90FM</v>
      </c>
      <c r="E168" s="41" t="str">
        <f t="shared" si="7"/>
        <v>CTC050T90Hombres 20-64</v>
      </c>
      <c r="F168" s="41" t="str">
        <f t="shared" si="8"/>
        <v>CTC050T90FMHombres 20-64</v>
      </c>
      <c r="G168" s="41" t="s">
        <v>395</v>
      </c>
      <c r="H168" s="41" t="s">
        <v>666</v>
      </c>
    </row>
    <row r="169" spans="1:8">
      <c r="A169" s="41" t="s">
        <v>358</v>
      </c>
      <c r="B169" s="39" t="s">
        <v>240</v>
      </c>
      <c r="C169" s="39" t="s">
        <v>226</v>
      </c>
      <c r="D169" s="41" t="str">
        <f t="shared" si="6"/>
        <v>CTC047A98HC</v>
      </c>
      <c r="E169" s="41" t="str">
        <f t="shared" si="7"/>
        <v>CTC047A98Hombres 20-64</v>
      </c>
      <c r="F169" s="41" t="str">
        <f t="shared" si="8"/>
        <v>CTC047A98HCHombres 20-64</v>
      </c>
      <c r="G169" s="41" t="s">
        <v>668</v>
      </c>
      <c r="H169" s="41" t="s">
        <v>666</v>
      </c>
    </row>
    <row r="170" spans="1:8">
      <c r="A170" s="41" t="s">
        <v>359</v>
      </c>
      <c r="B170" s="39" t="s">
        <v>240</v>
      </c>
      <c r="C170" s="39" t="s">
        <v>226</v>
      </c>
      <c r="D170" s="41" t="str">
        <f t="shared" si="6"/>
        <v>CTC047U89HC</v>
      </c>
      <c r="E170" s="41" t="str">
        <f t="shared" si="7"/>
        <v>CTC047U89Hombres 20-64</v>
      </c>
      <c r="F170" s="41" t="str">
        <f t="shared" si="8"/>
        <v>CTC047U89HCHombres 20-64</v>
      </c>
      <c r="G170" s="41" t="s">
        <v>668</v>
      </c>
      <c r="H170" s="41" t="s">
        <v>666</v>
      </c>
    </row>
    <row r="171" spans="1:8">
      <c r="A171" s="41" t="s">
        <v>358</v>
      </c>
      <c r="B171" s="39" t="s">
        <v>240</v>
      </c>
      <c r="C171" s="39" t="s">
        <v>228</v>
      </c>
      <c r="D171" s="41" t="str">
        <f t="shared" si="6"/>
        <v>CTC047A98FM</v>
      </c>
      <c r="E171" s="41" t="str">
        <f t="shared" si="7"/>
        <v>CTC047A98Hombres 20-64</v>
      </c>
      <c r="F171" s="41" t="str">
        <f t="shared" si="8"/>
        <v>CTC047A98FMHombres 20-64</v>
      </c>
      <c r="G171" s="41" t="s">
        <v>668</v>
      </c>
      <c r="H171" s="41" t="s">
        <v>666</v>
      </c>
    </row>
    <row r="172" spans="1:8">
      <c r="A172" s="41" t="s">
        <v>359</v>
      </c>
      <c r="B172" s="39" t="s">
        <v>240</v>
      </c>
      <c r="C172" s="39" t="s">
        <v>228</v>
      </c>
      <c r="D172" s="41" t="str">
        <f t="shared" si="6"/>
        <v>CTC047U89FM</v>
      </c>
      <c r="E172" s="41" t="str">
        <f t="shared" si="7"/>
        <v>CTC047U89Hombres 20-64</v>
      </c>
      <c r="F172" s="41" t="str">
        <f t="shared" si="8"/>
        <v>CTC047U89FMHombres 20-64</v>
      </c>
      <c r="G172" s="41" t="s">
        <v>668</v>
      </c>
      <c r="H172" s="41" t="s">
        <v>666</v>
      </c>
    </row>
    <row r="173" spans="1:8">
      <c r="A173" s="41" t="s">
        <v>358</v>
      </c>
      <c r="B173" s="39" t="s">
        <v>240</v>
      </c>
      <c r="C173" s="39" t="s">
        <v>427</v>
      </c>
      <c r="D173" s="41" t="str">
        <f t="shared" si="6"/>
        <v>CTC047A98R.PAIERC-SISA</v>
      </c>
      <c r="E173" s="41" t="str">
        <f t="shared" si="7"/>
        <v>CTC047A98Hombres 20-64</v>
      </c>
      <c r="F173" s="41" t="str">
        <f t="shared" si="8"/>
        <v>CTC047A98R.PAIERC-SISAHombres 20-64</v>
      </c>
      <c r="G173" s="41" t="s">
        <v>668</v>
      </c>
      <c r="H173" s="41" t="s">
        <v>666</v>
      </c>
    </row>
    <row r="174" spans="1:8">
      <c r="A174" s="41" t="s">
        <v>359</v>
      </c>
      <c r="B174" s="39" t="s">
        <v>240</v>
      </c>
      <c r="C174" s="39" t="s">
        <v>427</v>
      </c>
      <c r="D174" s="41" t="str">
        <f t="shared" si="6"/>
        <v>CTC047U89R.PAIERC-SISA</v>
      </c>
      <c r="E174" s="41" t="str">
        <f t="shared" si="7"/>
        <v>CTC047U89Hombres 20-64</v>
      </c>
      <c r="F174" s="41" t="str">
        <f t="shared" si="8"/>
        <v>CTC047U89R.PAIERC-SISAHombres 20-64</v>
      </c>
      <c r="G174" s="41" t="s">
        <v>668</v>
      </c>
      <c r="H174" s="41" t="s">
        <v>666</v>
      </c>
    </row>
    <row r="175" spans="1:8">
      <c r="A175" s="41" t="s">
        <v>358</v>
      </c>
      <c r="B175" s="39" t="s">
        <v>240</v>
      </c>
      <c r="C175" s="39" t="s">
        <v>427</v>
      </c>
      <c r="D175" s="41" t="str">
        <f t="shared" si="6"/>
        <v>CTC047A98R.PAIERC-SISA</v>
      </c>
      <c r="E175" s="41" t="str">
        <f t="shared" si="7"/>
        <v>CTC047A98Hombres 20-64</v>
      </c>
      <c r="F175" s="41" t="str">
        <f t="shared" si="8"/>
        <v>CTC047A98R.PAIERC-SISAHombres 20-64</v>
      </c>
      <c r="G175" s="41" t="s">
        <v>668</v>
      </c>
      <c r="H175" s="41" t="s">
        <v>666</v>
      </c>
    </row>
    <row r="176" spans="1:8">
      <c r="A176" s="41" t="s">
        <v>359</v>
      </c>
      <c r="B176" s="39" t="s">
        <v>240</v>
      </c>
      <c r="C176" s="39" t="s">
        <v>427</v>
      </c>
      <c r="D176" s="41" t="str">
        <f t="shared" si="6"/>
        <v>CTC047U89R.PAIERC-SISA</v>
      </c>
      <c r="E176" s="41" t="str">
        <f t="shared" si="7"/>
        <v>CTC047U89Hombres 20-64</v>
      </c>
      <c r="F176" s="41" t="str">
        <f t="shared" si="8"/>
        <v>CTC047U89R.PAIERC-SISAHombres 20-64</v>
      </c>
      <c r="G176" s="41" t="s">
        <v>668</v>
      </c>
      <c r="H176" s="41" t="s">
        <v>666</v>
      </c>
    </row>
    <row r="177" spans="1:8">
      <c r="A177" s="41" t="s">
        <v>235</v>
      </c>
      <c r="B177" s="39" t="s">
        <v>240</v>
      </c>
      <c r="C177" s="39" t="s">
        <v>226</v>
      </c>
      <c r="D177" s="41" t="str">
        <f t="shared" si="6"/>
        <v>CTC001A98HC</v>
      </c>
      <c r="E177" s="41" t="str">
        <f t="shared" si="7"/>
        <v>CTC001A98Hombres 20-64</v>
      </c>
      <c r="F177" s="41" t="str">
        <f t="shared" si="8"/>
        <v>CTC001A98HCHombres 20-64</v>
      </c>
      <c r="G177" s="41" t="s">
        <v>669</v>
      </c>
      <c r="H177" s="41" t="s">
        <v>654</v>
      </c>
    </row>
    <row r="178" spans="1:8">
      <c r="A178" s="41" t="s">
        <v>368</v>
      </c>
      <c r="B178" s="39" t="s">
        <v>240</v>
      </c>
      <c r="C178" s="39" t="s">
        <v>226</v>
      </c>
      <c r="D178" s="41" t="str">
        <f t="shared" si="6"/>
        <v>IGR048A98HC</v>
      </c>
      <c r="E178" s="41" t="str">
        <f t="shared" si="7"/>
        <v>IGR048A98Hombres 20-64</v>
      </c>
      <c r="F178" s="41" t="str">
        <f t="shared" si="8"/>
        <v>IGR048A98HCHombres 20-64</v>
      </c>
      <c r="G178" s="41" t="s">
        <v>670</v>
      </c>
      <c r="H178" s="41" t="s">
        <v>654</v>
      </c>
    </row>
    <row r="179" spans="1:8">
      <c r="A179" s="41" t="s">
        <v>369</v>
      </c>
      <c r="B179" s="39" t="s">
        <v>240</v>
      </c>
      <c r="C179" s="39" t="s">
        <v>226</v>
      </c>
      <c r="D179" s="41" t="str">
        <f t="shared" si="6"/>
        <v>IGR048D04HC</v>
      </c>
      <c r="E179" s="41" t="str">
        <f t="shared" si="7"/>
        <v>IGR048D04Hombres 20-64</v>
      </c>
      <c r="F179" s="41" t="str">
        <f t="shared" si="8"/>
        <v>IGR048D04HCHombres 20-64</v>
      </c>
      <c r="G179" s="41" t="s">
        <v>670</v>
      </c>
      <c r="H179" s="41" t="s">
        <v>654</v>
      </c>
    </row>
    <row r="180" spans="1:8">
      <c r="A180" s="41" t="s">
        <v>370</v>
      </c>
      <c r="B180" s="39" t="s">
        <v>240</v>
      </c>
      <c r="C180" s="39" t="s">
        <v>226</v>
      </c>
      <c r="D180" s="41" t="str">
        <f t="shared" si="6"/>
        <v>IGR048D16HC</v>
      </c>
      <c r="E180" s="41" t="str">
        <f t="shared" si="7"/>
        <v>IGR048D16Hombres 20-64</v>
      </c>
      <c r="F180" s="41" t="str">
        <f t="shared" si="8"/>
        <v>IGR048D16HCHombres 20-64</v>
      </c>
      <c r="G180" s="41" t="s">
        <v>670</v>
      </c>
      <c r="H180" s="41" t="s">
        <v>654</v>
      </c>
    </row>
    <row r="181" spans="1:8">
      <c r="A181" s="41" t="s">
        <v>371</v>
      </c>
      <c r="B181" s="39" t="s">
        <v>240</v>
      </c>
      <c r="C181" s="39" t="s">
        <v>226</v>
      </c>
      <c r="D181" s="41" t="str">
        <f t="shared" si="6"/>
        <v>IGR048D18HC</v>
      </c>
      <c r="E181" s="41" t="str">
        <f t="shared" si="7"/>
        <v>IGR048D18Hombres 20-64</v>
      </c>
      <c r="F181" s="41" t="str">
        <f t="shared" si="8"/>
        <v>IGR048D18HCHombres 20-64</v>
      </c>
      <c r="G181" s="41" t="s">
        <v>670</v>
      </c>
      <c r="H181" s="41" t="s">
        <v>654</v>
      </c>
    </row>
    <row r="182" spans="1:8">
      <c r="A182" s="41" t="s">
        <v>372</v>
      </c>
      <c r="B182" s="39" t="s">
        <v>240</v>
      </c>
      <c r="C182" s="39" t="s">
        <v>226</v>
      </c>
      <c r="D182" s="41" t="str">
        <f t="shared" si="6"/>
        <v>IGR049A98HC</v>
      </c>
      <c r="E182" s="41" t="str">
        <f t="shared" si="7"/>
        <v>IGR049A98Hombres 20-64</v>
      </c>
      <c r="F182" s="41" t="str">
        <f t="shared" si="8"/>
        <v>IGR049A98HCHombres 20-64</v>
      </c>
      <c r="G182" s="41" t="s">
        <v>397</v>
      </c>
      <c r="H182" s="41" t="s">
        <v>654</v>
      </c>
    </row>
    <row r="183" spans="1:8">
      <c r="A183" s="41" t="s">
        <v>373</v>
      </c>
      <c r="B183" s="39" t="s">
        <v>240</v>
      </c>
      <c r="C183" s="39" t="s">
        <v>226</v>
      </c>
      <c r="D183" s="41" t="str">
        <f t="shared" si="6"/>
        <v>IGR049D04HC</v>
      </c>
      <c r="E183" s="41" t="str">
        <f t="shared" si="7"/>
        <v>IGR049D04Hombres 20-64</v>
      </c>
      <c r="F183" s="41" t="str">
        <f t="shared" si="8"/>
        <v>IGR049D04HCHombres 20-64</v>
      </c>
      <c r="G183" s="41" t="s">
        <v>397</v>
      </c>
      <c r="H183" s="41" t="s">
        <v>654</v>
      </c>
    </row>
    <row r="184" spans="1:8">
      <c r="A184" s="41" t="s">
        <v>374</v>
      </c>
      <c r="B184" s="39" t="s">
        <v>240</v>
      </c>
      <c r="C184" s="39" t="s">
        <v>226</v>
      </c>
      <c r="D184" s="41" t="str">
        <f t="shared" si="6"/>
        <v>IGR049D16HC</v>
      </c>
      <c r="E184" s="41" t="str">
        <f t="shared" si="7"/>
        <v>IGR049D16Hombres 20-64</v>
      </c>
      <c r="F184" s="41" t="str">
        <f t="shared" si="8"/>
        <v>IGR049D16HCHombres 20-64</v>
      </c>
      <c r="G184" s="41" t="s">
        <v>397</v>
      </c>
      <c r="H184" s="41" t="s">
        <v>654</v>
      </c>
    </row>
    <row r="185" spans="1:8">
      <c r="A185" s="41" t="s">
        <v>375</v>
      </c>
      <c r="B185" s="39" t="s">
        <v>240</v>
      </c>
      <c r="C185" s="39" t="s">
        <v>226</v>
      </c>
      <c r="D185" s="41" t="str">
        <f t="shared" si="6"/>
        <v>IGR049D18HC</v>
      </c>
      <c r="E185" s="41" t="str">
        <f t="shared" si="7"/>
        <v>IGR049D18Hombres 20-64</v>
      </c>
      <c r="F185" s="41" t="str">
        <f t="shared" si="8"/>
        <v>IGR049D18HCHombres 20-64</v>
      </c>
      <c r="G185" s="41" t="s">
        <v>397</v>
      </c>
      <c r="H185" s="41" t="s">
        <v>654</v>
      </c>
    </row>
    <row r="186" spans="1:8">
      <c r="A186" s="41" t="s">
        <v>235</v>
      </c>
      <c r="B186" s="39" t="s">
        <v>240</v>
      </c>
      <c r="C186" s="39" t="s">
        <v>228</v>
      </c>
      <c r="D186" s="41" t="str">
        <f t="shared" si="6"/>
        <v>CTC001A98FM</v>
      </c>
      <c r="E186" s="41" t="str">
        <f t="shared" si="7"/>
        <v>CTC001A98Hombres 20-64</v>
      </c>
      <c r="F186" s="41" t="str">
        <f t="shared" si="8"/>
        <v>CTC001A98FMHombres 20-64</v>
      </c>
      <c r="G186" s="41" t="s">
        <v>669</v>
      </c>
      <c r="H186" s="41" t="s">
        <v>654</v>
      </c>
    </row>
    <row r="187" spans="1:8">
      <c r="A187" s="41" t="s">
        <v>368</v>
      </c>
      <c r="B187" s="39" t="s">
        <v>240</v>
      </c>
      <c r="C187" s="39" t="s">
        <v>228</v>
      </c>
      <c r="D187" s="41" t="str">
        <f t="shared" si="6"/>
        <v>IGR048A98FM</v>
      </c>
      <c r="E187" s="41" t="str">
        <f t="shared" si="7"/>
        <v>IGR048A98Hombres 20-64</v>
      </c>
      <c r="F187" s="41" t="str">
        <f t="shared" si="8"/>
        <v>IGR048A98FMHombres 20-64</v>
      </c>
      <c r="G187" s="41" t="s">
        <v>670</v>
      </c>
      <c r="H187" s="41" t="s">
        <v>654</v>
      </c>
    </row>
    <row r="188" spans="1:8">
      <c r="A188" s="41" t="s">
        <v>369</v>
      </c>
      <c r="B188" s="39" t="s">
        <v>240</v>
      </c>
      <c r="C188" s="39" t="s">
        <v>228</v>
      </c>
      <c r="D188" s="41" t="str">
        <f t="shared" si="6"/>
        <v>IGR048D04FM</v>
      </c>
      <c r="E188" s="41" t="str">
        <f t="shared" si="7"/>
        <v>IGR048D04Hombres 20-64</v>
      </c>
      <c r="F188" s="41" t="str">
        <f t="shared" si="8"/>
        <v>IGR048D04FMHombres 20-64</v>
      </c>
      <c r="G188" s="41" t="s">
        <v>670</v>
      </c>
      <c r="H188" s="41" t="s">
        <v>654</v>
      </c>
    </row>
    <row r="189" spans="1:8">
      <c r="A189" s="41" t="s">
        <v>370</v>
      </c>
      <c r="B189" s="39" t="s">
        <v>240</v>
      </c>
      <c r="C189" s="39" t="s">
        <v>228</v>
      </c>
      <c r="D189" s="41" t="str">
        <f t="shared" si="6"/>
        <v>IGR048D16FM</v>
      </c>
      <c r="E189" s="41" t="str">
        <f t="shared" si="7"/>
        <v>IGR048D16Hombres 20-64</v>
      </c>
      <c r="F189" s="41" t="str">
        <f t="shared" si="8"/>
        <v>IGR048D16FMHombres 20-64</v>
      </c>
      <c r="G189" s="41" t="s">
        <v>670</v>
      </c>
      <c r="H189" s="41" t="s">
        <v>654</v>
      </c>
    </row>
    <row r="190" spans="1:8">
      <c r="A190" s="41" t="s">
        <v>371</v>
      </c>
      <c r="B190" s="39" t="s">
        <v>240</v>
      </c>
      <c r="C190" s="39" t="s">
        <v>228</v>
      </c>
      <c r="D190" s="41" t="str">
        <f t="shared" si="6"/>
        <v>IGR048D18FM</v>
      </c>
      <c r="E190" s="41" t="str">
        <f t="shared" si="7"/>
        <v>IGR048D18Hombres 20-64</v>
      </c>
      <c r="F190" s="41" t="str">
        <f t="shared" si="8"/>
        <v>IGR048D18FMHombres 20-64</v>
      </c>
      <c r="G190" s="41" t="s">
        <v>670</v>
      </c>
      <c r="H190" s="41" t="s">
        <v>654</v>
      </c>
    </row>
    <row r="191" spans="1:8">
      <c r="A191" s="41" t="s">
        <v>372</v>
      </c>
      <c r="B191" s="39" t="s">
        <v>240</v>
      </c>
      <c r="C191" s="39" t="s">
        <v>228</v>
      </c>
      <c r="D191" s="41" t="str">
        <f t="shared" si="6"/>
        <v>IGR049A98FM</v>
      </c>
      <c r="E191" s="41" t="str">
        <f t="shared" si="7"/>
        <v>IGR049A98Hombres 20-64</v>
      </c>
      <c r="F191" s="41" t="str">
        <f t="shared" si="8"/>
        <v>IGR049A98FMHombres 20-64</v>
      </c>
      <c r="G191" s="41" t="s">
        <v>397</v>
      </c>
      <c r="H191" s="41" t="s">
        <v>654</v>
      </c>
    </row>
    <row r="192" spans="1:8">
      <c r="A192" s="41" t="s">
        <v>373</v>
      </c>
      <c r="B192" s="39" t="s">
        <v>240</v>
      </c>
      <c r="C192" s="39" t="s">
        <v>228</v>
      </c>
      <c r="D192" s="41" t="str">
        <f t="shared" si="6"/>
        <v>IGR049D04FM</v>
      </c>
      <c r="E192" s="41" t="str">
        <f t="shared" si="7"/>
        <v>IGR049D04Hombres 20-64</v>
      </c>
      <c r="F192" s="41" t="str">
        <f t="shared" si="8"/>
        <v>IGR049D04FMHombres 20-64</v>
      </c>
      <c r="G192" s="41" t="s">
        <v>397</v>
      </c>
      <c r="H192" s="41" t="s">
        <v>654</v>
      </c>
    </row>
    <row r="193" spans="1:8">
      <c r="A193" s="41" t="s">
        <v>374</v>
      </c>
      <c r="B193" s="39" t="s">
        <v>240</v>
      </c>
      <c r="C193" s="39" t="s">
        <v>228</v>
      </c>
      <c r="D193" s="41" t="str">
        <f t="shared" si="6"/>
        <v>IGR049D16FM</v>
      </c>
      <c r="E193" s="41" t="str">
        <f t="shared" si="7"/>
        <v>IGR049D16Hombres 20-64</v>
      </c>
      <c r="F193" s="41" t="str">
        <f t="shared" si="8"/>
        <v>IGR049D16FMHombres 20-64</v>
      </c>
      <c r="G193" s="41" t="s">
        <v>397</v>
      </c>
      <c r="H193" s="41" t="s">
        <v>654</v>
      </c>
    </row>
    <row r="194" spans="1:8">
      <c r="A194" s="41" t="s">
        <v>375</v>
      </c>
      <c r="B194" s="39" t="s">
        <v>240</v>
      </c>
      <c r="C194" s="39" t="s">
        <v>228</v>
      </c>
      <c r="D194" s="41" t="str">
        <f t="shared" ref="D194:D257" si="9">+CONCATENATE(A194,C194)</f>
        <v>IGR049D18FM</v>
      </c>
      <c r="E194" s="41" t="str">
        <f t="shared" ref="E194:E257" si="10">+CONCATENATE(A194,B194)</f>
        <v>IGR049D18Hombres 20-64</v>
      </c>
      <c r="F194" s="41" t="str">
        <f t="shared" ref="F194:F257" si="11">CONCATENATE(A194,C194,B194)</f>
        <v>IGR049D18FMHombres 20-64</v>
      </c>
      <c r="G194" s="41" t="s">
        <v>397</v>
      </c>
      <c r="H194" s="41" t="s">
        <v>654</v>
      </c>
    </row>
    <row r="195" spans="1:8">
      <c r="A195" s="41" t="s">
        <v>235</v>
      </c>
      <c r="B195" s="39" t="s">
        <v>240</v>
      </c>
      <c r="C195" s="39" t="s">
        <v>236</v>
      </c>
      <c r="D195" s="41" t="str">
        <f t="shared" si="9"/>
        <v>CTC001A98SITAM</v>
      </c>
      <c r="E195" s="41" t="str">
        <f t="shared" si="10"/>
        <v>CTC001A98Hombres 20-64</v>
      </c>
      <c r="F195" s="41" t="str">
        <f t="shared" si="11"/>
        <v>CTC001A98SITAMHombres 20-64</v>
      </c>
      <c r="G195" s="41" t="s">
        <v>669</v>
      </c>
      <c r="H195" s="41" t="s">
        <v>654</v>
      </c>
    </row>
    <row r="196" spans="1:8">
      <c r="A196" s="41" t="s">
        <v>368</v>
      </c>
      <c r="B196" s="39" t="s">
        <v>240</v>
      </c>
      <c r="C196" s="39" t="s">
        <v>236</v>
      </c>
      <c r="D196" s="41" t="str">
        <f t="shared" si="9"/>
        <v>IGR048A98SITAM</v>
      </c>
      <c r="E196" s="41" t="str">
        <f t="shared" si="10"/>
        <v>IGR048A98Hombres 20-64</v>
      </c>
      <c r="F196" s="41" t="str">
        <f t="shared" si="11"/>
        <v>IGR048A98SITAMHombres 20-64</v>
      </c>
      <c r="G196" s="41" t="s">
        <v>670</v>
      </c>
      <c r="H196" s="41" t="s">
        <v>654</v>
      </c>
    </row>
    <row r="197" spans="1:8">
      <c r="A197" s="41" t="s">
        <v>369</v>
      </c>
      <c r="B197" s="39" t="s">
        <v>240</v>
      </c>
      <c r="C197" s="39" t="s">
        <v>236</v>
      </c>
      <c r="D197" s="41" t="str">
        <f t="shared" si="9"/>
        <v>IGR048D04SITAM</v>
      </c>
      <c r="E197" s="41" t="str">
        <f t="shared" si="10"/>
        <v>IGR048D04Hombres 20-64</v>
      </c>
      <c r="F197" s="41" t="str">
        <f t="shared" si="11"/>
        <v>IGR048D04SITAMHombres 20-64</v>
      </c>
      <c r="G197" s="41" t="s">
        <v>670</v>
      </c>
      <c r="H197" s="41" t="s">
        <v>654</v>
      </c>
    </row>
    <row r="198" spans="1:8">
      <c r="A198" s="41" t="s">
        <v>370</v>
      </c>
      <c r="B198" s="39" t="s">
        <v>240</v>
      </c>
      <c r="C198" s="39" t="s">
        <v>236</v>
      </c>
      <c r="D198" s="41" t="str">
        <f t="shared" si="9"/>
        <v>IGR048D16SITAM</v>
      </c>
      <c r="E198" s="41" t="str">
        <f t="shared" si="10"/>
        <v>IGR048D16Hombres 20-64</v>
      </c>
      <c r="F198" s="41" t="str">
        <f t="shared" si="11"/>
        <v>IGR048D16SITAMHombres 20-64</v>
      </c>
      <c r="G198" s="41" t="s">
        <v>670</v>
      </c>
      <c r="H198" s="41" t="s">
        <v>654</v>
      </c>
    </row>
    <row r="199" spans="1:8">
      <c r="A199" s="41" t="s">
        <v>371</v>
      </c>
      <c r="B199" s="39" t="s">
        <v>240</v>
      </c>
      <c r="C199" s="39" t="s">
        <v>236</v>
      </c>
      <c r="D199" s="41" t="str">
        <f t="shared" si="9"/>
        <v>IGR048D18SITAM</v>
      </c>
      <c r="E199" s="41" t="str">
        <f t="shared" si="10"/>
        <v>IGR048D18Hombres 20-64</v>
      </c>
      <c r="F199" s="41" t="str">
        <f t="shared" si="11"/>
        <v>IGR048D18SITAMHombres 20-64</v>
      </c>
      <c r="G199" s="41" t="s">
        <v>670</v>
      </c>
      <c r="H199" s="41" t="s">
        <v>654</v>
      </c>
    </row>
    <row r="200" spans="1:8">
      <c r="A200" s="41" t="s">
        <v>372</v>
      </c>
      <c r="B200" s="39" t="s">
        <v>240</v>
      </c>
      <c r="C200" s="39" t="s">
        <v>236</v>
      </c>
      <c r="D200" s="41" t="str">
        <f t="shared" si="9"/>
        <v>IGR049A98SITAM</v>
      </c>
      <c r="E200" s="41" t="str">
        <f t="shared" si="10"/>
        <v>IGR049A98Hombres 20-64</v>
      </c>
      <c r="F200" s="41" t="str">
        <f t="shared" si="11"/>
        <v>IGR049A98SITAMHombres 20-64</v>
      </c>
      <c r="G200" s="41" t="s">
        <v>397</v>
      </c>
      <c r="H200" s="41" t="s">
        <v>654</v>
      </c>
    </row>
    <row r="201" spans="1:8">
      <c r="A201" s="41" t="s">
        <v>373</v>
      </c>
      <c r="B201" s="39" t="s">
        <v>240</v>
      </c>
      <c r="C201" s="39" t="s">
        <v>236</v>
      </c>
      <c r="D201" s="41" t="str">
        <f t="shared" si="9"/>
        <v>IGR049D04SITAM</v>
      </c>
      <c r="E201" s="41" t="str">
        <f t="shared" si="10"/>
        <v>IGR049D04Hombres 20-64</v>
      </c>
      <c r="F201" s="41" t="str">
        <f t="shared" si="11"/>
        <v>IGR049D04SITAMHombres 20-64</v>
      </c>
      <c r="G201" s="41" t="s">
        <v>397</v>
      </c>
      <c r="H201" s="41" t="s">
        <v>654</v>
      </c>
    </row>
    <row r="202" spans="1:8">
      <c r="A202" s="41" t="s">
        <v>374</v>
      </c>
      <c r="B202" s="39" t="s">
        <v>240</v>
      </c>
      <c r="C202" s="39" t="s">
        <v>236</v>
      </c>
      <c r="D202" s="41" t="str">
        <f t="shared" si="9"/>
        <v>IGR049D16SITAM</v>
      </c>
      <c r="E202" s="41" t="str">
        <f t="shared" si="10"/>
        <v>IGR049D16Hombres 20-64</v>
      </c>
      <c r="F202" s="41" t="str">
        <f t="shared" si="11"/>
        <v>IGR049D16SITAMHombres 20-64</v>
      </c>
      <c r="G202" s="41" t="s">
        <v>397</v>
      </c>
      <c r="H202" s="41" t="s">
        <v>654</v>
      </c>
    </row>
    <row r="203" spans="1:8">
      <c r="A203" s="41" t="s">
        <v>375</v>
      </c>
      <c r="B203" s="39" t="s">
        <v>240</v>
      </c>
      <c r="C203" s="39" t="s">
        <v>236</v>
      </c>
      <c r="D203" s="41" t="str">
        <f t="shared" si="9"/>
        <v>IGR049D18SITAM</v>
      </c>
      <c r="E203" s="41" t="str">
        <f t="shared" si="10"/>
        <v>IGR049D18Hombres 20-64</v>
      </c>
      <c r="F203" s="41" t="str">
        <f t="shared" si="11"/>
        <v>IGR049D18SITAMHombres 20-64</v>
      </c>
      <c r="G203" s="41" t="s">
        <v>397</v>
      </c>
      <c r="H203" s="41" t="s">
        <v>654</v>
      </c>
    </row>
    <row r="204" spans="1:8">
      <c r="A204" s="41" t="s">
        <v>18</v>
      </c>
      <c r="B204" s="39" t="s">
        <v>240</v>
      </c>
      <c r="C204" s="39" t="s">
        <v>226</v>
      </c>
      <c r="D204" s="41" t="str">
        <f t="shared" si="9"/>
        <v>CTC010A97HC</v>
      </c>
      <c r="E204" s="41" t="str">
        <f t="shared" si="10"/>
        <v>CTC010A97Hombres 20-64</v>
      </c>
      <c r="F204" s="41" t="str">
        <f t="shared" si="11"/>
        <v>CTC010A97HCHombres 20-64</v>
      </c>
      <c r="G204" s="41" t="s">
        <v>245</v>
      </c>
      <c r="H204" s="41" t="s">
        <v>192</v>
      </c>
    </row>
    <row r="205" spans="1:8">
      <c r="A205" s="41" t="s">
        <v>18</v>
      </c>
      <c r="B205" s="39" t="s">
        <v>240</v>
      </c>
      <c r="C205" s="39" t="s">
        <v>426</v>
      </c>
      <c r="D205" s="41" t="str">
        <f t="shared" si="9"/>
        <v>CTC010A97FOd</v>
      </c>
      <c r="E205" s="41" t="str">
        <f t="shared" si="10"/>
        <v>CTC010A97Hombres 20-64</v>
      </c>
      <c r="F205" s="41" t="str">
        <f t="shared" si="11"/>
        <v>CTC010A97FOdHombres 20-64</v>
      </c>
      <c r="G205" s="41" t="s">
        <v>245</v>
      </c>
      <c r="H205" s="41" t="s">
        <v>192</v>
      </c>
    </row>
    <row r="206" spans="1:8">
      <c r="A206" s="41" t="s">
        <v>376</v>
      </c>
      <c r="B206" s="39" t="s">
        <v>240</v>
      </c>
      <c r="C206" s="39" t="s">
        <v>226</v>
      </c>
      <c r="D206" s="41" t="str">
        <f t="shared" si="9"/>
        <v>LBL098A98HC</v>
      </c>
      <c r="E206" s="41" t="str">
        <f t="shared" si="10"/>
        <v>LBL098A98Hombres 20-64</v>
      </c>
      <c r="F206" s="41" t="str">
        <f t="shared" si="11"/>
        <v>LBL098A98HCHombres 20-64</v>
      </c>
      <c r="G206" s="41" t="s">
        <v>423</v>
      </c>
      <c r="H206" s="41" t="s">
        <v>81</v>
      </c>
    </row>
    <row r="207" spans="1:8">
      <c r="A207" s="41" t="s">
        <v>376</v>
      </c>
      <c r="B207" s="39" t="s">
        <v>240</v>
      </c>
      <c r="C207" s="39" t="s">
        <v>238</v>
      </c>
      <c r="D207" s="41" t="str">
        <f t="shared" si="9"/>
        <v>LBL098A98HCPB</v>
      </c>
      <c r="E207" s="41" t="str">
        <f t="shared" si="10"/>
        <v>LBL098A98Hombres 20-64</v>
      </c>
      <c r="F207" s="41" t="str">
        <f t="shared" si="11"/>
        <v>LBL098A98HCPBHombres 20-64</v>
      </c>
      <c r="G207" s="41" t="s">
        <v>423</v>
      </c>
      <c r="H207" s="41" t="s">
        <v>81</v>
      </c>
    </row>
    <row r="208" spans="1:8">
      <c r="A208" s="41" t="s">
        <v>376</v>
      </c>
      <c r="B208" s="39" t="s">
        <v>240</v>
      </c>
      <c r="C208" s="39" t="s">
        <v>239</v>
      </c>
      <c r="D208" s="41" t="str">
        <f t="shared" si="9"/>
        <v>LBL098A98LL</v>
      </c>
      <c r="E208" s="41" t="str">
        <f t="shared" si="10"/>
        <v>LBL098A98Hombres 20-64</v>
      </c>
      <c r="F208" s="41" t="str">
        <f t="shared" si="11"/>
        <v>LBL098A98LLHombres 20-64</v>
      </c>
      <c r="G208" s="41" t="s">
        <v>423</v>
      </c>
      <c r="H208" s="41" t="s">
        <v>81</v>
      </c>
    </row>
    <row r="209" spans="1:8">
      <c r="A209" s="41" t="s">
        <v>17</v>
      </c>
      <c r="B209" s="39" t="s">
        <v>234</v>
      </c>
      <c r="C209" s="39" t="s">
        <v>226</v>
      </c>
      <c r="D209" s="41" t="str">
        <f t="shared" si="9"/>
        <v>CTC001A97HC</v>
      </c>
      <c r="E209" s="41" t="str">
        <f t="shared" si="10"/>
        <v>CTC001A97Mujeres 20-64</v>
      </c>
      <c r="F209" s="41" t="str">
        <f t="shared" si="11"/>
        <v>CTC001A97HCMujeres 20-64</v>
      </c>
      <c r="G209" s="41" t="s">
        <v>671</v>
      </c>
      <c r="H209" s="41" t="s">
        <v>192</v>
      </c>
    </row>
    <row r="210" spans="1:8">
      <c r="A210" s="41" t="s">
        <v>23</v>
      </c>
      <c r="B210" s="39" t="s">
        <v>234</v>
      </c>
      <c r="C210" s="39" t="s">
        <v>226</v>
      </c>
      <c r="D210" s="41" t="str">
        <f t="shared" si="9"/>
        <v>CTC008A97HC</v>
      </c>
      <c r="E210" s="41" t="str">
        <f t="shared" si="10"/>
        <v>CTC008A97Mujeres 20-64</v>
      </c>
      <c r="F210" s="41" t="str">
        <f t="shared" si="11"/>
        <v>CTC008A97HCMujeres 20-64</v>
      </c>
      <c r="G210" s="41" t="s">
        <v>168</v>
      </c>
      <c r="H210" s="41" t="s">
        <v>192</v>
      </c>
    </row>
    <row r="211" spans="1:8">
      <c r="A211" s="41" t="s">
        <v>83</v>
      </c>
      <c r="B211" s="39" t="s">
        <v>234</v>
      </c>
      <c r="C211" s="39" t="s">
        <v>226</v>
      </c>
      <c r="D211" s="41" t="str">
        <f t="shared" si="9"/>
        <v>PRP018A98HC</v>
      </c>
      <c r="E211" s="41" t="str">
        <f t="shared" si="10"/>
        <v>PRP018A98Mujeres 20-64</v>
      </c>
      <c r="F211" s="41" t="str">
        <f t="shared" si="11"/>
        <v>PRP018A98HCMujeres 20-64</v>
      </c>
      <c r="G211" s="41" t="s">
        <v>672</v>
      </c>
      <c r="H211" s="41" t="s">
        <v>654</v>
      </c>
    </row>
    <row r="212" spans="1:8">
      <c r="A212" s="41" t="s">
        <v>112</v>
      </c>
      <c r="B212" s="39" t="s">
        <v>234</v>
      </c>
      <c r="C212" s="39" t="s">
        <v>226</v>
      </c>
      <c r="D212" s="41" t="str">
        <f t="shared" si="9"/>
        <v>CTC009A97HC</v>
      </c>
      <c r="E212" s="41" t="str">
        <f t="shared" si="10"/>
        <v>CTC009A97Mujeres 20-64</v>
      </c>
      <c r="F212" s="41" t="str">
        <f t="shared" si="11"/>
        <v>CTC009A97HCMujeres 20-64</v>
      </c>
      <c r="G212" s="41" t="s">
        <v>79</v>
      </c>
      <c r="H212" s="41" t="s">
        <v>192</v>
      </c>
    </row>
    <row r="213" spans="1:8">
      <c r="A213" s="41" t="s">
        <v>17</v>
      </c>
      <c r="B213" s="39" t="s">
        <v>234</v>
      </c>
      <c r="C213" s="39" t="s">
        <v>228</v>
      </c>
      <c r="D213" s="41" t="str">
        <f t="shared" si="9"/>
        <v>CTC001A97FM</v>
      </c>
      <c r="E213" s="41" t="str">
        <f t="shared" si="10"/>
        <v>CTC001A97Mujeres 20-64</v>
      </c>
      <c r="F213" s="41" t="str">
        <f t="shared" si="11"/>
        <v>CTC001A97FMMujeres 20-64</v>
      </c>
      <c r="G213" s="41" t="s">
        <v>671</v>
      </c>
      <c r="H213" s="41" t="s">
        <v>192</v>
      </c>
    </row>
    <row r="214" spans="1:8">
      <c r="A214" s="41" t="s">
        <v>23</v>
      </c>
      <c r="B214" s="39" t="s">
        <v>234</v>
      </c>
      <c r="C214" s="39" t="s">
        <v>228</v>
      </c>
      <c r="D214" s="41" t="str">
        <f t="shared" si="9"/>
        <v>CTC008A97FM</v>
      </c>
      <c r="E214" s="41" t="str">
        <f t="shared" si="10"/>
        <v>CTC008A97Mujeres 20-64</v>
      </c>
      <c r="F214" s="41" t="str">
        <f t="shared" si="11"/>
        <v>CTC008A97FMMujeres 20-64</v>
      </c>
      <c r="G214" s="41" t="s">
        <v>168</v>
      </c>
      <c r="H214" s="41" t="s">
        <v>192</v>
      </c>
    </row>
    <row r="215" spans="1:8">
      <c r="A215" s="41" t="s">
        <v>83</v>
      </c>
      <c r="B215" s="39" t="s">
        <v>234</v>
      </c>
      <c r="C215" s="39" t="s">
        <v>228</v>
      </c>
      <c r="D215" s="41" t="str">
        <f t="shared" si="9"/>
        <v>PRP018A98FM</v>
      </c>
      <c r="E215" s="41" t="str">
        <f t="shared" si="10"/>
        <v>PRP018A98Mujeres 20-64</v>
      </c>
      <c r="F215" s="41" t="str">
        <f t="shared" si="11"/>
        <v>PRP018A98FMMujeres 20-64</v>
      </c>
      <c r="G215" s="41" t="s">
        <v>672</v>
      </c>
      <c r="H215" s="41" t="s">
        <v>654</v>
      </c>
    </row>
    <row r="216" spans="1:8">
      <c r="A216" s="41" t="s">
        <v>112</v>
      </c>
      <c r="B216" s="39" t="s">
        <v>234</v>
      </c>
      <c r="C216" s="39" t="s">
        <v>228</v>
      </c>
      <c r="D216" s="41" t="str">
        <f t="shared" si="9"/>
        <v>CTC009A97FM</v>
      </c>
      <c r="E216" s="41" t="str">
        <f t="shared" si="10"/>
        <v>CTC009A97Mujeres 20-64</v>
      </c>
      <c r="F216" s="41" t="str">
        <f t="shared" si="11"/>
        <v>CTC009A97FMMujeres 20-64</v>
      </c>
      <c r="G216" s="41" t="s">
        <v>79</v>
      </c>
      <c r="H216" s="41" t="s">
        <v>192</v>
      </c>
    </row>
    <row r="217" spans="1:8">
      <c r="A217" s="41" t="s">
        <v>33</v>
      </c>
      <c r="B217" s="39" t="s">
        <v>234</v>
      </c>
      <c r="C217" s="39" t="s">
        <v>226</v>
      </c>
      <c r="D217" s="41" t="str">
        <f t="shared" si="9"/>
        <v>IGR014A98HC</v>
      </c>
      <c r="E217" s="41" t="str">
        <f t="shared" si="10"/>
        <v>IGR014A98Mujeres 20-64</v>
      </c>
      <c r="F217" s="41" t="str">
        <f t="shared" si="11"/>
        <v>IGR014A98HCMujeres 20-64</v>
      </c>
      <c r="G217" s="41" t="s">
        <v>673</v>
      </c>
      <c r="H217" s="41" t="s">
        <v>654</v>
      </c>
    </row>
    <row r="218" spans="1:8">
      <c r="A218" s="41" t="s">
        <v>33</v>
      </c>
      <c r="B218" s="39" t="s">
        <v>234</v>
      </c>
      <c r="C218" s="39" t="s">
        <v>228</v>
      </c>
      <c r="D218" s="41" t="str">
        <f t="shared" si="9"/>
        <v>IGR014A98FM</v>
      </c>
      <c r="E218" s="41" t="str">
        <f t="shared" si="10"/>
        <v>IGR014A98Mujeres 20-64</v>
      </c>
      <c r="F218" s="41" t="str">
        <f t="shared" si="11"/>
        <v>IGR014A98FMMujeres 20-64</v>
      </c>
      <c r="G218" s="41" t="s">
        <v>673</v>
      </c>
      <c r="H218" s="41" t="s">
        <v>654</v>
      </c>
    </row>
    <row r="219" spans="1:8">
      <c r="A219" s="41" t="s">
        <v>33</v>
      </c>
      <c r="B219" s="39" t="s">
        <v>234</v>
      </c>
      <c r="C219" s="39" t="s">
        <v>237</v>
      </c>
      <c r="D219" s="41" t="str">
        <f t="shared" si="9"/>
        <v>IGR014A98LSI</v>
      </c>
      <c r="E219" s="41" t="str">
        <f t="shared" si="10"/>
        <v>IGR014A98Mujeres 20-64</v>
      </c>
      <c r="F219" s="41" t="str">
        <f t="shared" si="11"/>
        <v>IGR014A98LSIMujeres 20-64</v>
      </c>
      <c r="G219" s="41" t="s">
        <v>673</v>
      </c>
      <c r="H219" s="41" t="s">
        <v>654</v>
      </c>
    </row>
    <row r="220" spans="1:8">
      <c r="A220" s="41" t="s">
        <v>113</v>
      </c>
      <c r="B220" s="39" t="s">
        <v>234</v>
      </c>
      <c r="C220" s="39" t="s">
        <v>226</v>
      </c>
      <c r="D220" s="41" t="str">
        <f t="shared" si="9"/>
        <v>APA001A98HC</v>
      </c>
      <c r="E220" s="41" t="str">
        <f t="shared" si="10"/>
        <v>APA001A98Mujeres 20-64</v>
      </c>
      <c r="F220" s="41" t="str">
        <f t="shared" si="11"/>
        <v>APA001A98HCMujeres 20-64</v>
      </c>
      <c r="G220" s="41" t="s">
        <v>674</v>
      </c>
      <c r="H220" s="41" t="s">
        <v>654</v>
      </c>
    </row>
    <row r="221" spans="1:8">
      <c r="A221" s="41" t="s">
        <v>114</v>
      </c>
      <c r="B221" s="39" t="s">
        <v>234</v>
      </c>
      <c r="C221" s="39" t="s">
        <v>226</v>
      </c>
      <c r="D221" s="41" t="str">
        <f t="shared" si="9"/>
        <v>APA001X86HC</v>
      </c>
      <c r="E221" s="41" t="str">
        <f t="shared" si="10"/>
        <v>APA001X86Mujeres 20-64</v>
      </c>
      <c r="F221" s="41" t="str">
        <f t="shared" si="11"/>
        <v>APA001X86HCMujeres 20-64</v>
      </c>
      <c r="G221" s="41" t="s">
        <v>674</v>
      </c>
      <c r="H221" s="41" t="s">
        <v>654</v>
      </c>
    </row>
    <row r="222" spans="1:8">
      <c r="A222" s="41" t="s">
        <v>115</v>
      </c>
      <c r="B222" s="39" t="s">
        <v>234</v>
      </c>
      <c r="C222" s="39" t="s">
        <v>226</v>
      </c>
      <c r="D222" s="41" t="str">
        <f t="shared" si="9"/>
        <v>APA001X75HC</v>
      </c>
      <c r="E222" s="41" t="str">
        <f t="shared" si="10"/>
        <v>APA001X75Mujeres 20-64</v>
      </c>
      <c r="F222" s="41" t="str">
        <f t="shared" si="11"/>
        <v>APA001X75HCMujeres 20-64</v>
      </c>
      <c r="G222" s="41" t="s">
        <v>674</v>
      </c>
      <c r="H222" s="41" t="s">
        <v>654</v>
      </c>
    </row>
    <row r="223" spans="1:8">
      <c r="A223" s="41" t="s">
        <v>113</v>
      </c>
      <c r="B223" s="39" t="s">
        <v>234</v>
      </c>
      <c r="C223" s="39" t="s">
        <v>228</v>
      </c>
      <c r="D223" s="41" t="str">
        <f t="shared" si="9"/>
        <v>APA001A98FM</v>
      </c>
      <c r="E223" s="41" t="str">
        <f t="shared" si="10"/>
        <v>APA001A98Mujeres 20-64</v>
      </c>
      <c r="F223" s="41" t="str">
        <f t="shared" si="11"/>
        <v>APA001A98FMMujeres 20-64</v>
      </c>
      <c r="G223" s="41" t="s">
        <v>674</v>
      </c>
      <c r="H223" s="41" t="s">
        <v>654</v>
      </c>
    </row>
    <row r="224" spans="1:8">
      <c r="A224" s="41" t="s">
        <v>114</v>
      </c>
      <c r="B224" s="39" t="s">
        <v>234</v>
      </c>
      <c r="C224" s="39" t="s">
        <v>228</v>
      </c>
      <c r="D224" s="41" t="str">
        <f t="shared" si="9"/>
        <v>APA001X86FM</v>
      </c>
      <c r="E224" s="41" t="str">
        <f t="shared" si="10"/>
        <v>APA001X86Mujeres 20-64</v>
      </c>
      <c r="F224" s="41" t="str">
        <f t="shared" si="11"/>
        <v>APA001X86FMMujeres 20-64</v>
      </c>
      <c r="G224" s="41" t="s">
        <v>674</v>
      </c>
      <c r="H224" s="41" t="s">
        <v>654</v>
      </c>
    </row>
    <row r="225" spans="1:8">
      <c r="A225" s="41" t="s">
        <v>115</v>
      </c>
      <c r="B225" s="39" t="s">
        <v>234</v>
      </c>
      <c r="C225" s="39" t="s">
        <v>228</v>
      </c>
      <c r="D225" s="41" t="str">
        <f t="shared" si="9"/>
        <v>APA001X75FM</v>
      </c>
      <c r="E225" s="41" t="str">
        <f t="shared" si="10"/>
        <v>APA001X75Mujeres 20-64</v>
      </c>
      <c r="F225" s="41" t="str">
        <f t="shared" si="11"/>
        <v>APA001X75FMMujeres 20-64</v>
      </c>
      <c r="G225" s="41" t="s">
        <v>674</v>
      </c>
      <c r="H225" s="41" t="s">
        <v>654</v>
      </c>
    </row>
    <row r="226" spans="1:8">
      <c r="A226" s="41" t="s">
        <v>113</v>
      </c>
      <c r="B226" s="39" t="s">
        <v>234</v>
      </c>
      <c r="C226" s="39" t="s">
        <v>236</v>
      </c>
      <c r="D226" s="41" t="str">
        <f t="shared" si="9"/>
        <v>APA001A98SITAM</v>
      </c>
      <c r="E226" s="41" t="str">
        <f t="shared" si="10"/>
        <v>APA001A98Mujeres 20-64</v>
      </c>
      <c r="F226" s="41" t="str">
        <f t="shared" si="11"/>
        <v>APA001A98SITAMMujeres 20-64</v>
      </c>
      <c r="G226" s="41" t="s">
        <v>674</v>
      </c>
      <c r="H226" s="41" t="s">
        <v>654</v>
      </c>
    </row>
    <row r="227" spans="1:8">
      <c r="A227" s="41" t="s">
        <v>114</v>
      </c>
      <c r="B227" s="39" t="s">
        <v>234</v>
      </c>
      <c r="C227" s="39" t="s">
        <v>236</v>
      </c>
      <c r="D227" s="41" t="str">
        <f t="shared" si="9"/>
        <v>APA001X86SITAM</v>
      </c>
      <c r="E227" s="41" t="str">
        <f t="shared" si="10"/>
        <v>APA001X86Mujeres 20-64</v>
      </c>
      <c r="F227" s="41" t="str">
        <f t="shared" si="11"/>
        <v>APA001X86SITAMMujeres 20-64</v>
      </c>
      <c r="G227" s="41" t="s">
        <v>674</v>
      </c>
      <c r="H227" s="41" t="s">
        <v>654</v>
      </c>
    </row>
    <row r="228" spans="1:8">
      <c r="A228" s="41" t="s">
        <v>115</v>
      </c>
      <c r="B228" s="39" t="s">
        <v>234</v>
      </c>
      <c r="C228" s="39" t="s">
        <v>236</v>
      </c>
      <c r="D228" s="41" t="str">
        <f t="shared" si="9"/>
        <v>APA001X75SITAM</v>
      </c>
      <c r="E228" s="41" t="str">
        <f t="shared" si="10"/>
        <v>APA001X75Mujeres 20-64</v>
      </c>
      <c r="F228" s="41" t="str">
        <f t="shared" si="11"/>
        <v>APA001X75SITAMMujeres 20-64</v>
      </c>
      <c r="G228" s="41" t="s">
        <v>674</v>
      </c>
      <c r="H228" s="41" t="s">
        <v>654</v>
      </c>
    </row>
    <row r="229" spans="1:8">
      <c r="A229" s="41" t="s">
        <v>35</v>
      </c>
      <c r="B229" s="39" t="s">
        <v>234</v>
      </c>
      <c r="C229" s="39" t="s">
        <v>226</v>
      </c>
      <c r="D229" s="41" t="str">
        <f t="shared" si="9"/>
        <v>PRP018W78HC</v>
      </c>
      <c r="E229" s="41" t="str">
        <f t="shared" si="10"/>
        <v>PRP018W78Mujeres 20-64</v>
      </c>
      <c r="F229" s="41" t="str">
        <f t="shared" si="11"/>
        <v>PRP018W78HCMujeres 20-64</v>
      </c>
      <c r="G229" s="41" t="s">
        <v>675</v>
      </c>
      <c r="H229" s="41" t="s">
        <v>31</v>
      </c>
    </row>
    <row r="230" spans="1:8">
      <c r="A230" s="41" t="s">
        <v>35</v>
      </c>
      <c r="B230" s="39" t="s">
        <v>234</v>
      </c>
      <c r="C230" s="39" t="s">
        <v>238</v>
      </c>
      <c r="D230" s="41" t="str">
        <f t="shared" si="9"/>
        <v>PRP018W78HCPB</v>
      </c>
      <c r="E230" s="41" t="str">
        <f t="shared" si="10"/>
        <v>PRP018W78Mujeres 20-64</v>
      </c>
      <c r="F230" s="41" t="str">
        <f t="shared" si="11"/>
        <v>PRP018W78HCPBMujeres 20-64</v>
      </c>
      <c r="G230" s="41" t="s">
        <v>675</v>
      </c>
      <c r="H230" s="41" t="s">
        <v>31</v>
      </c>
    </row>
    <row r="231" spans="1:8">
      <c r="A231" s="41" t="s">
        <v>97</v>
      </c>
      <c r="B231" s="39" t="s">
        <v>234</v>
      </c>
      <c r="C231" s="39" t="s">
        <v>226</v>
      </c>
      <c r="D231" s="41" t="str">
        <f t="shared" si="9"/>
        <v>CTC007O16HC</v>
      </c>
      <c r="E231" s="41" t="str">
        <f t="shared" si="10"/>
        <v>CTC007O16Mujeres 20-64</v>
      </c>
      <c r="F231" s="41" t="str">
        <f t="shared" si="11"/>
        <v>CTC007O16HCMujeres 20-64</v>
      </c>
      <c r="G231" s="41" t="s">
        <v>676</v>
      </c>
      <c r="H231" s="41" t="s">
        <v>95</v>
      </c>
    </row>
    <row r="232" spans="1:8">
      <c r="A232" s="41" t="s">
        <v>96</v>
      </c>
      <c r="B232" s="39" t="s">
        <v>234</v>
      </c>
      <c r="C232" s="39" t="s">
        <v>226</v>
      </c>
      <c r="D232" s="41" t="str">
        <f t="shared" si="9"/>
        <v>CTC022O16HC</v>
      </c>
      <c r="E232" s="41" t="str">
        <f t="shared" si="10"/>
        <v>CTC022O16Mujeres 20-64</v>
      </c>
      <c r="F232" s="41" t="str">
        <f t="shared" si="11"/>
        <v>CTC022O16HCMujeres 20-64</v>
      </c>
      <c r="G232" s="41" t="s">
        <v>414</v>
      </c>
      <c r="H232" s="41" t="s">
        <v>95</v>
      </c>
    </row>
    <row r="233" spans="1:8">
      <c r="A233" s="41" t="s">
        <v>321</v>
      </c>
      <c r="B233" s="39" t="s">
        <v>234</v>
      </c>
      <c r="C233" s="39" t="s">
        <v>226</v>
      </c>
      <c r="D233" s="41" t="str">
        <f t="shared" si="9"/>
        <v>CTC007O10.0HC</v>
      </c>
      <c r="E233" s="41" t="str">
        <f t="shared" si="10"/>
        <v>CTC007O10.0Mujeres 20-64</v>
      </c>
      <c r="F233" s="41" t="str">
        <f t="shared" si="11"/>
        <v>CTC007O10.0HCMujeres 20-64</v>
      </c>
      <c r="G233" s="41" t="s">
        <v>93</v>
      </c>
      <c r="H233" s="41" t="s">
        <v>91</v>
      </c>
    </row>
    <row r="234" spans="1:8">
      <c r="A234" s="41" t="s">
        <v>146</v>
      </c>
      <c r="B234" s="39" t="s">
        <v>234</v>
      </c>
      <c r="C234" s="39" t="s">
        <v>226</v>
      </c>
      <c r="D234" s="41" t="str">
        <f t="shared" si="9"/>
        <v>CTC007O10.4HC</v>
      </c>
      <c r="E234" s="41" t="str">
        <f t="shared" si="10"/>
        <v>CTC007O10.4Mujeres 20-64</v>
      </c>
      <c r="F234" s="41" t="str">
        <f t="shared" si="11"/>
        <v>CTC007O10.4HCMujeres 20-64</v>
      </c>
      <c r="G234" s="41" t="s">
        <v>93</v>
      </c>
      <c r="H234" s="41" t="s">
        <v>91</v>
      </c>
    </row>
    <row r="235" spans="1:8">
      <c r="A235" s="41" t="s">
        <v>326</v>
      </c>
      <c r="B235" s="39" t="s">
        <v>234</v>
      </c>
      <c r="C235" s="39" t="s">
        <v>226</v>
      </c>
      <c r="D235" s="41" t="str">
        <f t="shared" si="9"/>
        <v>CTC022O10.0HC</v>
      </c>
      <c r="E235" s="41" t="str">
        <f t="shared" si="10"/>
        <v>CTC022O10.0Mujeres 20-64</v>
      </c>
      <c r="F235" s="41" t="str">
        <f t="shared" si="11"/>
        <v>CTC022O10.0HCMujeres 20-64</v>
      </c>
      <c r="G235" s="41" t="s">
        <v>92</v>
      </c>
      <c r="H235" s="41" t="s">
        <v>91</v>
      </c>
    </row>
    <row r="236" spans="1:8">
      <c r="A236" s="41" t="s">
        <v>147</v>
      </c>
      <c r="B236" s="39" t="s">
        <v>234</v>
      </c>
      <c r="C236" s="39" t="s">
        <v>226</v>
      </c>
      <c r="D236" s="41" t="str">
        <f t="shared" si="9"/>
        <v>CTC022O10.4HC</v>
      </c>
      <c r="E236" s="41" t="str">
        <f t="shared" si="10"/>
        <v>CTC022O10.4Mujeres 20-64</v>
      </c>
      <c r="F236" s="41" t="str">
        <f t="shared" si="11"/>
        <v>CTC022O10.4HCMujeres 20-64</v>
      </c>
      <c r="G236" s="41" t="s">
        <v>92</v>
      </c>
      <c r="H236" s="41" t="s">
        <v>91</v>
      </c>
    </row>
    <row r="237" spans="1:8">
      <c r="A237" s="41" t="s">
        <v>89</v>
      </c>
      <c r="B237" s="39" t="s">
        <v>234</v>
      </c>
      <c r="C237" s="39" t="s">
        <v>226</v>
      </c>
      <c r="D237" s="41" t="str">
        <f t="shared" si="9"/>
        <v>CTC007O24.4HC</v>
      </c>
      <c r="E237" s="41" t="str">
        <f t="shared" si="10"/>
        <v>CTC007O24.4Mujeres 20-64</v>
      </c>
      <c r="F237" s="41" t="str">
        <f t="shared" si="11"/>
        <v>CTC007O24.4HCMujeres 20-64</v>
      </c>
      <c r="G237" s="41" t="s">
        <v>90</v>
      </c>
      <c r="H237" s="41" t="s">
        <v>86</v>
      </c>
    </row>
    <row r="238" spans="1:8">
      <c r="A238" s="41" t="s">
        <v>87</v>
      </c>
      <c r="B238" s="39" t="s">
        <v>234</v>
      </c>
      <c r="C238" s="39" t="s">
        <v>226</v>
      </c>
      <c r="D238" s="41" t="str">
        <f t="shared" si="9"/>
        <v>CTC022O24.4HC</v>
      </c>
      <c r="E238" s="41" t="str">
        <f t="shared" si="10"/>
        <v>CTC022O24.4Mujeres 20-64</v>
      </c>
      <c r="F238" s="41" t="str">
        <f t="shared" si="11"/>
        <v>CTC022O24.4HCMujeres 20-64</v>
      </c>
      <c r="G238" s="41" t="s">
        <v>88</v>
      </c>
      <c r="H238" s="41" t="s">
        <v>86</v>
      </c>
    </row>
    <row r="239" spans="1:8">
      <c r="A239" s="41" t="s">
        <v>97</v>
      </c>
      <c r="B239" s="39" t="s">
        <v>234</v>
      </c>
      <c r="C239" s="39" t="s">
        <v>238</v>
      </c>
      <c r="D239" s="41" t="str">
        <f t="shared" si="9"/>
        <v>CTC007O16HCPB</v>
      </c>
      <c r="E239" s="41" t="str">
        <f t="shared" si="10"/>
        <v>CTC007O16Mujeres 20-64</v>
      </c>
      <c r="F239" s="41" t="str">
        <f t="shared" si="11"/>
        <v>CTC007O16HCPBMujeres 20-64</v>
      </c>
      <c r="G239" s="41" t="s">
        <v>676</v>
      </c>
      <c r="H239" s="41" t="s">
        <v>95</v>
      </c>
    </row>
    <row r="240" spans="1:8">
      <c r="A240" s="41" t="s">
        <v>96</v>
      </c>
      <c r="B240" s="39" t="s">
        <v>234</v>
      </c>
      <c r="C240" s="39" t="s">
        <v>238</v>
      </c>
      <c r="D240" s="41" t="str">
        <f t="shared" si="9"/>
        <v>CTC022O16HCPB</v>
      </c>
      <c r="E240" s="41" t="str">
        <f t="shared" si="10"/>
        <v>CTC022O16Mujeres 20-64</v>
      </c>
      <c r="F240" s="41" t="str">
        <f t="shared" si="11"/>
        <v>CTC022O16HCPBMujeres 20-64</v>
      </c>
      <c r="G240" s="41" t="s">
        <v>414</v>
      </c>
      <c r="H240" s="41" t="s">
        <v>95</v>
      </c>
    </row>
    <row r="241" spans="1:8">
      <c r="A241" s="41" t="s">
        <v>321</v>
      </c>
      <c r="B241" s="39" t="s">
        <v>234</v>
      </c>
      <c r="C241" s="39" t="s">
        <v>238</v>
      </c>
      <c r="D241" s="41" t="str">
        <f t="shared" si="9"/>
        <v>CTC007O10.0HCPB</v>
      </c>
      <c r="E241" s="41" t="str">
        <f t="shared" si="10"/>
        <v>CTC007O10.0Mujeres 20-64</v>
      </c>
      <c r="F241" s="41" t="str">
        <f t="shared" si="11"/>
        <v>CTC007O10.0HCPBMujeres 20-64</v>
      </c>
      <c r="G241" s="41" t="s">
        <v>93</v>
      </c>
      <c r="H241" s="41" t="s">
        <v>91</v>
      </c>
    </row>
    <row r="242" spans="1:8">
      <c r="A242" s="41" t="s">
        <v>146</v>
      </c>
      <c r="B242" s="39" t="s">
        <v>234</v>
      </c>
      <c r="C242" s="39" t="s">
        <v>238</v>
      </c>
      <c r="D242" s="41" t="str">
        <f t="shared" si="9"/>
        <v>CTC007O10.4HCPB</v>
      </c>
      <c r="E242" s="41" t="str">
        <f t="shared" si="10"/>
        <v>CTC007O10.4Mujeres 20-64</v>
      </c>
      <c r="F242" s="41" t="str">
        <f t="shared" si="11"/>
        <v>CTC007O10.4HCPBMujeres 20-64</v>
      </c>
      <c r="G242" s="41" t="s">
        <v>93</v>
      </c>
      <c r="H242" s="41" t="s">
        <v>91</v>
      </c>
    </row>
    <row r="243" spans="1:8">
      <c r="A243" s="41" t="s">
        <v>326</v>
      </c>
      <c r="B243" s="39" t="s">
        <v>234</v>
      </c>
      <c r="C243" s="39" t="s">
        <v>238</v>
      </c>
      <c r="D243" s="41" t="str">
        <f t="shared" si="9"/>
        <v>CTC022O10.0HCPB</v>
      </c>
      <c r="E243" s="41" t="str">
        <f t="shared" si="10"/>
        <v>CTC022O10.0Mujeres 20-64</v>
      </c>
      <c r="F243" s="41" t="str">
        <f t="shared" si="11"/>
        <v>CTC022O10.0HCPBMujeres 20-64</v>
      </c>
      <c r="G243" s="41" t="s">
        <v>92</v>
      </c>
      <c r="H243" s="41" t="s">
        <v>91</v>
      </c>
    </row>
    <row r="244" spans="1:8">
      <c r="A244" s="41" t="s">
        <v>147</v>
      </c>
      <c r="B244" s="39" t="s">
        <v>234</v>
      </c>
      <c r="C244" s="39" t="s">
        <v>238</v>
      </c>
      <c r="D244" s="41" t="str">
        <f t="shared" si="9"/>
        <v>CTC022O10.4HCPB</v>
      </c>
      <c r="E244" s="41" t="str">
        <f t="shared" si="10"/>
        <v>CTC022O10.4Mujeres 20-64</v>
      </c>
      <c r="F244" s="41" t="str">
        <f t="shared" si="11"/>
        <v>CTC022O10.4HCPBMujeres 20-64</v>
      </c>
      <c r="G244" s="41" t="s">
        <v>92</v>
      </c>
      <c r="H244" s="41" t="s">
        <v>91</v>
      </c>
    </row>
    <row r="245" spans="1:8">
      <c r="A245" s="41" t="s">
        <v>89</v>
      </c>
      <c r="B245" s="39" t="s">
        <v>234</v>
      </c>
      <c r="C245" s="39" t="s">
        <v>238</v>
      </c>
      <c r="D245" s="41" t="str">
        <f t="shared" si="9"/>
        <v>CTC007O24.4HCPB</v>
      </c>
      <c r="E245" s="41" t="str">
        <f t="shared" si="10"/>
        <v>CTC007O24.4Mujeres 20-64</v>
      </c>
      <c r="F245" s="41" t="str">
        <f t="shared" si="11"/>
        <v>CTC007O24.4HCPBMujeres 20-64</v>
      </c>
      <c r="G245" s="41" t="s">
        <v>90</v>
      </c>
      <c r="H245" s="41" t="s">
        <v>86</v>
      </c>
    </row>
    <row r="246" spans="1:8">
      <c r="A246" s="41" t="s">
        <v>87</v>
      </c>
      <c r="B246" s="39" t="s">
        <v>234</v>
      </c>
      <c r="C246" s="39" t="s">
        <v>238</v>
      </c>
      <c r="D246" s="41" t="str">
        <f t="shared" si="9"/>
        <v>CTC022O24.4HCPB</v>
      </c>
      <c r="E246" s="41" t="str">
        <f t="shared" si="10"/>
        <v>CTC022O24.4Mujeres 20-64</v>
      </c>
      <c r="F246" s="41" t="str">
        <f t="shared" si="11"/>
        <v>CTC022O24.4HCPBMujeres 20-64</v>
      </c>
      <c r="G246" s="41" t="s">
        <v>88</v>
      </c>
      <c r="H246" s="41" t="s">
        <v>86</v>
      </c>
    </row>
    <row r="247" spans="1:8">
      <c r="A247" s="41" t="s">
        <v>97</v>
      </c>
      <c r="B247" s="39" t="s">
        <v>234</v>
      </c>
      <c r="C247" s="39" t="s">
        <v>228</v>
      </c>
      <c r="D247" s="41" t="str">
        <f t="shared" si="9"/>
        <v>CTC007O16FM</v>
      </c>
      <c r="E247" s="41" t="str">
        <f t="shared" si="10"/>
        <v>CTC007O16Mujeres 20-64</v>
      </c>
      <c r="F247" s="41" t="str">
        <f t="shared" si="11"/>
        <v>CTC007O16FMMujeres 20-64</v>
      </c>
      <c r="G247" s="41" t="s">
        <v>676</v>
      </c>
      <c r="H247" s="41" t="s">
        <v>95</v>
      </c>
    </row>
    <row r="248" spans="1:8">
      <c r="A248" s="41" t="s">
        <v>96</v>
      </c>
      <c r="B248" s="39" t="s">
        <v>234</v>
      </c>
      <c r="C248" s="39" t="s">
        <v>228</v>
      </c>
      <c r="D248" s="41" t="str">
        <f t="shared" si="9"/>
        <v>CTC022O16FM</v>
      </c>
      <c r="E248" s="41" t="str">
        <f t="shared" si="10"/>
        <v>CTC022O16Mujeres 20-64</v>
      </c>
      <c r="F248" s="41" t="str">
        <f t="shared" si="11"/>
        <v>CTC022O16FMMujeres 20-64</v>
      </c>
      <c r="G248" s="41" t="s">
        <v>414</v>
      </c>
      <c r="H248" s="41" t="s">
        <v>95</v>
      </c>
    </row>
    <row r="249" spans="1:8">
      <c r="A249" s="41" t="s">
        <v>321</v>
      </c>
      <c r="B249" s="39" t="s">
        <v>234</v>
      </c>
      <c r="C249" s="39" t="s">
        <v>228</v>
      </c>
      <c r="D249" s="41" t="str">
        <f t="shared" si="9"/>
        <v>CTC007O10.0FM</v>
      </c>
      <c r="E249" s="41" t="str">
        <f t="shared" si="10"/>
        <v>CTC007O10.0Mujeres 20-64</v>
      </c>
      <c r="F249" s="41" t="str">
        <f t="shared" si="11"/>
        <v>CTC007O10.0FMMujeres 20-64</v>
      </c>
      <c r="G249" s="41" t="s">
        <v>93</v>
      </c>
      <c r="H249" s="41" t="s">
        <v>91</v>
      </c>
    </row>
    <row r="250" spans="1:8">
      <c r="A250" s="41" t="s">
        <v>146</v>
      </c>
      <c r="B250" s="39" t="s">
        <v>234</v>
      </c>
      <c r="C250" s="39" t="s">
        <v>228</v>
      </c>
      <c r="D250" s="41" t="str">
        <f t="shared" si="9"/>
        <v>CTC007O10.4FM</v>
      </c>
      <c r="E250" s="41" t="str">
        <f t="shared" si="10"/>
        <v>CTC007O10.4Mujeres 20-64</v>
      </c>
      <c r="F250" s="41" t="str">
        <f t="shared" si="11"/>
        <v>CTC007O10.4FMMujeres 20-64</v>
      </c>
      <c r="G250" s="41" t="s">
        <v>93</v>
      </c>
      <c r="H250" s="41" t="s">
        <v>91</v>
      </c>
    </row>
    <row r="251" spans="1:8">
      <c r="A251" s="41" t="s">
        <v>326</v>
      </c>
      <c r="B251" s="39" t="s">
        <v>234</v>
      </c>
      <c r="C251" s="39" t="s">
        <v>228</v>
      </c>
      <c r="D251" s="41" t="str">
        <f t="shared" si="9"/>
        <v>CTC022O10.0FM</v>
      </c>
      <c r="E251" s="41" t="str">
        <f t="shared" si="10"/>
        <v>CTC022O10.0Mujeres 20-64</v>
      </c>
      <c r="F251" s="41" t="str">
        <f t="shared" si="11"/>
        <v>CTC022O10.0FMMujeres 20-64</v>
      </c>
      <c r="G251" s="41" t="s">
        <v>92</v>
      </c>
      <c r="H251" s="41" t="s">
        <v>91</v>
      </c>
    </row>
    <row r="252" spans="1:8">
      <c r="A252" s="41" t="s">
        <v>147</v>
      </c>
      <c r="B252" s="39" t="s">
        <v>234</v>
      </c>
      <c r="C252" s="39" t="s">
        <v>228</v>
      </c>
      <c r="D252" s="41" t="str">
        <f t="shared" si="9"/>
        <v>CTC022O10.4FM</v>
      </c>
      <c r="E252" s="41" t="str">
        <f t="shared" si="10"/>
        <v>CTC022O10.4Mujeres 20-64</v>
      </c>
      <c r="F252" s="41" t="str">
        <f t="shared" si="11"/>
        <v>CTC022O10.4FMMujeres 20-64</v>
      </c>
      <c r="G252" s="41" t="s">
        <v>92</v>
      </c>
      <c r="H252" s="41" t="s">
        <v>91</v>
      </c>
    </row>
    <row r="253" spans="1:8">
      <c r="A253" s="41" t="s">
        <v>89</v>
      </c>
      <c r="B253" s="39" t="s">
        <v>234</v>
      </c>
      <c r="C253" s="39" t="s">
        <v>228</v>
      </c>
      <c r="D253" s="41" t="str">
        <f t="shared" si="9"/>
        <v>CTC007O24.4FM</v>
      </c>
      <c r="E253" s="41" t="str">
        <f t="shared" si="10"/>
        <v>CTC007O24.4Mujeres 20-64</v>
      </c>
      <c r="F253" s="41" t="str">
        <f t="shared" si="11"/>
        <v>CTC007O24.4FMMujeres 20-64</v>
      </c>
      <c r="G253" s="41" t="s">
        <v>90</v>
      </c>
      <c r="H253" s="41" t="s">
        <v>86</v>
      </c>
    </row>
    <row r="254" spans="1:8">
      <c r="A254" s="41" t="s">
        <v>87</v>
      </c>
      <c r="B254" s="39" t="s">
        <v>234</v>
      </c>
      <c r="C254" s="39" t="s">
        <v>228</v>
      </c>
      <c r="D254" s="41" t="str">
        <f t="shared" si="9"/>
        <v>CTC022O24.4FM</v>
      </c>
      <c r="E254" s="41" t="str">
        <f t="shared" si="10"/>
        <v>CTC022O24.4Mujeres 20-64</v>
      </c>
      <c r="F254" s="41" t="str">
        <f t="shared" si="11"/>
        <v>CTC022O24.4FMMujeres 20-64</v>
      </c>
      <c r="G254" s="41" t="s">
        <v>88</v>
      </c>
      <c r="H254" s="41" t="s">
        <v>86</v>
      </c>
    </row>
    <row r="255" spans="1:8">
      <c r="A255" s="41" t="s">
        <v>335</v>
      </c>
      <c r="B255" s="39" t="s">
        <v>234</v>
      </c>
      <c r="C255" s="39" t="s">
        <v>226</v>
      </c>
      <c r="D255" s="41" t="str">
        <f t="shared" si="9"/>
        <v>LBL090O16HC</v>
      </c>
      <c r="E255" s="41" t="str">
        <f t="shared" si="10"/>
        <v>LBL090O16Mujeres 20-64</v>
      </c>
      <c r="F255" s="41" t="str">
        <f t="shared" si="11"/>
        <v>LBL090O16HCMujeres 20-64</v>
      </c>
      <c r="G255" s="41" t="s">
        <v>424</v>
      </c>
      <c r="H255" s="41" t="s">
        <v>81</v>
      </c>
    </row>
    <row r="256" spans="1:8">
      <c r="A256" s="41" t="s">
        <v>343</v>
      </c>
      <c r="B256" s="39" t="s">
        <v>234</v>
      </c>
      <c r="C256" s="39" t="s">
        <v>226</v>
      </c>
      <c r="D256" s="41" t="str">
        <f t="shared" si="9"/>
        <v>LBL110W78HC</v>
      </c>
      <c r="E256" s="41" t="str">
        <f t="shared" si="10"/>
        <v>LBL110W78Mujeres 20-64</v>
      </c>
      <c r="F256" s="41" t="str">
        <f t="shared" si="11"/>
        <v>LBL110W78HCMujeres 20-64</v>
      </c>
      <c r="G256" s="41" t="s">
        <v>415</v>
      </c>
      <c r="H256" s="41" t="s">
        <v>81</v>
      </c>
    </row>
    <row r="257" spans="1:8">
      <c r="A257" s="41" t="s">
        <v>345</v>
      </c>
      <c r="B257" s="39" t="s">
        <v>234</v>
      </c>
      <c r="C257" s="39" t="s">
        <v>226</v>
      </c>
      <c r="D257" s="41" t="str">
        <f t="shared" si="9"/>
        <v>LBL111W78HC</v>
      </c>
      <c r="E257" s="41" t="str">
        <f t="shared" si="10"/>
        <v>LBL111W78Mujeres 20-64</v>
      </c>
      <c r="F257" s="41" t="str">
        <f t="shared" si="11"/>
        <v>LBL111W78HCMujeres 20-64</v>
      </c>
      <c r="G257" s="41" t="s">
        <v>416</v>
      </c>
      <c r="H257" s="41" t="s">
        <v>81</v>
      </c>
    </row>
    <row r="258" spans="1:8">
      <c r="A258" s="41" t="s">
        <v>347</v>
      </c>
      <c r="B258" s="39" t="s">
        <v>234</v>
      </c>
      <c r="C258" s="39" t="s">
        <v>226</v>
      </c>
      <c r="D258" s="41" t="str">
        <f t="shared" ref="D258:D321" si="12">+CONCATENATE(A258,C258)</f>
        <v>LBL099W78HC</v>
      </c>
      <c r="E258" s="41" t="str">
        <f t="shared" ref="E258:E321" si="13">+CONCATENATE(A258,B258)</f>
        <v>LBL099W78Mujeres 20-64</v>
      </c>
      <c r="F258" s="41" t="str">
        <f t="shared" ref="F258:F321" si="14">CONCATENATE(A258,C258,B258)</f>
        <v>LBL099W78HCMujeres 20-64</v>
      </c>
      <c r="G258" s="41" t="s">
        <v>417</v>
      </c>
      <c r="H258" s="41" t="s">
        <v>81</v>
      </c>
    </row>
    <row r="259" spans="1:8">
      <c r="A259" s="41" t="s">
        <v>349</v>
      </c>
      <c r="B259" s="39" t="s">
        <v>234</v>
      </c>
      <c r="C259" s="39" t="s">
        <v>226</v>
      </c>
      <c r="D259" s="41" t="str">
        <f t="shared" si="12"/>
        <v>LBL128W78HC</v>
      </c>
      <c r="E259" s="41" t="str">
        <f t="shared" si="13"/>
        <v>LBL128W78Mujeres 20-64</v>
      </c>
      <c r="F259" s="41" t="str">
        <f t="shared" si="14"/>
        <v>LBL128W78HCMujeres 20-64</v>
      </c>
      <c r="G259" s="41" t="s">
        <v>418</v>
      </c>
      <c r="H259" s="41" t="s">
        <v>81</v>
      </c>
    </row>
    <row r="260" spans="1:8">
      <c r="A260" s="41" t="s">
        <v>351</v>
      </c>
      <c r="B260" s="39" t="s">
        <v>234</v>
      </c>
      <c r="C260" s="39" t="s">
        <v>226</v>
      </c>
      <c r="D260" s="41" t="str">
        <f t="shared" si="12"/>
        <v>LBL065W78HC</v>
      </c>
      <c r="E260" s="41" t="str">
        <f t="shared" si="13"/>
        <v>LBL065W78Mujeres 20-64</v>
      </c>
      <c r="F260" s="41" t="str">
        <f t="shared" si="14"/>
        <v>LBL065W78HCMujeres 20-64</v>
      </c>
      <c r="G260" s="41" t="s">
        <v>677</v>
      </c>
      <c r="H260" s="41" t="s">
        <v>81</v>
      </c>
    </row>
    <row r="261" spans="1:8">
      <c r="A261" s="41" t="s">
        <v>353</v>
      </c>
      <c r="B261" s="39" t="s">
        <v>234</v>
      </c>
      <c r="C261" s="39" t="s">
        <v>226</v>
      </c>
      <c r="D261" s="41" t="str">
        <f t="shared" si="12"/>
        <v>LBL119W78HC</v>
      </c>
      <c r="E261" s="41" t="str">
        <f t="shared" si="13"/>
        <v>LBL119W78Mujeres 20-64</v>
      </c>
      <c r="F261" s="41" t="str">
        <f t="shared" si="14"/>
        <v>LBL119W78HCMujeres 20-64</v>
      </c>
      <c r="G261" s="41" t="s">
        <v>420</v>
      </c>
      <c r="H261" s="41" t="s">
        <v>81</v>
      </c>
    </row>
    <row r="262" spans="1:8">
      <c r="A262" s="41" t="s">
        <v>355</v>
      </c>
      <c r="B262" s="39" t="s">
        <v>234</v>
      </c>
      <c r="C262" s="39" t="s">
        <v>226</v>
      </c>
      <c r="D262" s="41" t="str">
        <f t="shared" si="12"/>
        <v>LBL121W78HC</v>
      </c>
      <c r="E262" s="41" t="str">
        <f t="shared" si="13"/>
        <v>LBL121W78Mujeres 20-64</v>
      </c>
      <c r="F262" s="41" t="str">
        <f t="shared" si="14"/>
        <v>LBL121W78HCMujeres 20-64</v>
      </c>
      <c r="G262" s="41" t="s">
        <v>678</v>
      </c>
      <c r="H262" s="41" t="s">
        <v>81</v>
      </c>
    </row>
    <row r="263" spans="1:8">
      <c r="A263" s="41" t="s">
        <v>357</v>
      </c>
      <c r="B263" s="39" t="s">
        <v>234</v>
      </c>
      <c r="C263" s="39" t="s">
        <v>226</v>
      </c>
      <c r="D263" s="41" t="str">
        <f t="shared" si="12"/>
        <v>LBL122W78HC</v>
      </c>
      <c r="E263" s="41" t="str">
        <f t="shared" si="13"/>
        <v>LBL122W78Mujeres 20-64</v>
      </c>
      <c r="F263" s="41" t="str">
        <f t="shared" si="14"/>
        <v>LBL122W78HCMujeres 20-64</v>
      </c>
      <c r="G263" s="41" t="s">
        <v>422</v>
      </c>
      <c r="H263" s="41" t="s">
        <v>81</v>
      </c>
    </row>
    <row r="264" spans="1:8">
      <c r="A264" s="41" t="s">
        <v>335</v>
      </c>
      <c r="B264" s="39" t="s">
        <v>234</v>
      </c>
      <c r="C264" s="39" t="s">
        <v>238</v>
      </c>
      <c r="D264" s="41" t="str">
        <f t="shared" si="12"/>
        <v>LBL090O16HCPB</v>
      </c>
      <c r="E264" s="41" t="str">
        <f t="shared" si="13"/>
        <v>LBL090O16Mujeres 20-64</v>
      </c>
      <c r="F264" s="41" t="str">
        <f t="shared" si="14"/>
        <v>LBL090O16HCPBMujeres 20-64</v>
      </c>
      <c r="G264" s="41" t="s">
        <v>424</v>
      </c>
      <c r="H264" s="41" t="s">
        <v>81</v>
      </c>
    </row>
    <row r="265" spans="1:8">
      <c r="A265" s="41" t="s">
        <v>343</v>
      </c>
      <c r="B265" s="39" t="s">
        <v>234</v>
      </c>
      <c r="C265" s="39" t="s">
        <v>238</v>
      </c>
      <c r="D265" s="41" t="str">
        <f t="shared" si="12"/>
        <v>LBL110W78HCPB</v>
      </c>
      <c r="E265" s="41" t="str">
        <f t="shared" si="13"/>
        <v>LBL110W78Mujeres 20-64</v>
      </c>
      <c r="F265" s="41" t="str">
        <f t="shared" si="14"/>
        <v>LBL110W78HCPBMujeres 20-64</v>
      </c>
      <c r="G265" s="41" t="s">
        <v>415</v>
      </c>
      <c r="H265" s="41" t="s">
        <v>81</v>
      </c>
    </row>
    <row r="266" spans="1:8">
      <c r="A266" s="41" t="s">
        <v>345</v>
      </c>
      <c r="B266" s="39" t="s">
        <v>234</v>
      </c>
      <c r="C266" s="39" t="s">
        <v>238</v>
      </c>
      <c r="D266" s="41" t="str">
        <f t="shared" si="12"/>
        <v>LBL111W78HCPB</v>
      </c>
      <c r="E266" s="41" t="str">
        <f t="shared" si="13"/>
        <v>LBL111W78Mujeres 20-64</v>
      </c>
      <c r="F266" s="41" t="str">
        <f t="shared" si="14"/>
        <v>LBL111W78HCPBMujeres 20-64</v>
      </c>
      <c r="G266" s="41" t="s">
        <v>416</v>
      </c>
      <c r="H266" s="41" t="s">
        <v>81</v>
      </c>
    </row>
    <row r="267" spans="1:8">
      <c r="A267" s="41" t="s">
        <v>347</v>
      </c>
      <c r="B267" s="39" t="s">
        <v>234</v>
      </c>
      <c r="C267" s="39" t="s">
        <v>238</v>
      </c>
      <c r="D267" s="41" t="str">
        <f t="shared" si="12"/>
        <v>LBL099W78HCPB</v>
      </c>
      <c r="E267" s="41" t="str">
        <f t="shared" si="13"/>
        <v>LBL099W78Mujeres 20-64</v>
      </c>
      <c r="F267" s="41" t="str">
        <f t="shared" si="14"/>
        <v>LBL099W78HCPBMujeres 20-64</v>
      </c>
      <c r="G267" s="41" t="s">
        <v>417</v>
      </c>
      <c r="H267" s="41" t="s">
        <v>81</v>
      </c>
    </row>
    <row r="268" spans="1:8">
      <c r="A268" s="41" t="s">
        <v>349</v>
      </c>
      <c r="B268" s="39" t="s">
        <v>234</v>
      </c>
      <c r="C268" s="39" t="s">
        <v>238</v>
      </c>
      <c r="D268" s="41" t="str">
        <f t="shared" si="12"/>
        <v>LBL128W78HCPB</v>
      </c>
      <c r="E268" s="41" t="str">
        <f t="shared" si="13"/>
        <v>LBL128W78Mujeres 20-64</v>
      </c>
      <c r="F268" s="41" t="str">
        <f t="shared" si="14"/>
        <v>LBL128W78HCPBMujeres 20-64</v>
      </c>
      <c r="G268" s="41" t="s">
        <v>418</v>
      </c>
      <c r="H268" s="41" t="s">
        <v>81</v>
      </c>
    </row>
    <row r="269" spans="1:8">
      <c r="A269" s="41" t="s">
        <v>351</v>
      </c>
      <c r="B269" s="39" t="s">
        <v>234</v>
      </c>
      <c r="C269" s="39" t="s">
        <v>238</v>
      </c>
      <c r="D269" s="41" t="str">
        <f t="shared" si="12"/>
        <v>LBL065W78HCPB</v>
      </c>
      <c r="E269" s="41" t="str">
        <f t="shared" si="13"/>
        <v>LBL065W78Mujeres 20-64</v>
      </c>
      <c r="F269" s="41" t="str">
        <f t="shared" si="14"/>
        <v>LBL065W78HCPBMujeres 20-64</v>
      </c>
      <c r="G269" s="41" t="s">
        <v>677</v>
      </c>
      <c r="H269" s="41" t="s">
        <v>81</v>
      </c>
    </row>
    <row r="270" spans="1:8">
      <c r="A270" s="41" t="s">
        <v>353</v>
      </c>
      <c r="B270" s="39" t="s">
        <v>234</v>
      </c>
      <c r="C270" s="39" t="s">
        <v>238</v>
      </c>
      <c r="D270" s="41" t="str">
        <f t="shared" si="12"/>
        <v>LBL119W78HCPB</v>
      </c>
      <c r="E270" s="41" t="str">
        <f t="shared" si="13"/>
        <v>LBL119W78Mujeres 20-64</v>
      </c>
      <c r="F270" s="41" t="str">
        <f t="shared" si="14"/>
        <v>LBL119W78HCPBMujeres 20-64</v>
      </c>
      <c r="G270" s="41" t="s">
        <v>420</v>
      </c>
      <c r="H270" s="41" t="s">
        <v>81</v>
      </c>
    </row>
    <row r="271" spans="1:8">
      <c r="A271" s="41" t="s">
        <v>355</v>
      </c>
      <c r="B271" s="39" t="s">
        <v>234</v>
      </c>
      <c r="C271" s="39" t="s">
        <v>238</v>
      </c>
      <c r="D271" s="41" t="str">
        <f t="shared" si="12"/>
        <v>LBL121W78HCPB</v>
      </c>
      <c r="E271" s="41" t="str">
        <f t="shared" si="13"/>
        <v>LBL121W78Mujeres 20-64</v>
      </c>
      <c r="F271" s="41" t="str">
        <f t="shared" si="14"/>
        <v>LBL121W78HCPBMujeres 20-64</v>
      </c>
      <c r="G271" s="41" t="s">
        <v>678</v>
      </c>
      <c r="H271" s="41" t="s">
        <v>81</v>
      </c>
    </row>
    <row r="272" spans="1:8">
      <c r="A272" s="41" t="s">
        <v>357</v>
      </c>
      <c r="B272" s="39" t="s">
        <v>234</v>
      </c>
      <c r="C272" s="39" t="s">
        <v>238</v>
      </c>
      <c r="D272" s="41" t="str">
        <f t="shared" si="12"/>
        <v>LBL122W78HCPB</v>
      </c>
      <c r="E272" s="41" t="str">
        <f t="shared" si="13"/>
        <v>LBL122W78Mujeres 20-64</v>
      </c>
      <c r="F272" s="41" t="str">
        <f t="shared" si="14"/>
        <v>LBL122W78HCPBMujeres 20-64</v>
      </c>
      <c r="G272" s="41" t="s">
        <v>422</v>
      </c>
      <c r="H272" s="41" t="s">
        <v>81</v>
      </c>
    </row>
    <row r="273" spans="1:8">
      <c r="A273" s="41" t="s">
        <v>335</v>
      </c>
      <c r="B273" s="39" t="s">
        <v>234</v>
      </c>
      <c r="C273" s="39" t="s">
        <v>239</v>
      </c>
      <c r="D273" s="41" t="str">
        <f t="shared" si="12"/>
        <v>LBL090O16LL</v>
      </c>
      <c r="E273" s="41" t="str">
        <f t="shared" si="13"/>
        <v>LBL090O16Mujeres 20-64</v>
      </c>
      <c r="F273" s="41" t="str">
        <f t="shared" si="14"/>
        <v>LBL090O16LLMujeres 20-64</v>
      </c>
      <c r="G273" s="41" t="s">
        <v>424</v>
      </c>
      <c r="H273" s="41" t="s">
        <v>81</v>
      </c>
    </row>
    <row r="274" spans="1:8">
      <c r="A274" s="41" t="s">
        <v>343</v>
      </c>
      <c r="B274" s="39" t="s">
        <v>234</v>
      </c>
      <c r="C274" s="39" t="s">
        <v>239</v>
      </c>
      <c r="D274" s="41" t="str">
        <f t="shared" si="12"/>
        <v>LBL110W78LL</v>
      </c>
      <c r="E274" s="41" t="str">
        <f t="shared" si="13"/>
        <v>LBL110W78Mujeres 20-64</v>
      </c>
      <c r="F274" s="41" t="str">
        <f t="shared" si="14"/>
        <v>LBL110W78LLMujeres 20-64</v>
      </c>
      <c r="G274" s="41" t="s">
        <v>415</v>
      </c>
      <c r="H274" s="41" t="s">
        <v>81</v>
      </c>
    </row>
    <row r="275" spans="1:8">
      <c r="A275" s="41" t="s">
        <v>345</v>
      </c>
      <c r="B275" s="39" t="s">
        <v>234</v>
      </c>
      <c r="C275" s="39" t="s">
        <v>239</v>
      </c>
      <c r="D275" s="41" t="str">
        <f t="shared" si="12"/>
        <v>LBL111W78LL</v>
      </c>
      <c r="E275" s="41" t="str">
        <f t="shared" si="13"/>
        <v>LBL111W78Mujeres 20-64</v>
      </c>
      <c r="F275" s="41" t="str">
        <f t="shared" si="14"/>
        <v>LBL111W78LLMujeres 20-64</v>
      </c>
      <c r="G275" s="41" t="s">
        <v>416</v>
      </c>
      <c r="H275" s="41" t="s">
        <v>81</v>
      </c>
    </row>
    <row r="276" spans="1:8">
      <c r="A276" s="41" t="s">
        <v>347</v>
      </c>
      <c r="B276" s="39" t="s">
        <v>234</v>
      </c>
      <c r="C276" s="39" t="s">
        <v>239</v>
      </c>
      <c r="D276" s="41" t="str">
        <f t="shared" si="12"/>
        <v>LBL099W78LL</v>
      </c>
      <c r="E276" s="41" t="str">
        <f t="shared" si="13"/>
        <v>LBL099W78Mujeres 20-64</v>
      </c>
      <c r="F276" s="41" t="str">
        <f t="shared" si="14"/>
        <v>LBL099W78LLMujeres 20-64</v>
      </c>
      <c r="G276" s="41" t="s">
        <v>417</v>
      </c>
      <c r="H276" s="41" t="s">
        <v>81</v>
      </c>
    </row>
    <row r="277" spans="1:8">
      <c r="A277" s="41" t="s">
        <v>349</v>
      </c>
      <c r="B277" s="39" t="s">
        <v>234</v>
      </c>
      <c r="C277" s="39" t="s">
        <v>239</v>
      </c>
      <c r="D277" s="41" t="str">
        <f t="shared" si="12"/>
        <v>LBL128W78LL</v>
      </c>
      <c r="E277" s="41" t="str">
        <f t="shared" si="13"/>
        <v>LBL128W78Mujeres 20-64</v>
      </c>
      <c r="F277" s="41" t="str">
        <f t="shared" si="14"/>
        <v>LBL128W78LLMujeres 20-64</v>
      </c>
      <c r="G277" s="41" t="s">
        <v>418</v>
      </c>
      <c r="H277" s="41" t="s">
        <v>81</v>
      </c>
    </row>
    <row r="278" spans="1:8">
      <c r="A278" s="41" t="s">
        <v>351</v>
      </c>
      <c r="B278" s="39" t="s">
        <v>234</v>
      </c>
      <c r="C278" s="39" t="s">
        <v>239</v>
      </c>
      <c r="D278" s="41" t="str">
        <f t="shared" si="12"/>
        <v>LBL065W78LL</v>
      </c>
      <c r="E278" s="41" t="str">
        <f t="shared" si="13"/>
        <v>LBL065W78Mujeres 20-64</v>
      </c>
      <c r="F278" s="41" t="str">
        <f t="shared" si="14"/>
        <v>LBL065W78LLMujeres 20-64</v>
      </c>
      <c r="G278" s="41" t="s">
        <v>677</v>
      </c>
      <c r="H278" s="41" t="s">
        <v>81</v>
      </c>
    </row>
    <row r="279" spans="1:8">
      <c r="A279" s="41" t="s">
        <v>353</v>
      </c>
      <c r="B279" s="39" t="s">
        <v>234</v>
      </c>
      <c r="C279" s="39" t="s">
        <v>239</v>
      </c>
      <c r="D279" s="41" t="str">
        <f t="shared" si="12"/>
        <v>LBL119W78LL</v>
      </c>
      <c r="E279" s="41" t="str">
        <f t="shared" si="13"/>
        <v>LBL119W78Mujeres 20-64</v>
      </c>
      <c r="F279" s="41" t="str">
        <f t="shared" si="14"/>
        <v>LBL119W78LLMujeres 20-64</v>
      </c>
      <c r="G279" s="41" t="s">
        <v>420</v>
      </c>
      <c r="H279" s="41" t="s">
        <v>81</v>
      </c>
    </row>
    <row r="280" spans="1:8">
      <c r="A280" s="41" t="s">
        <v>355</v>
      </c>
      <c r="B280" s="39" t="s">
        <v>234</v>
      </c>
      <c r="C280" s="39" t="s">
        <v>239</v>
      </c>
      <c r="D280" s="41" t="str">
        <f t="shared" si="12"/>
        <v>LBL121W78LL</v>
      </c>
      <c r="E280" s="41" t="str">
        <f t="shared" si="13"/>
        <v>LBL121W78Mujeres 20-64</v>
      </c>
      <c r="F280" s="41" t="str">
        <f t="shared" si="14"/>
        <v>LBL121W78LLMujeres 20-64</v>
      </c>
      <c r="G280" s="41" t="s">
        <v>678</v>
      </c>
      <c r="H280" s="41" t="s">
        <v>81</v>
      </c>
    </row>
    <row r="281" spans="1:8">
      <c r="A281" s="41" t="s">
        <v>357</v>
      </c>
      <c r="B281" s="39" t="s">
        <v>234</v>
      </c>
      <c r="C281" s="39" t="s">
        <v>239</v>
      </c>
      <c r="D281" s="41" t="str">
        <f t="shared" si="12"/>
        <v>LBL122W78LL</v>
      </c>
      <c r="E281" s="41" t="str">
        <f t="shared" si="13"/>
        <v>LBL122W78Mujeres 20-64</v>
      </c>
      <c r="F281" s="41" t="str">
        <f t="shared" si="14"/>
        <v>LBL122W78LLMujeres 20-64</v>
      </c>
      <c r="G281" s="41" t="s">
        <v>422</v>
      </c>
      <c r="H281" s="41" t="s">
        <v>81</v>
      </c>
    </row>
    <row r="282" spans="1:8">
      <c r="A282" s="41" t="s">
        <v>266</v>
      </c>
      <c r="B282" s="39" t="s">
        <v>234</v>
      </c>
      <c r="C282" s="39" t="s">
        <v>226</v>
      </c>
      <c r="D282" s="41" t="str">
        <f t="shared" si="12"/>
        <v>IGR031W78HC</v>
      </c>
      <c r="E282" s="41" t="str">
        <f t="shared" si="13"/>
        <v>IGR031W78Mujeres 20-64</v>
      </c>
      <c r="F282" s="41" t="str">
        <f t="shared" si="14"/>
        <v>IGR031W78HCMujeres 20-64</v>
      </c>
      <c r="G282" s="41" t="s">
        <v>679</v>
      </c>
      <c r="H282" s="41" t="s">
        <v>82</v>
      </c>
    </row>
    <row r="283" spans="1:8">
      <c r="A283" s="41" t="s">
        <v>266</v>
      </c>
      <c r="B283" s="39" t="s">
        <v>234</v>
      </c>
      <c r="C283" s="39" t="s">
        <v>238</v>
      </c>
      <c r="D283" s="41" t="str">
        <f t="shared" si="12"/>
        <v>IGR031W78HCPB</v>
      </c>
      <c r="E283" s="41" t="str">
        <f t="shared" si="13"/>
        <v>IGR031W78Mujeres 20-64</v>
      </c>
      <c r="F283" s="41" t="str">
        <f t="shared" si="14"/>
        <v>IGR031W78HCPBMujeres 20-64</v>
      </c>
      <c r="G283" s="41" t="s">
        <v>679</v>
      </c>
      <c r="H283" s="41" t="s">
        <v>82</v>
      </c>
    </row>
    <row r="284" spans="1:8">
      <c r="A284" s="41" t="s">
        <v>266</v>
      </c>
      <c r="B284" s="39" t="s">
        <v>234</v>
      </c>
      <c r="C284" s="39" t="s">
        <v>237</v>
      </c>
      <c r="D284" s="41" t="str">
        <f t="shared" si="12"/>
        <v>IGR031W78LSI</v>
      </c>
      <c r="E284" s="41" t="str">
        <f t="shared" si="13"/>
        <v>IGR031W78Mujeres 20-64</v>
      </c>
      <c r="F284" s="41" t="str">
        <f t="shared" si="14"/>
        <v>IGR031W78LSIMujeres 20-64</v>
      </c>
      <c r="G284" s="41" t="s">
        <v>679</v>
      </c>
      <c r="H284" s="41" t="s">
        <v>82</v>
      </c>
    </row>
    <row r="285" spans="1:8">
      <c r="A285" s="41" t="s">
        <v>34</v>
      </c>
      <c r="B285" s="39" t="s">
        <v>234</v>
      </c>
      <c r="C285" s="39" t="s">
        <v>226</v>
      </c>
      <c r="D285" s="41" t="str">
        <f t="shared" si="12"/>
        <v>CTC005W78HC</v>
      </c>
      <c r="E285" s="41" t="str">
        <f t="shared" si="13"/>
        <v>CTC005W78Mujeres 20-64</v>
      </c>
      <c r="F285" s="41" t="str">
        <f t="shared" si="14"/>
        <v>CTC005W78HCMujeres 20-64</v>
      </c>
      <c r="G285" s="41" t="s">
        <v>680</v>
      </c>
      <c r="H285" s="41" t="s">
        <v>31</v>
      </c>
    </row>
    <row r="286" spans="1:8">
      <c r="A286" s="41" t="s">
        <v>32</v>
      </c>
      <c r="B286" s="39" t="s">
        <v>234</v>
      </c>
      <c r="C286" s="39" t="s">
        <v>226</v>
      </c>
      <c r="D286" s="41" t="str">
        <f t="shared" si="12"/>
        <v>CTC006W78HC</v>
      </c>
      <c r="E286" s="41" t="str">
        <f t="shared" si="13"/>
        <v>CTC006W78Mujeres 20-64</v>
      </c>
      <c r="F286" s="41" t="str">
        <f t="shared" si="14"/>
        <v>CTC006W78HCMujeres 20-64</v>
      </c>
      <c r="G286" s="41" t="s">
        <v>167</v>
      </c>
      <c r="H286" s="41" t="s">
        <v>31</v>
      </c>
    </row>
    <row r="287" spans="1:8">
      <c r="A287" s="41" t="s">
        <v>34</v>
      </c>
      <c r="B287" s="39" t="s">
        <v>234</v>
      </c>
      <c r="C287" s="39" t="s">
        <v>238</v>
      </c>
      <c r="D287" s="41" t="str">
        <f t="shared" si="12"/>
        <v>CTC005W78HCPB</v>
      </c>
      <c r="E287" s="41" t="str">
        <f t="shared" si="13"/>
        <v>CTC005W78Mujeres 20-64</v>
      </c>
      <c r="F287" s="41" t="str">
        <f t="shared" si="14"/>
        <v>CTC005W78HCPBMujeres 20-64</v>
      </c>
      <c r="G287" s="41" t="s">
        <v>680</v>
      </c>
      <c r="H287" s="41" t="s">
        <v>31</v>
      </c>
    </row>
    <row r="288" spans="1:8">
      <c r="A288" s="41" t="s">
        <v>32</v>
      </c>
      <c r="B288" s="39" t="s">
        <v>234</v>
      </c>
      <c r="C288" s="39" t="s">
        <v>238</v>
      </c>
      <c r="D288" s="41" t="str">
        <f t="shared" si="12"/>
        <v>CTC006W78HCPB</v>
      </c>
      <c r="E288" s="41" t="str">
        <f t="shared" si="13"/>
        <v>CTC006W78Mujeres 20-64</v>
      </c>
      <c r="F288" s="41" t="str">
        <f t="shared" si="14"/>
        <v>CTC006W78HCPBMujeres 20-64</v>
      </c>
      <c r="G288" s="41" t="s">
        <v>167</v>
      </c>
      <c r="H288" s="41" t="s">
        <v>31</v>
      </c>
    </row>
    <row r="289" spans="1:8">
      <c r="A289" s="41" t="s">
        <v>34</v>
      </c>
      <c r="B289" s="39" t="s">
        <v>234</v>
      </c>
      <c r="C289" s="39" t="s">
        <v>241</v>
      </c>
      <c r="D289" s="41" t="str">
        <f t="shared" si="12"/>
        <v>CTC005W78SIP</v>
      </c>
      <c r="E289" s="41" t="str">
        <f t="shared" si="13"/>
        <v>CTC005W78Mujeres 20-64</v>
      </c>
      <c r="F289" s="41" t="str">
        <f t="shared" si="14"/>
        <v>CTC005W78SIPMujeres 20-64</v>
      </c>
      <c r="G289" s="41" t="s">
        <v>680</v>
      </c>
      <c r="H289" s="41" t="s">
        <v>31</v>
      </c>
    </row>
    <row r="290" spans="1:8">
      <c r="A290" s="41" t="s">
        <v>32</v>
      </c>
      <c r="B290" s="39" t="s">
        <v>234</v>
      </c>
      <c r="C290" s="39" t="s">
        <v>241</v>
      </c>
      <c r="D290" s="41" t="str">
        <f t="shared" si="12"/>
        <v>CTC006W78SIP</v>
      </c>
      <c r="E290" s="41" t="str">
        <f t="shared" si="13"/>
        <v>CTC006W78Mujeres 20-64</v>
      </c>
      <c r="F290" s="41" t="str">
        <f t="shared" si="14"/>
        <v>CTC006W78SIPMujeres 20-64</v>
      </c>
      <c r="G290" s="41" t="s">
        <v>167</v>
      </c>
      <c r="H290" s="41" t="s">
        <v>31</v>
      </c>
    </row>
    <row r="291" spans="1:8">
      <c r="A291" s="41" t="s">
        <v>34</v>
      </c>
      <c r="B291" s="39" t="s">
        <v>234</v>
      </c>
      <c r="C291" s="39" t="s">
        <v>228</v>
      </c>
      <c r="D291" s="41" t="str">
        <f t="shared" si="12"/>
        <v>CTC005W78FM</v>
      </c>
      <c r="E291" s="41" t="str">
        <f t="shared" si="13"/>
        <v>CTC005W78Mujeres 20-64</v>
      </c>
      <c r="F291" s="41" t="str">
        <f t="shared" si="14"/>
        <v>CTC005W78FMMujeres 20-64</v>
      </c>
      <c r="G291" s="41" t="s">
        <v>680</v>
      </c>
      <c r="H291" s="41" t="s">
        <v>31</v>
      </c>
    </row>
    <row r="292" spans="1:8">
      <c r="A292" s="41" t="s">
        <v>32</v>
      </c>
      <c r="B292" s="39" t="s">
        <v>234</v>
      </c>
      <c r="C292" s="39" t="s">
        <v>228</v>
      </c>
      <c r="D292" s="41" t="str">
        <f t="shared" si="12"/>
        <v>CTC006W78FM</v>
      </c>
      <c r="E292" s="41" t="str">
        <f t="shared" si="13"/>
        <v>CTC006W78Mujeres 20-64</v>
      </c>
      <c r="F292" s="41" t="str">
        <f t="shared" si="14"/>
        <v>CTC006W78FMMujeres 20-64</v>
      </c>
      <c r="G292" s="41" t="s">
        <v>167</v>
      </c>
      <c r="H292" s="41" t="s">
        <v>31</v>
      </c>
    </row>
    <row r="293" spans="1:8">
      <c r="A293" s="41" t="s">
        <v>50</v>
      </c>
      <c r="B293" s="39" t="s">
        <v>227</v>
      </c>
      <c r="C293" s="39" t="s">
        <v>226</v>
      </c>
      <c r="D293" s="41" t="str">
        <f t="shared" si="12"/>
        <v>CTC001H86HC</v>
      </c>
      <c r="E293" s="41" t="str">
        <f t="shared" si="13"/>
        <v>CTC001H86Niños 0-5</v>
      </c>
      <c r="F293" s="41" t="str">
        <f t="shared" si="14"/>
        <v>CTC001H86HCNiños 0-5</v>
      </c>
      <c r="G293" s="41" t="s">
        <v>681</v>
      </c>
      <c r="H293" s="41" t="s">
        <v>51</v>
      </c>
    </row>
    <row r="294" spans="1:8">
      <c r="A294" s="41" t="s">
        <v>148</v>
      </c>
      <c r="B294" s="39" t="s">
        <v>227</v>
      </c>
      <c r="C294" s="39" t="s">
        <v>226</v>
      </c>
      <c r="D294" s="41" t="str">
        <f t="shared" si="12"/>
        <v>PRP017A46HC</v>
      </c>
      <c r="E294" s="41" t="str">
        <f t="shared" si="13"/>
        <v>PRP017A46Niños 0-5</v>
      </c>
      <c r="F294" s="41" t="str">
        <f t="shared" si="14"/>
        <v>PRP017A46HCNiños 0-5</v>
      </c>
      <c r="G294" s="41" t="s">
        <v>682</v>
      </c>
      <c r="H294" s="41" t="s">
        <v>49</v>
      </c>
    </row>
    <row r="295" spans="1:8">
      <c r="A295" s="41" t="s">
        <v>149</v>
      </c>
      <c r="B295" s="39" t="s">
        <v>227</v>
      </c>
      <c r="C295" s="39" t="s">
        <v>226</v>
      </c>
      <c r="D295" s="41" t="str">
        <f t="shared" si="12"/>
        <v>PRP017A97HC</v>
      </c>
      <c r="E295" s="41" t="str">
        <f t="shared" si="13"/>
        <v>PRP017A97Niños 0-5</v>
      </c>
      <c r="F295" s="41" t="str">
        <f t="shared" si="14"/>
        <v>PRP017A97HCNiños 0-5</v>
      </c>
      <c r="G295" s="41" t="s">
        <v>682</v>
      </c>
      <c r="H295" s="41" t="s">
        <v>49</v>
      </c>
    </row>
    <row r="296" spans="1:8">
      <c r="A296" s="41" t="s">
        <v>150</v>
      </c>
      <c r="B296" s="39" t="s">
        <v>227</v>
      </c>
      <c r="C296" s="39" t="s">
        <v>226</v>
      </c>
      <c r="D296" s="41" t="str">
        <f t="shared" si="12"/>
        <v>PRP021A97HC</v>
      </c>
      <c r="E296" s="41" t="str">
        <f t="shared" si="13"/>
        <v>PRP021A97Niños 0-5</v>
      </c>
      <c r="F296" s="41" t="str">
        <f t="shared" si="14"/>
        <v>PRP021A97HCNiños 0-5</v>
      </c>
      <c r="G296" s="41" t="s">
        <v>387</v>
      </c>
      <c r="H296" s="41" t="s">
        <v>51</v>
      </c>
    </row>
    <row r="297" spans="1:8">
      <c r="A297" s="41" t="s">
        <v>53</v>
      </c>
      <c r="B297" s="39" t="s">
        <v>227</v>
      </c>
      <c r="C297" s="39" t="s">
        <v>226</v>
      </c>
      <c r="D297" s="41" t="str">
        <f t="shared" si="12"/>
        <v>PRP021H86HC</v>
      </c>
      <c r="E297" s="41" t="str">
        <f t="shared" si="13"/>
        <v>PRP021H86Niños 0-5</v>
      </c>
      <c r="F297" s="41" t="str">
        <f t="shared" si="14"/>
        <v>PRP021H86HCNiños 0-5</v>
      </c>
      <c r="G297" s="41" t="s">
        <v>683</v>
      </c>
      <c r="H297" s="41" t="s">
        <v>51</v>
      </c>
    </row>
    <row r="298" spans="1:8">
      <c r="A298" s="41" t="s">
        <v>52</v>
      </c>
      <c r="B298" s="39" t="s">
        <v>227</v>
      </c>
      <c r="C298" s="39" t="s">
        <v>226</v>
      </c>
      <c r="D298" s="41" t="str">
        <f t="shared" si="12"/>
        <v>PRP022H86HC</v>
      </c>
      <c r="E298" s="41" t="str">
        <f t="shared" si="13"/>
        <v>PRP022H86Niños 0-5</v>
      </c>
      <c r="F298" s="41" t="str">
        <f t="shared" si="14"/>
        <v>PRP022H86HCNiños 0-5</v>
      </c>
      <c r="G298" s="41" t="s">
        <v>684</v>
      </c>
      <c r="H298" s="41" t="s">
        <v>51</v>
      </c>
    </row>
    <row r="299" spans="1:8">
      <c r="A299" s="41" t="s">
        <v>137</v>
      </c>
      <c r="B299" s="39" t="s">
        <v>227</v>
      </c>
      <c r="C299" s="39" t="s">
        <v>226</v>
      </c>
      <c r="D299" s="41" t="str">
        <f t="shared" si="12"/>
        <v>CTC001R78HC</v>
      </c>
      <c r="E299" s="41" t="str">
        <f t="shared" si="13"/>
        <v>CTC001R78Niños 0-5</v>
      </c>
      <c r="F299" s="41" t="str">
        <f t="shared" si="14"/>
        <v>CTC001R78HCNiños 0-5</v>
      </c>
      <c r="G299" s="41" t="s">
        <v>254</v>
      </c>
      <c r="H299" s="41" t="s">
        <v>54</v>
      </c>
    </row>
    <row r="300" spans="1:8">
      <c r="A300" s="41" t="s">
        <v>143</v>
      </c>
      <c r="B300" s="39" t="s">
        <v>227</v>
      </c>
      <c r="C300" s="39" t="s">
        <v>226</v>
      </c>
      <c r="D300" s="41" t="str">
        <f t="shared" si="12"/>
        <v>CTC002R78HC</v>
      </c>
      <c r="E300" s="41" t="str">
        <f t="shared" si="13"/>
        <v>CTC002R78Niños 0-5</v>
      </c>
      <c r="F300" s="41" t="str">
        <f t="shared" si="14"/>
        <v>CTC002R78HCNiños 0-5</v>
      </c>
      <c r="G300" s="41" t="s">
        <v>255</v>
      </c>
      <c r="H300" s="41" t="s">
        <v>54</v>
      </c>
    </row>
    <row r="301" spans="1:8">
      <c r="A301" s="41" t="s">
        <v>55</v>
      </c>
      <c r="B301" s="39" t="s">
        <v>227</v>
      </c>
      <c r="C301" s="39" t="s">
        <v>226</v>
      </c>
      <c r="D301" s="41" t="str">
        <f t="shared" si="12"/>
        <v>ITE001R78HC</v>
      </c>
      <c r="E301" s="41" t="str">
        <f t="shared" si="13"/>
        <v>ITE001R78Niños 0-5</v>
      </c>
      <c r="F301" s="41" t="str">
        <f t="shared" si="14"/>
        <v>ITE001R78HCNiños 0-5</v>
      </c>
      <c r="G301" s="41" t="s">
        <v>56</v>
      </c>
      <c r="H301" s="41" t="s">
        <v>54</v>
      </c>
    </row>
    <row r="302" spans="1:8">
      <c r="A302" s="41" t="s">
        <v>17</v>
      </c>
      <c r="B302" s="39" t="s">
        <v>227</v>
      </c>
      <c r="C302" s="39" t="s">
        <v>226</v>
      </c>
      <c r="D302" s="41" t="str">
        <f t="shared" si="12"/>
        <v>CTC001A97HC</v>
      </c>
      <c r="E302" s="41" t="str">
        <f t="shared" si="13"/>
        <v>CTC001A97Niños 0-5</v>
      </c>
      <c r="F302" s="41" t="str">
        <f t="shared" si="14"/>
        <v>CTC001A97HCNiños 0-5</v>
      </c>
      <c r="G302" s="41" t="s">
        <v>685</v>
      </c>
      <c r="H302" s="41" t="s">
        <v>192</v>
      </c>
    </row>
    <row r="303" spans="1:8">
      <c r="A303" s="41" t="s">
        <v>78</v>
      </c>
      <c r="B303" s="39" t="s">
        <v>227</v>
      </c>
      <c r="C303" s="39" t="s">
        <v>226</v>
      </c>
      <c r="D303" s="41" t="str">
        <f t="shared" si="12"/>
        <v>CTC011A97HC</v>
      </c>
      <c r="E303" s="41" t="str">
        <f t="shared" si="13"/>
        <v>CTC011A97Niños 0-5</v>
      </c>
      <c r="F303" s="41" t="str">
        <f t="shared" si="14"/>
        <v>CTC011A97HCNiños 0-5</v>
      </c>
      <c r="G303" s="41" t="s">
        <v>686</v>
      </c>
      <c r="H303" s="41" t="s">
        <v>192</v>
      </c>
    </row>
    <row r="304" spans="1:8">
      <c r="A304" s="41" t="s">
        <v>50</v>
      </c>
      <c r="B304" s="39" t="s">
        <v>227</v>
      </c>
      <c r="C304" s="39" t="s">
        <v>228</v>
      </c>
      <c r="D304" s="41" t="str">
        <f t="shared" si="12"/>
        <v>CTC001H86FM</v>
      </c>
      <c r="E304" s="41" t="str">
        <f t="shared" si="13"/>
        <v>CTC001H86Niños 0-5</v>
      </c>
      <c r="F304" s="41" t="str">
        <f t="shared" si="14"/>
        <v>CTC001H86FMNiños 0-5</v>
      </c>
      <c r="G304" s="41" t="s">
        <v>681</v>
      </c>
      <c r="H304" s="41" t="s">
        <v>51</v>
      </c>
    </row>
    <row r="305" spans="1:8">
      <c r="A305" s="41" t="s">
        <v>148</v>
      </c>
      <c r="B305" s="39" t="s">
        <v>227</v>
      </c>
      <c r="C305" s="39" t="s">
        <v>228</v>
      </c>
      <c r="D305" s="41" t="str">
        <f t="shared" si="12"/>
        <v>PRP017A46FM</v>
      </c>
      <c r="E305" s="41" t="str">
        <f t="shared" si="13"/>
        <v>PRP017A46Niños 0-5</v>
      </c>
      <c r="F305" s="41" t="str">
        <f t="shared" si="14"/>
        <v>PRP017A46FMNiños 0-5</v>
      </c>
      <c r="G305" s="41" t="s">
        <v>682</v>
      </c>
      <c r="H305" s="41" t="s">
        <v>49</v>
      </c>
    </row>
    <row r="306" spans="1:8">
      <c r="A306" s="41" t="s">
        <v>149</v>
      </c>
      <c r="B306" s="39" t="s">
        <v>227</v>
      </c>
      <c r="C306" s="39" t="s">
        <v>228</v>
      </c>
      <c r="D306" s="41" t="str">
        <f t="shared" si="12"/>
        <v>PRP017A97FM</v>
      </c>
      <c r="E306" s="41" t="str">
        <f t="shared" si="13"/>
        <v>PRP017A97Niños 0-5</v>
      </c>
      <c r="F306" s="41" t="str">
        <f t="shared" si="14"/>
        <v>PRP017A97FMNiños 0-5</v>
      </c>
      <c r="G306" s="41" t="s">
        <v>682</v>
      </c>
      <c r="H306" s="41" t="s">
        <v>49</v>
      </c>
    </row>
    <row r="307" spans="1:8">
      <c r="A307" s="41" t="s">
        <v>150</v>
      </c>
      <c r="B307" s="39" t="s">
        <v>227</v>
      </c>
      <c r="C307" s="39" t="s">
        <v>228</v>
      </c>
      <c r="D307" s="41" t="str">
        <f t="shared" si="12"/>
        <v>PRP021A97FM</v>
      </c>
      <c r="E307" s="41" t="str">
        <f t="shared" si="13"/>
        <v>PRP021A97Niños 0-5</v>
      </c>
      <c r="F307" s="41" t="str">
        <f t="shared" si="14"/>
        <v>PRP021A97FMNiños 0-5</v>
      </c>
      <c r="G307" s="41" t="s">
        <v>387</v>
      </c>
      <c r="H307" s="41" t="s">
        <v>51</v>
      </c>
    </row>
    <row r="308" spans="1:8">
      <c r="A308" s="41" t="s">
        <v>53</v>
      </c>
      <c r="B308" s="39" t="s">
        <v>227</v>
      </c>
      <c r="C308" s="39" t="s">
        <v>228</v>
      </c>
      <c r="D308" s="41" t="str">
        <f t="shared" si="12"/>
        <v>PRP021H86FM</v>
      </c>
      <c r="E308" s="41" t="str">
        <f t="shared" si="13"/>
        <v>PRP021H86Niños 0-5</v>
      </c>
      <c r="F308" s="41" t="str">
        <f t="shared" si="14"/>
        <v>PRP021H86FMNiños 0-5</v>
      </c>
      <c r="G308" s="41" t="s">
        <v>683</v>
      </c>
      <c r="H308" s="41" t="s">
        <v>51</v>
      </c>
    </row>
    <row r="309" spans="1:8">
      <c r="A309" s="41" t="s">
        <v>52</v>
      </c>
      <c r="B309" s="39" t="s">
        <v>227</v>
      </c>
      <c r="C309" s="39" t="s">
        <v>228</v>
      </c>
      <c r="D309" s="41" t="str">
        <f t="shared" si="12"/>
        <v>PRP022H86FM</v>
      </c>
      <c r="E309" s="41" t="str">
        <f t="shared" si="13"/>
        <v>PRP022H86Niños 0-5</v>
      </c>
      <c r="F309" s="41" t="str">
        <f t="shared" si="14"/>
        <v>PRP022H86FMNiños 0-5</v>
      </c>
      <c r="G309" s="41" t="s">
        <v>684</v>
      </c>
      <c r="H309" s="41" t="s">
        <v>51</v>
      </c>
    </row>
    <row r="310" spans="1:8">
      <c r="A310" s="41" t="s">
        <v>137</v>
      </c>
      <c r="B310" s="39" t="s">
        <v>227</v>
      </c>
      <c r="C310" s="39" t="s">
        <v>228</v>
      </c>
      <c r="D310" s="41" t="str">
        <f t="shared" si="12"/>
        <v>CTC001R78FM</v>
      </c>
      <c r="E310" s="41" t="str">
        <f t="shared" si="13"/>
        <v>CTC001R78Niños 0-5</v>
      </c>
      <c r="F310" s="41" t="str">
        <f t="shared" si="14"/>
        <v>CTC001R78FMNiños 0-5</v>
      </c>
      <c r="G310" s="41" t="s">
        <v>254</v>
      </c>
      <c r="H310" s="41" t="s">
        <v>54</v>
      </c>
    </row>
    <row r="311" spans="1:8">
      <c r="A311" s="41" t="s">
        <v>143</v>
      </c>
      <c r="B311" s="39" t="s">
        <v>227</v>
      </c>
      <c r="C311" s="39" t="s">
        <v>228</v>
      </c>
      <c r="D311" s="41" t="str">
        <f t="shared" si="12"/>
        <v>CTC002R78FM</v>
      </c>
      <c r="E311" s="41" t="str">
        <f t="shared" si="13"/>
        <v>CTC002R78Niños 0-5</v>
      </c>
      <c r="F311" s="41" t="str">
        <f t="shared" si="14"/>
        <v>CTC002R78FMNiños 0-5</v>
      </c>
      <c r="G311" s="41" t="s">
        <v>255</v>
      </c>
      <c r="H311" s="41" t="s">
        <v>54</v>
      </c>
    </row>
    <row r="312" spans="1:8">
      <c r="A312" s="41" t="s">
        <v>55</v>
      </c>
      <c r="B312" s="39" t="s">
        <v>227</v>
      </c>
      <c r="C312" s="39" t="s">
        <v>228</v>
      </c>
      <c r="D312" s="41" t="str">
        <f t="shared" si="12"/>
        <v>ITE001R78FM</v>
      </c>
      <c r="E312" s="41" t="str">
        <f t="shared" si="13"/>
        <v>ITE001R78Niños 0-5</v>
      </c>
      <c r="F312" s="41" t="str">
        <f t="shared" si="14"/>
        <v>ITE001R78FMNiños 0-5</v>
      </c>
      <c r="G312" s="41" t="s">
        <v>56</v>
      </c>
      <c r="H312" s="41" t="s">
        <v>54</v>
      </c>
    </row>
    <row r="313" spans="1:8">
      <c r="A313" s="41" t="s">
        <v>17</v>
      </c>
      <c r="B313" s="39" t="s">
        <v>227</v>
      </c>
      <c r="C313" s="39" t="s">
        <v>228</v>
      </c>
      <c r="D313" s="41" t="str">
        <f t="shared" si="12"/>
        <v>CTC001A97FM</v>
      </c>
      <c r="E313" s="41" t="str">
        <f t="shared" si="13"/>
        <v>CTC001A97Niños 0-5</v>
      </c>
      <c r="F313" s="41" t="str">
        <f t="shared" si="14"/>
        <v>CTC001A97FMNiños 0-5</v>
      </c>
      <c r="G313" s="41" t="s">
        <v>685</v>
      </c>
      <c r="H313" s="41" t="s">
        <v>192</v>
      </c>
    </row>
    <row r="314" spans="1:8">
      <c r="A314" s="41" t="s">
        <v>78</v>
      </c>
      <c r="B314" s="39" t="s">
        <v>227</v>
      </c>
      <c r="C314" s="39" t="s">
        <v>228</v>
      </c>
      <c r="D314" s="41" t="str">
        <f t="shared" si="12"/>
        <v>CTC011A97FM</v>
      </c>
      <c r="E314" s="41" t="str">
        <f t="shared" si="13"/>
        <v>CTC011A97Niños 0-5</v>
      </c>
      <c r="F314" s="41" t="str">
        <f t="shared" si="14"/>
        <v>CTC011A97FMNiños 0-5</v>
      </c>
      <c r="G314" s="41" t="s">
        <v>686</v>
      </c>
      <c r="H314" s="41" t="s">
        <v>192</v>
      </c>
    </row>
    <row r="315" spans="1:8">
      <c r="A315" s="41" t="s">
        <v>341</v>
      </c>
      <c r="B315" s="39" t="s">
        <v>227</v>
      </c>
      <c r="C315" s="39" t="s">
        <v>226</v>
      </c>
      <c r="D315" s="41" t="str">
        <f t="shared" si="12"/>
        <v>IGR005A98HC</v>
      </c>
      <c r="E315" s="41" t="str">
        <f t="shared" si="13"/>
        <v>IGR005A98Niños 0-5</v>
      </c>
      <c r="F315" s="41" t="str">
        <f t="shared" si="14"/>
        <v>IGR005A98HCNiños 0-5</v>
      </c>
      <c r="G315" s="41" t="s">
        <v>411</v>
      </c>
      <c r="H315" s="41" t="s">
        <v>82</v>
      </c>
    </row>
    <row r="316" spans="1:8">
      <c r="A316" s="41" t="s">
        <v>342</v>
      </c>
      <c r="B316" s="39" t="s">
        <v>227</v>
      </c>
      <c r="C316" s="39" t="s">
        <v>226</v>
      </c>
      <c r="D316" s="41" t="str">
        <f t="shared" si="12"/>
        <v>IGR005L30HC</v>
      </c>
      <c r="E316" s="41" t="str">
        <f t="shared" si="13"/>
        <v>IGR005L30Niños 0-5</v>
      </c>
      <c r="F316" s="41" t="str">
        <f t="shared" si="14"/>
        <v>IGR005L30HCNiños 0-5</v>
      </c>
      <c r="G316" s="41" t="s">
        <v>411</v>
      </c>
      <c r="H316" s="41" t="s">
        <v>82</v>
      </c>
    </row>
    <row r="317" spans="1:8">
      <c r="A317" s="41" t="s">
        <v>344</v>
      </c>
      <c r="B317" s="39" t="s">
        <v>227</v>
      </c>
      <c r="C317" s="39" t="s">
        <v>226</v>
      </c>
      <c r="D317" s="41" t="str">
        <f t="shared" si="12"/>
        <v>IGR025A98HC</v>
      </c>
      <c r="E317" s="41" t="str">
        <f t="shared" si="13"/>
        <v>IGR025A98Niños 0-5</v>
      </c>
      <c r="F317" s="41" t="str">
        <f t="shared" si="14"/>
        <v>IGR025A98HCNiños 0-5</v>
      </c>
      <c r="G317" s="41" t="s">
        <v>687</v>
      </c>
      <c r="H317" s="41" t="s">
        <v>82</v>
      </c>
    </row>
    <row r="318" spans="1:8">
      <c r="A318" s="41" t="s">
        <v>346</v>
      </c>
      <c r="B318" s="39" t="s">
        <v>227</v>
      </c>
      <c r="C318" s="39" t="s">
        <v>226</v>
      </c>
      <c r="D318" s="41" t="str">
        <f t="shared" si="12"/>
        <v>IGR025L30HC</v>
      </c>
      <c r="E318" s="41" t="str">
        <f t="shared" si="13"/>
        <v>IGR025L30Niños 0-5</v>
      </c>
      <c r="F318" s="41" t="str">
        <f t="shared" si="14"/>
        <v>IGR025L30HCNiños 0-5</v>
      </c>
      <c r="G318" s="41" t="s">
        <v>687</v>
      </c>
      <c r="H318" s="41" t="s">
        <v>82</v>
      </c>
    </row>
    <row r="319" spans="1:8">
      <c r="A319" s="41" t="s">
        <v>341</v>
      </c>
      <c r="B319" s="39" t="s">
        <v>227</v>
      </c>
      <c r="C319" s="39" t="s">
        <v>228</v>
      </c>
      <c r="D319" s="41" t="str">
        <f t="shared" si="12"/>
        <v>IGR005A98FM</v>
      </c>
      <c r="E319" s="41" t="str">
        <f t="shared" si="13"/>
        <v>IGR005A98Niños 0-5</v>
      </c>
      <c r="F319" s="41" t="str">
        <f t="shared" si="14"/>
        <v>IGR005A98FMNiños 0-5</v>
      </c>
      <c r="G319" s="41" t="s">
        <v>411</v>
      </c>
      <c r="H319" s="41" t="s">
        <v>82</v>
      </c>
    </row>
    <row r="320" spans="1:8">
      <c r="A320" s="41" t="s">
        <v>342</v>
      </c>
      <c r="B320" s="39" t="s">
        <v>227</v>
      </c>
      <c r="C320" s="39" t="s">
        <v>228</v>
      </c>
      <c r="D320" s="41" t="str">
        <f t="shared" si="12"/>
        <v>IGR005L30FM</v>
      </c>
      <c r="E320" s="41" t="str">
        <f t="shared" si="13"/>
        <v>IGR005L30Niños 0-5</v>
      </c>
      <c r="F320" s="41" t="str">
        <f t="shared" si="14"/>
        <v>IGR005L30FMNiños 0-5</v>
      </c>
      <c r="G320" s="41" t="s">
        <v>411</v>
      </c>
      <c r="H320" s="41" t="s">
        <v>82</v>
      </c>
    </row>
    <row r="321" spans="1:8">
      <c r="A321" s="41" t="s">
        <v>344</v>
      </c>
      <c r="B321" s="39" t="s">
        <v>227</v>
      </c>
      <c r="C321" s="39" t="s">
        <v>228</v>
      </c>
      <c r="D321" s="41" t="str">
        <f t="shared" si="12"/>
        <v>IGR025A98FM</v>
      </c>
      <c r="E321" s="41" t="str">
        <f t="shared" si="13"/>
        <v>IGR025A98Niños 0-5</v>
      </c>
      <c r="F321" s="41" t="str">
        <f t="shared" si="14"/>
        <v>IGR025A98FMNiños 0-5</v>
      </c>
      <c r="G321" s="41" t="s">
        <v>687</v>
      </c>
      <c r="H321" s="41" t="s">
        <v>82</v>
      </c>
    </row>
    <row r="322" spans="1:8">
      <c r="A322" s="41" t="s">
        <v>346</v>
      </c>
      <c r="B322" s="39" t="s">
        <v>227</v>
      </c>
      <c r="C322" s="39" t="s">
        <v>228</v>
      </c>
      <c r="D322" s="41" t="str">
        <f t="shared" ref="D322:D385" si="15">+CONCATENATE(A322,C322)</f>
        <v>IGR025L30FM</v>
      </c>
      <c r="E322" s="41" t="str">
        <f t="shared" ref="E322:E385" si="16">+CONCATENATE(A322,B322)</f>
        <v>IGR025L30Niños 0-5</v>
      </c>
      <c r="F322" s="41" t="str">
        <f t="shared" ref="F322:F385" si="17">CONCATENATE(A322,C322,B322)</f>
        <v>IGR025L30FMNiños 0-5</v>
      </c>
      <c r="G322" s="41" t="s">
        <v>687</v>
      </c>
      <c r="H322" s="41" t="s">
        <v>82</v>
      </c>
    </row>
    <row r="323" spans="1:8">
      <c r="A323" s="41" t="s">
        <v>341</v>
      </c>
      <c r="B323" s="39" t="s">
        <v>227</v>
      </c>
      <c r="C323" s="39" t="s">
        <v>237</v>
      </c>
      <c r="D323" s="41" t="str">
        <f t="shared" si="15"/>
        <v>IGR005A98LSI</v>
      </c>
      <c r="E323" s="41" t="str">
        <f t="shared" si="16"/>
        <v>IGR005A98Niños 0-5</v>
      </c>
      <c r="F323" s="41" t="str">
        <f t="shared" si="17"/>
        <v>IGR005A98LSINiños 0-5</v>
      </c>
      <c r="G323" s="41" t="s">
        <v>411</v>
      </c>
      <c r="H323" s="41" t="s">
        <v>82</v>
      </c>
    </row>
    <row r="324" spans="1:8">
      <c r="A324" s="41" t="s">
        <v>342</v>
      </c>
      <c r="B324" s="39" t="s">
        <v>227</v>
      </c>
      <c r="C324" s="39" t="s">
        <v>237</v>
      </c>
      <c r="D324" s="41" t="str">
        <f t="shared" si="15"/>
        <v>IGR005L30LSI</v>
      </c>
      <c r="E324" s="41" t="str">
        <f t="shared" si="16"/>
        <v>IGR005L30Niños 0-5</v>
      </c>
      <c r="F324" s="41" t="str">
        <f t="shared" si="17"/>
        <v>IGR005L30LSINiños 0-5</v>
      </c>
      <c r="G324" s="41" t="s">
        <v>411</v>
      </c>
      <c r="H324" s="41" t="s">
        <v>82</v>
      </c>
    </row>
    <row r="325" spans="1:8">
      <c r="A325" s="41" t="s">
        <v>344</v>
      </c>
      <c r="B325" s="39" t="s">
        <v>227</v>
      </c>
      <c r="C325" s="39" t="s">
        <v>237</v>
      </c>
      <c r="D325" s="41" t="str">
        <f t="shared" si="15"/>
        <v>IGR025A98LSI</v>
      </c>
      <c r="E325" s="41" t="str">
        <f t="shared" si="16"/>
        <v>IGR025A98Niños 0-5</v>
      </c>
      <c r="F325" s="41" t="str">
        <f t="shared" si="17"/>
        <v>IGR025A98LSINiños 0-5</v>
      </c>
      <c r="G325" s="41" t="s">
        <v>687</v>
      </c>
      <c r="H325" s="41" t="s">
        <v>82</v>
      </c>
    </row>
    <row r="326" spans="1:8">
      <c r="A326" s="41" t="s">
        <v>346</v>
      </c>
      <c r="B326" s="39" t="s">
        <v>227</v>
      </c>
      <c r="C326" s="39" t="s">
        <v>237</v>
      </c>
      <c r="D326" s="41" t="str">
        <f t="shared" si="15"/>
        <v>IGR025L30LSI</v>
      </c>
      <c r="E326" s="41" t="str">
        <f t="shared" si="16"/>
        <v>IGR025L30Niños 0-5</v>
      </c>
      <c r="F326" s="41" t="str">
        <f t="shared" si="17"/>
        <v>IGR025L30LSINiños 0-5</v>
      </c>
      <c r="G326" s="41" t="s">
        <v>687</v>
      </c>
      <c r="H326" s="41" t="s">
        <v>82</v>
      </c>
    </row>
    <row r="327" spans="1:8">
      <c r="A327" s="41" t="s">
        <v>73</v>
      </c>
      <c r="B327" s="39" t="s">
        <v>227</v>
      </c>
      <c r="C327" s="39" t="s">
        <v>226</v>
      </c>
      <c r="D327" s="41" t="str">
        <f t="shared" si="15"/>
        <v>CAW003A98HC</v>
      </c>
      <c r="E327" s="41" t="str">
        <f t="shared" si="16"/>
        <v>CAW003A98Niños 0-5</v>
      </c>
      <c r="F327" s="41" t="str">
        <f t="shared" si="17"/>
        <v>CAW003A98HCNiños 0-5</v>
      </c>
      <c r="G327" s="41" t="s">
        <v>74</v>
      </c>
      <c r="H327" s="41" t="s">
        <v>192</v>
      </c>
    </row>
    <row r="328" spans="1:8">
      <c r="A328" s="41" t="s">
        <v>73</v>
      </c>
      <c r="B328" s="39" t="s">
        <v>227</v>
      </c>
      <c r="C328" s="39" t="s">
        <v>228</v>
      </c>
      <c r="D328" s="41" t="str">
        <f t="shared" si="15"/>
        <v>CAW003A98FM</v>
      </c>
      <c r="E328" s="41" t="str">
        <f t="shared" si="16"/>
        <v>CAW003A98Niños 0-5</v>
      </c>
      <c r="F328" s="41" t="str">
        <f t="shared" si="17"/>
        <v>CAW003A98FMNiños 0-5</v>
      </c>
      <c r="G328" s="41" t="s">
        <v>74</v>
      </c>
      <c r="H328" s="41" t="s">
        <v>192</v>
      </c>
    </row>
    <row r="329" spans="1:8">
      <c r="A329" s="41" t="s">
        <v>73</v>
      </c>
      <c r="B329" s="39" t="s">
        <v>227</v>
      </c>
      <c r="C329" s="39" t="s">
        <v>425</v>
      </c>
      <c r="D329" s="41" t="str">
        <f t="shared" si="15"/>
        <v>CAW003A98PAS</v>
      </c>
      <c r="E329" s="41" t="str">
        <f t="shared" si="16"/>
        <v>CAW003A98Niños 0-5</v>
      </c>
      <c r="F329" s="41" t="str">
        <f t="shared" si="17"/>
        <v>CAW003A98PASNiños 0-5</v>
      </c>
      <c r="G329" s="41" t="s">
        <v>74</v>
      </c>
      <c r="H329" s="41" t="s">
        <v>192</v>
      </c>
    </row>
    <row r="330" spans="1:8">
      <c r="A330" s="41" t="s">
        <v>18</v>
      </c>
      <c r="B330" s="39" t="s">
        <v>227</v>
      </c>
      <c r="C330" s="39" t="s">
        <v>226</v>
      </c>
      <c r="D330" s="41" t="str">
        <f t="shared" si="15"/>
        <v>CTC010A97HC</v>
      </c>
      <c r="E330" s="41" t="str">
        <f t="shared" si="16"/>
        <v>CTC010A97Niños 0-5</v>
      </c>
      <c r="F330" s="41" t="str">
        <f t="shared" si="17"/>
        <v>CTC010A97HCNiños 0-5</v>
      </c>
      <c r="G330" s="41" t="s">
        <v>688</v>
      </c>
      <c r="H330" s="41" t="s">
        <v>192</v>
      </c>
    </row>
    <row r="331" spans="1:8">
      <c r="A331" s="41" t="s">
        <v>18</v>
      </c>
      <c r="B331" s="39" t="s">
        <v>227</v>
      </c>
      <c r="C331" s="39" t="s">
        <v>426</v>
      </c>
      <c r="D331" s="41" t="str">
        <f t="shared" si="15"/>
        <v>CTC010A97FOd</v>
      </c>
      <c r="E331" s="41" t="str">
        <f t="shared" si="16"/>
        <v>CTC010A97Niños 0-5</v>
      </c>
      <c r="F331" s="41" t="str">
        <f t="shared" si="17"/>
        <v>CTC010A97FOdNiños 0-5</v>
      </c>
      <c r="G331" s="41" t="s">
        <v>688</v>
      </c>
      <c r="H331" s="41" t="s">
        <v>192</v>
      </c>
    </row>
    <row r="332" spans="1:8">
      <c r="A332" s="41" t="s">
        <v>348</v>
      </c>
      <c r="B332" s="39" t="s">
        <v>227</v>
      </c>
      <c r="C332" s="39" t="s">
        <v>226</v>
      </c>
      <c r="D332" s="41" t="str">
        <f t="shared" si="15"/>
        <v>LBL001A98HC</v>
      </c>
      <c r="E332" s="41" t="str">
        <f t="shared" si="16"/>
        <v>LBL001A98Niños 0-5</v>
      </c>
      <c r="F332" s="41" t="str">
        <f t="shared" si="17"/>
        <v>LBL001A98HCNiños 0-5</v>
      </c>
      <c r="G332" s="41" t="s">
        <v>406</v>
      </c>
      <c r="H332" s="41" t="s">
        <v>81</v>
      </c>
    </row>
    <row r="333" spans="1:8">
      <c r="A333" s="41" t="s">
        <v>350</v>
      </c>
      <c r="B333" s="39" t="s">
        <v>227</v>
      </c>
      <c r="C333" s="39" t="s">
        <v>226</v>
      </c>
      <c r="D333" s="41" t="str">
        <f t="shared" si="15"/>
        <v>LBL013A98HC</v>
      </c>
      <c r="E333" s="41" t="str">
        <f t="shared" si="16"/>
        <v>LBL013A98Niños 0-5</v>
      </c>
      <c r="F333" s="41" t="str">
        <f t="shared" si="17"/>
        <v>LBL013A98HCNiños 0-5</v>
      </c>
      <c r="G333" s="41" t="s">
        <v>689</v>
      </c>
      <c r="H333" s="41" t="s">
        <v>81</v>
      </c>
    </row>
    <row r="334" spans="1:8">
      <c r="A334" s="41" t="s">
        <v>352</v>
      </c>
      <c r="B334" s="39" t="s">
        <v>227</v>
      </c>
      <c r="C334" s="39" t="s">
        <v>226</v>
      </c>
      <c r="D334" s="41" t="str">
        <f t="shared" si="15"/>
        <v>LBL035A98HC</v>
      </c>
      <c r="E334" s="41" t="str">
        <f t="shared" si="16"/>
        <v>LBL035A98Niños 0-5</v>
      </c>
      <c r="F334" s="41" t="str">
        <f t="shared" si="17"/>
        <v>LBL035A98HCNiños 0-5</v>
      </c>
      <c r="G334" s="41" t="s">
        <v>690</v>
      </c>
      <c r="H334" s="41" t="s">
        <v>81</v>
      </c>
    </row>
    <row r="335" spans="1:8">
      <c r="A335" s="41" t="s">
        <v>354</v>
      </c>
      <c r="B335" s="39" t="s">
        <v>227</v>
      </c>
      <c r="C335" s="39" t="s">
        <v>226</v>
      </c>
      <c r="D335" s="41" t="str">
        <f t="shared" si="15"/>
        <v>LBL043A98HC</v>
      </c>
      <c r="E335" s="41" t="str">
        <f t="shared" si="16"/>
        <v>LBL043A98Niños 0-5</v>
      </c>
      <c r="F335" s="41" t="str">
        <f t="shared" si="17"/>
        <v>LBL043A98HCNiños 0-5</v>
      </c>
      <c r="G335" s="41" t="s">
        <v>691</v>
      </c>
      <c r="H335" s="41" t="s">
        <v>81</v>
      </c>
    </row>
    <row r="336" spans="1:8">
      <c r="A336" s="41" t="s">
        <v>356</v>
      </c>
      <c r="B336" s="39" t="s">
        <v>227</v>
      </c>
      <c r="C336" s="39" t="s">
        <v>226</v>
      </c>
      <c r="D336" s="41" t="str">
        <f t="shared" si="15"/>
        <v>LBL115A98HC</v>
      </c>
      <c r="E336" s="41" t="str">
        <f t="shared" si="16"/>
        <v>LBL115A98Niños 0-5</v>
      </c>
      <c r="F336" s="41" t="str">
        <f t="shared" si="17"/>
        <v>LBL115A98HCNiños 0-5</v>
      </c>
      <c r="G336" s="41" t="s">
        <v>410</v>
      </c>
      <c r="H336" s="41" t="s">
        <v>81</v>
      </c>
    </row>
    <row r="337" spans="1:8">
      <c r="A337" s="41" t="s">
        <v>269</v>
      </c>
      <c r="B337" s="39" t="s">
        <v>227</v>
      </c>
      <c r="C337" s="39" t="s">
        <v>226</v>
      </c>
      <c r="D337" s="41" t="str">
        <f t="shared" si="15"/>
        <v>LBL116A98HC</v>
      </c>
      <c r="E337" s="41" t="str">
        <f t="shared" si="16"/>
        <v>LBL116A98Niños 0-5</v>
      </c>
      <c r="F337" s="41" t="str">
        <f t="shared" si="17"/>
        <v>LBL116A98HCNiños 0-5</v>
      </c>
      <c r="G337" s="41" t="s">
        <v>270</v>
      </c>
      <c r="H337" s="41" t="s">
        <v>81</v>
      </c>
    </row>
    <row r="338" spans="1:8">
      <c r="A338" s="41" t="s">
        <v>348</v>
      </c>
      <c r="B338" s="39" t="s">
        <v>227</v>
      </c>
      <c r="C338" s="39" t="s">
        <v>238</v>
      </c>
      <c r="D338" s="41" t="str">
        <f t="shared" si="15"/>
        <v>LBL001A98HCPB</v>
      </c>
      <c r="E338" s="41" t="str">
        <f t="shared" si="16"/>
        <v>LBL001A98Niños 0-5</v>
      </c>
      <c r="F338" s="41" t="str">
        <f t="shared" si="17"/>
        <v>LBL001A98HCPBNiños 0-5</v>
      </c>
      <c r="G338" s="41" t="s">
        <v>406</v>
      </c>
      <c r="H338" s="41" t="s">
        <v>81</v>
      </c>
    </row>
    <row r="339" spans="1:8">
      <c r="A339" s="41" t="s">
        <v>350</v>
      </c>
      <c r="B339" s="39" t="s">
        <v>227</v>
      </c>
      <c r="C339" s="39" t="s">
        <v>238</v>
      </c>
      <c r="D339" s="41" t="str">
        <f t="shared" si="15"/>
        <v>LBL013A98HCPB</v>
      </c>
      <c r="E339" s="41" t="str">
        <f t="shared" si="16"/>
        <v>LBL013A98Niños 0-5</v>
      </c>
      <c r="F339" s="41" t="str">
        <f t="shared" si="17"/>
        <v>LBL013A98HCPBNiños 0-5</v>
      </c>
      <c r="G339" s="41" t="s">
        <v>689</v>
      </c>
      <c r="H339" s="41" t="s">
        <v>81</v>
      </c>
    </row>
    <row r="340" spans="1:8">
      <c r="A340" s="41" t="s">
        <v>352</v>
      </c>
      <c r="B340" s="39" t="s">
        <v>227</v>
      </c>
      <c r="C340" s="39" t="s">
        <v>238</v>
      </c>
      <c r="D340" s="41" t="str">
        <f t="shared" si="15"/>
        <v>LBL035A98HCPB</v>
      </c>
      <c r="E340" s="41" t="str">
        <f t="shared" si="16"/>
        <v>LBL035A98Niños 0-5</v>
      </c>
      <c r="F340" s="41" t="str">
        <f t="shared" si="17"/>
        <v>LBL035A98HCPBNiños 0-5</v>
      </c>
      <c r="G340" s="41" t="s">
        <v>690</v>
      </c>
      <c r="H340" s="41" t="s">
        <v>81</v>
      </c>
    </row>
    <row r="341" spans="1:8">
      <c r="A341" s="41" t="s">
        <v>354</v>
      </c>
      <c r="B341" s="39" t="s">
        <v>227</v>
      </c>
      <c r="C341" s="39" t="s">
        <v>238</v>
      </c>
      <c r="D341" s="41" t="str">
        <f t="shared" si="15"/>
        <v>LBL043A98HCPB</v>
      </c>
      <c r="E341" s="41" t="str">
        <f t="shared" si="16"/>
        <v>LBL043A98Niños 0-5</v>
      </c>
      <c r="F341" s="41" t="str">
        <f t="shared" si="17"/>
        <v>LBL043A98HCPBNiños 0-5</v>
      </c>
      <c r="G341" s="41" t="s">
        <v>691</v>
      </c>
      <c r="H341" s="41" t="s">
        <v>81</v>
      </c>
    </row>
    <row r="342" spans="1:8">
      <c r="A342" s="41" t="s">
        <v>356</v>
      </c>
      <c r="B342" s="39" t="s">
        <v>227</v>
      </c>
      <c r="C342" s="39" t="s">
        <v>238</v>
      </c>
      <c r="D342" s="41" t="str">
        <f t="shared" si="15"/>
        <v>LBL115A98HCPB</v>
      </c>
      <c r="E342" s="41" t="str">
        <f t="shared" si="16"/>
        <v>LBL115A98Niños 0-5</v>
      </c>
      <c r="F342" s="41" t="str">
        <f t="shared" si="17"/>
        <v>LBL115A98HCPBNiños 0-5</v>
      </c>
      <c r="G342" s="41" t="s">
        <v>410</v>
      </c>
      <c r="H342" s="41" t="s">
        <v>81</v>
      </c>
    </row>
    <row r="343" spans="1:8">
      <c r="A343" s="41" t="s">
        <v>269</v>
      </c>
      <c r="B343" s="39" t="s">
        <v>227</v>
      </c>
      <c r="C343" s="39" t="s">
        <v>238</v>
      </c>
      <c r="D343" s="41" t="str">
        <f t="shared" si="15"/>
        <v>LBL116A98HCPB</v>
      </c>
      <c r="E343" s="41" t="str">
        <f t="shared" si="16"/>
        <v>LBL116A98Niños 0-5</v>
      </c>
      <c r="F343" s="41" t="str">
        <f t="shared" si="17"/>
        <v>LBL116A98HCPBNiños 0-5</v>
      </c>
      <c r="G343" s="41" t="s">
        <v>270</v>
      </c>
      <c r="H343" s="41" t="s">
        <v>81</v>
      </c>
    </row>
    <row r="344" spans="1:8">
      <c r="A344" s="41" t="s">
        <v>348</v>
      </c>
      <c r="B344" s="39" t="s">
        <v>227</v>
      </c>
      <c r="C344" s="39" t="s">
        <v>239</v>
      </c>
      <c r="D344" s="41" t="str">
        <f t="shared" si="15"/>
        <v>LBL001A98LL</v>
      </c>
      <c r="E344" s="41" t="str">
        <f t="shared" si="16"/>
        <v>LBL001A98Niños 0-5</v>
      </c>
      <c r="F344" s="41" t="str">
        <f t="shared" si="17"/>
        <v>LBL001A98LLNiños 0-5</v>
      </c>
      <c r="G344" s="41" t="s">
        <v>406</v>
      </c>
      <c r="H344" s="41" t="s">
        <v>81</v>
      </c>
    </row>
    <row r="345" spans="1:8">
      <c r="A345" s="41" t="s">
        <v>350</v>
      </c>
      <c r="B345" s="39" t="s">
        <v>227</v>
      </c>
      <c r="C345" s="39" t="s">
        <v>239</v>
      </c>
      <c r="D345" s="41" t="str">
        <f t="shared" si="15"/>
        <v>LBL013A98LL</v>
      </c>
      <c r="E345" s="41" t="str">
        <f t="shared" si="16"/>
        <v>LBL013A98Niños 0-5</v>
      </c>
      <c r="F345" s="41" t="str">
        <f t="shared" si="17"/>
        <v>LBL013A98LLNiños 0-5</v>
      </c>
      <c r="G345" s="41" t="s">
        <v>689</v>
      </c>
      <c r="H345" s="41" t="s">
        <v>81</v>
      </c>
    </row>
    <row r="346" spans="1:8">
      <c r="A346" s="41" t="s">
        <v>352</v>
      </c>
      <c r="B346" s="39" t="s">
        <v>227</v>
      </c>
      <c r="C346" s="39" t="s">
        <v>239</v>
      </c>
      <c r="D346" s="41" t="str">
        <f t="shared" si="15"/>
        <v>LBL035A98LL</v>
      </c>
      <c r="E346" s="41" t="str">
        <f t="shared" si="16"/>
        <v>LBL035A98Niños 0-5</v>
      </c>
      <c r="F346" s="41" t="str">
        <f t="shared" si="17"/>
        <v>LBL035A98LLNiños 0-5</v>
      </c>
      <c r="G346" s="41" t="s">
        <v>690</v>
      </c>
      <c r="H346" s="41" t="s">
        <v>81</v>
      </c>
    </row>
    <row r="347" spans="1:8">
      <c r="A347" s="41" t="s">
        <v>354</v>
      </c>
      <c r="B347" s="39" t="s">
        <v>227</v>
      </c>
      <c r="C347" s="39" t="s">
        <v>239</v>
      </c>
      <c r="D347" s="41" t="str">
        <f t="shared" si="15"/>
        <v>LBL043A98LL</v>
      </c>
      <c r="E347" s="41" t="str">
        <f t="shared" si="16"/>
        <v>LBL043A98Niños 0-5</v>
      </c>
      <c r="F347" s="41" t="str">
        <f t="shared" si="17"/>
        <v>LBL043A98LLNiños 0-5</v>
      </c>
      <c r="G347" s="41" t="s">
        <v>691</v>
      </c>
      <c r="H347" s="41" t="s">
        <v>81</v>
      </c>
    </row>
    <row r="348" spans="1:8">
      <c r="A348" s="41" t="s">
        <v>356</v>
      </c>
      <c r="B348" s="39" t="s">
        <v>227</v>
      </c>
      <c r="C348" s="39" t="s">
        <v>239</v>
      </c>
      <c r="D348" s="41" t="str">
        <f t="shared" si="15"/>
        <v>LBL115A98LL</v>
      </c>
      <c r="E348" s="41" t="str">
        <f t="shared" si="16"/>
        <v>LBL115A98Niños 0-5</v>
      </c>
      <c r="F348" s="41" t="str">
        <f t="shared" si="17"/>
        <v>LBL115A98LLNiños 0-5</v>
      </c>
      <c r="G348" s="41" t="s">
        <v>410</v>
      </c>
      <c r="H348" s="41" t="s">
        <v>81</v>
      </c>
    </row>
    <row r="349" spans="1:8">
      <c r="A349" s="41" t="s">
        <v>269</v>
      </c>
      <c r="B349" s="39" t="s">
        <v>227</v>
      </c>
      <c r="C349" s="39" t="s">
        <v>239</v>
      </c>
      <c r="D349" s="41" t="str">
        <f t="shared" si="15"/>
        <v>LBL116A98LL</v>
      </c>
      <c r="E349" s="41" t="str">
        <f t="shared" si="16"/>
        <v>LBL116A98Niños 0-5</v>
      </c>
      <c r="F349" s="41" t="str">
        <f t="shared" si="17"/>
        <v>LBL116A98LLNiños 0-5</v>
      </c>
      <c r="G349" s="41" t="s">
        <v>270</v>
      </c>
      <c r="H349" s="41" t="s">
        <v>81</v>
      </c>
    </row>
    <row r="350" spans="1:8">
      <c r="A350" s="41" t="s">
        <v>46</v>
      </c>
      <c r="B350" s="39" t="s">
        <v>227</v>
      </c>
      <c r="C350" s="39" t="s">
        <v>226</v>
      </c>
      <c r="D350" s="41" t="str">
        <f t="shared" si="15"/>
        <v>IMV001A98HC</v>
      </c>
      <c r="E350" s="41" t="str">
        <f t="shared" si="16"/>
        <v>IMV001A98Niños 0-5</v>
      </c>
      <c r="F350" s="41" t="str">
        <f t="shared" si="17"/>
        <v>IMV001A98HCNiños 0-5</v>
      </c>
      <c r="G350" s="41" t="s">
        <v>692</v>
      </c>
      <c r="H350" s="41" t="s">
        <v>192</v>
      </c>
    </row>
    <row r="351" spans="1:8">
      <c r="A351" s="41" t="s">
        <v>80</v>
      </c>
      <c r="B351" s="39" t="s">
        <v>227</v>
      </c>
      <c r="C351" s="39" t="s">
        <v>226</v>
      </c>
      <c r="D351" s="41" t="str">
        <f t="shared" si="15"/>
        <v>IMV005A98HC</v>
      </c>
      <c r="E351" s="41" t="str">
        <f t="shared" si="16"/>
        <v>IMV005A98Niños 0-5</v>
      </c>
      <c r="F351" s="41" t="str">
        <f t="shared" si="17"/>
        <v>IMV005A98HCNiños 0-5</v>
      </c>
      <c r="G351" s="41" t="s">
        <v>249</v>
      </c>
      <c r="H351" s="41" t="s">
        <v>192</v>
      </c>
    </row>
    <row r="352" spans="1:8">
      <c r="A352" s="41" t="s">
        <v>46</v>
      </c>
      <c r="B352" s="39" t="s">
        <v>227</v>
      </c>
      <c r="C352" s="39" t="s">
        <v>229</v>
      </c>
      <c r="D352" s="41" t="str">
        <f t="shared" si="15"/>
        <v>IMV001A98LE</v>
      </c>
      <c r="E352" s="41" t="str">
        <f t="shared" si="16"/>
        <v>IMV001A98Niños 0-5</v>
      </c>
      <c r="F352" s="41" t="str">
        <f t="shared" si="17"/>
        <v>IMV001A98LENiños 0-5</v>
      </c>
      <c r="G352" s="41" t="s">
        <v>692</v>
      </c>
      <c r="H352" s="41" t="s">
        <v>192</v>
      </c>
    </row>
    <row r="353" spans="1:8">
      <c r="A353" s="41" t="s">
        <v>80</v>
      </c>
      <c r="B353" s="39" t="s">
        <v>227</v>
      </c>
      <c r="C353" s="39" t="s">
        <v>229</v>
      </c>
      <c r="D353" s="41" t="str">
        <f t="shared" si="15"/>
        <v>IMV005A98LE</v>
      </c>
      <c r="E353" s="41" t="str">
        <f t="shared" si="16"/>
        <v>IMV005A98Niños 0-5</v>
      </c>
      <c r="F353" s="41" t="str">
        <f t="shared" si="17"/>
        <v>IMV005A98LENiños 0-5</v>
      </c>
      <c r="G353" s="41" t="s">
        <v>249</v>
      </c>
      <c r="H353" s="41" t="s">
        <v>192</v>
      </c>
    </row>
    <row r="354" spans="1:8">
      <c r="A354" s="41" t="s">
        <v>46</v>
      </c>
      <c r="B354" s="39" t="s">
        <v>227</v>
      </c>
      <c r="C354" s="39" t="s">
        <v>230</v>
      </c>
      <c r="D354" s="41" t="str">
        <f t="shared" si="15"/>
        <v>IMV001A98RV</v>
      </c>
      <c r="E354" s="41" t="str">
        <f t="shared" si="16"/>
        <v>IMV001A98Niños 0-5</v>
      </c>
      <c r="F354" s="41" t="str">
        <f t="shared" si="17"/>
        <v>IMV001A98RVNiños 0-5</v>
      </c>
      <c r="G354" s="41" t="s">
        <v>692</v>
      </c>
      <c r="H354" s="41" t="s">
        <v>192</v>
      </c>
    </row>
    <row r="355" spans="1:8">
      <c r="A355" s="41" t="s">
        <v>80</v>
      </c>
      <c r="B355" s="39" t="s">
        <v>227</v>
      </c>
      <c r="C355" s="39" t="s">
        <v>230</v>
      </c>
      <c r="D355" s="41" t="str">
        <f t="shared" si="15"/>
        <v>IMV005A98RV</v>
      </c>
      <c r="E355" s="41" t="str">
        <f t="shared" si="16"/>
        <v>IMV005A98Niños 0-5</v>
      </c>
      <c r="F355" s="41" t="str">
        <f t="shared" si="17"/>
        <v>IMV005A98RVNiños 0-5</v>
      </c>
      <c r="G355" s="41" t="s">
        <v>249</v>
      </c>
      <c r="H355" s="41" t="s">
        <v>192</v>
      </c>
    </row>
    <row r="356" spans="1:8">
      <c r="A356" s="41" t="s">
        <v>44</v>
      </c>
      <c r="B356" s="39" t="s">
        <v>227</v>
      </c>
      <c r="C356" s="39" t="s">
        <v>226</v>
      </c>
      <c r="D356" s="41" t="str">
        <f t="shared" si="15"/>
        <v>IMV015A98HC</v>
      </c>
      <c r="E356" s="41" t="str">
        <f t="shared" si="16"/>
        <v>IMV015A98Niños 0-5</v>
      </c>
      <c r="F356" s="41" t="str">
        <f t="shared" si="17"/>
        <v>IMV015A98HCNiños 0-5</v>
      </c>
      <c r="G356" s="41" t="s">
        <v>45</v>
      </c>
      <c r="H356" s="41" t="s">
        <v>192</v>
      </c>
    </row>
    <row r="357" spans="1:8">
      <c r="A357" s="41" t="s">
        <v>44</v>
      </c>
      <c r="B357" s="39" t="s">
        <v>227</v>
      </c>
      <c r="C357" s="39" t="s">
        <v>229</v>
      </c>
      <c r="D357" s="41" t="str">
        <f t="shared" si="15"/>
        <v>IMV015A98LE</v>
      </c>
      <c r="E357" s="41" t="str">
        <f t="shared" si="16"/>
        <v>IMV015A98Niños 0-5</v>
      </c>
      <c r="F357" s="41" t="str">
        <f t="shared" si="17"/>
        <v>IMV015A98LENiños 0-5</v>
      </c>
      <c r="G357" s="41" t="s">
        <v>45</v>
      </c>
      <c r="H357" s="41" t="s">
        <v>192</v>
      </c>
    </row>
    <row r="358" spans="1:8">
      <c r="A358" s="41" t="s">
        <v>44</v>
      </c>
      <c r="B358" s="39" t="s">
        <v>227</v>
      </c>
      <c r="C358" s="39" t="s">
        <v>230</v>
      </c>
      <c r="D358" s="41" t="str">
        <f t="shared" si="15"/>
        <v>IMV015A98RV</v>
      </c>
      <c r="E358" s="41" t="str">
        <f t="shared" si="16"/>
        <v>IMV015A98Niños 0-5</v>
      </c>
      <c r="F358" s="41" t="str">
        <f t="shared" si="17"/>
        <v>IMV015A98RVNiños 0-5</v>
      </c>
      <c r="G358" s="41" t="s">
        <v>45</v>
      </c>
      <c r="H358" s="41" t="s">
        <v>192</v>
      </c>
    </row>
    <row r="359" spans="1:8">
      <c r="A359" s="41" t="s">
        <v>44</v>
      </c>
      <c r="B359" s="39" t="s">
        <v>227</v>
      </c>
      <c r="C359" s="39" t="s">
        <v>233</v>
      </c>
      <c r="D359" s="41" t="str">
        <f t="shared" si="15"/>
        <v>IMV015A98SI</v>
      </c>
      <c r="E359" s="41" t="str">
        <f t="shared" si="16"/>
        <v>IMV015A98Niños 0-5</v>
      </c>
      <c r="F359" s="41" t="str">
        <f t="shared" si="17"/>
        <v>IMV015A98SINiños 0-5</v>
      </c>
      <c r="G359" s="41" t="s">
        <v>45</v>
      </c>
      <c r="H359" s="41" t="s">
        <v>192</v>
      </c>
    </row>
    <row r="360" spans="1:8">
      <c r="A360" s="41" t="s">
        <v>76</v>
      </c>
      <c r="B360" s="39" t="s">
        <v>227</v>
      </c>
      <c r="C360" s="39" t="s">
        <v>693</v>
      </c>
      <c r="D360" s="41" t="str">
        <f t="shared" si="15"/>
        <v>TAT003A98Pgrup</v>
      </c>
      <c r="E360" s="41" t="str">
        <f t="shared" si="16"/>
        <v>TAT003A98Niños 0-5</v>
      </c>
      <c r="F360" s="41" t="str">
        <f t="shared" si="17"/>
        <v>TAT003A98PgrupNiños 0-5</v>
      </c>
      <c r="G360" s="41" t="s">
        <v>77</v>
      </c>
      <c r="H360" s="41" t="s">
        <v>192</v>
      </c>
    </row>
    <row r="361" spans="1:8">
      <c r="A361" s="41" t="s">
        <v>75</v>
      </c>
      <c r="B361" s="39" t="s">
        <v>227</v>
      </c>
      <c r="C361" s="39" t="s">
        <v>693</v>
      </c>
      <c r="D361" s="41" t="str">
        <f t="shared" si="15"/>
        <v>TAT002A98Pgrup</v>
      </c>
      <c r="E361" s="41" t="str">
        <f t="shared" si="16"/>
        <v>TAT002A98Niños 0-5</v>
      </c>
      <c r="F361" s="41" t="str">
        <f t="shared" si="17"/>
        <v>TAT002A98PgrupNiños 0-5</v>
      </c>
      <c r="G361" s="41" t="s">
        <v>694</v>
      </c>
      <c r="H361" s="41" t="s">
        <v>192</v>
      </c>
    </row>
    <row r="362" spans="1:8">
      <c r="A362" s="41" t="s">
        <v>320</v>
      </c>
      <c r="B362" s="39" t="s">
        <v>227</v>
      </c>
      <c r="C362" s="39" t="s">
        <v>226</v>
      </c>
      <c r="D362" s="41" t="str">
        <f t="shared" si="15"/>
        <v>CTC020P07.0HC</v>
      </c>
      <c r="E362" s="41" t="str">
        <f t="shared" si="16"/>
        <v>CTC020P07.0Niños 0-5</v>
      </c>
      <c r="F362" s="41" t="str">
        <f t="shared" si="17"/>
        <v>CTC020P07.0HCNiños 0-5</v>
      </c>
      <c r="G362" s="41" t="s">
        <v>695</v>
      </c>
      <c r="H362" s="41" t="s">
        <v>430</v>
      </c>
    </row>
    <row r="363" spans="1:8">
      <c r="A363" s="41" t="s">
        <v>322</v>
      </c>
      <c r="B363" s="39" t="s">
        <v>227</v>
      </c>
      <c r="C363" s="39" t="s">
        <v>226</v>
      </c>
      <c r="D363" s="41" t="str">
        <f t="shared" si="15"/>
        <v>CTC020P07.2HC</v>
      </c>
      <c r="E363" s="41" t="str">
        <f t="shared" si="16"/>
        <v>CTC020P07.2Niños 0-5</v>
      </c>
      <c r="F363" s="41" t="str">
        <f t="shared" si="17"/>
        <v>CTC020P07.2HCNiños 0-5</v>
      </c>
      <c r="G363" s="41" t="s">
        <v>695</v>
      </c>
      <c r="H363" s="41" t="s">
        <v>430</v>
      </c>
    </row>
    <row r="364" spans="1:8">
      <c r="A364" s="41" t="s">
        <v>323</v>
      </c>
      <c r="B364" s="39" t="s">
        <v>227</v>
      </c>
      <c r="C364" s="39" t="s">
        <v>226</v>
      </c>
      <c r="D364" s="41" t="str">
        <f t="shared" si="15"/>
        <v>CTC021Q39.0HC</v>
      </c>
      <c r="E364" s="41" t="str">
        <f t="shared" si="16"/>
        <v>CTC021Q39.0Niños 0-5</v>
      </c>
      <c r="F364" s="41" t="str">
        <f t="shared" si="17"/>
        <v>CTC021Q39.0HCNiños 0-5</v>
      </c>
      <c r="G364" s="41" t="s">
        <v>696</v>
      </c>
      <c r="H364" s="41" t="s">
        <v>430</v>
      </c>
    </row>
    <row r="365" spans="1:8">
      <c r="A365" s="41" t="s">
        <v>324</v>
      </c>
      <c r="B365" s="39" t="s">
        <v>227</v>
      </c>
      <c r="C365" s="39" t="s">
        <v>226</v>
      </c>
      <c r="D365" s="41" t="str">
        <f t="shared" si="15"/>
        <v>CTC021Q39.1HC</v>
      </c>
      <c r="E365" s="41" t="str">
        <f t="shared" si="16"/>
        <v>CTC021Q39.1Niños 0-5</v>
      </c>
      <c r="F365" s="41" t="str">
        <f t="shared" si="17"/>
        <v>CTC021Q39.1HCNiños 0-5</v>
      </c>
      <c r="G365" s="41" t="s">
        <v>696</v>
      </c>
      <c r="H365" s="41" t="s">
        <v>430</v>
      </c>
    </row>
    <row r="366" spans="1:8">
      <c r="A366" s="41" t="s">
        <v>325</v>
      </c>
      <c r="B366" s="39" t="s">
        <v>227</v>
      </c>
      <c r="C366" s="39" t="s">
        <v>226</v>
      </c>
      <c r="D366" s="41" t="str">
        <f t="shared" si="15"/>
        <v>CTC021Q39.2HC</v>
      </c>
      <c r="E366" s="41" t="str">
        <f t="shared" si="16"/>
        <v>CTC021Q39.2Niños 0-5</v>
      </c>
      <c r="F366" s="41" t="str">
        <f t="shared" si="17"/>
        <v>CTC021Q39.2HCNiños 0-5</v>
      </c>
      <c r="G366" s="41" t="s">
        <v>696</v>
      </c>
      <c r="H366" s="41" t="s">
        <v>430</v>
      </c>
    </row>
    <row r="367" spans="1:8">
      <c r="A367" s="41" t="s">
        <v>327</v>
      </c>
      <c r="B367" s="39" t="s">
        <v>227</v>
      </c>
      <c r="C367" s="39" t="s">
        <v>226</v>
      </c>
      <c r="D367" s="41" t="str">
        <f t="shared" si="15"/>
        <v>CTC021Q79.3HC</v>
      </c>
      <c r="E367" s="41" t="str">
        <f t="shared" si="16"/>
        <v>CTC021Q79.3Niños 0-5</v>
      </c>
      <c r="F367" s="41" t="str">
        <f t="shared" si="17"/>
        <v>CTC021Q79.3HCNiños 0-5</v>
      </c>
      <c r="G367" s="41" t="s">
        <v>696</v>
      </c>
      <c r="H367" s="41" t="s">
        <v>430</v>
      </c>
    </row>
    <row r="368" spans="1:8">
      <c r="A368" s="41" t="s">
        <v>328</v>
      </c>
      <c r="B368" s="39" t="s">
        <v>227</v>
      </c>
      <c r="C368" s="39" t="s">
        <v>226</v>
      </c>
      <c r="D368" s="41" t="str">
        <f t="shared" si="15"/>
        <v>CTC021Q41HC</v>
      </c>
      <c r="E368" s="41" t="str">
        <f t="shared" si="16"/>
        <v>CTC021Q41Niños 0-5</v>
      </c>
      <c r="F368" s="41" t="str">
        <f t="shared" si="17"/>
        <v>CTC021Q41HCNiños 0-5</v>
      </c>
      <c r="G368" s="41" t="s">
        <v>696</v>
      </c>
      <c r="H368" s="41" t="s">
        <v>430</v>
      </c>
    </row>
    <row r="369" spans="1:8">
      <c r="A369" s="41" t="s">
        <v>329</v>
      </c>
      <c r="B369" s="39" t="s">
        <v>227</v>
      </c>
      <c r="C369" s="39" t="s">
        <v>226</v>
      </c>
      <c r="D369" s="41" t="str">
        <f t="shared" si="15"/>
        <v>CTC021Q42HC</v>
      </c>
      <c r="E369" s="41" t="str">
        <f t="shared" si="16"/>
        <v>CTC021Q42Niños 0-5</v>
      </c>
      <c r="F369" s="41" t="str">
        <f t="shared" si="17"/>
        <v>CTC021Q42HCNiños 0-5</v>
      </c>
      <c r="G369" s="41" t="s">
        <v>696</v>
      </c>
      <c r="H369" s="41" t="s">
        <v>430</v>
      </c>
    </row>
    <row r="370" spans="1:8">
      <c r="A370" s="41" t="s">
        <v>330</v>
      </c>
      <c r="B370" s="39" t="s">
        <v>227</v>
      </c>
      <c r="C370" s="39" t="s">
        <v>226</v>
      </c>
      <c r="D370" s="41" t="str">
        <f t="shared" si="15"/>
        <v>CTC021Q43.3HC</v>
      </c>
      <c r="E370" s="41" t="str">
        <f t="shared" si="16"/>
        <v>CTC021Q43.3Niños 0-5</v>
      </c>
      <c r="F370" s="41" t="str">
        <f t="shared" si="17"/>
        <v>CTC021Q43.3HCNiños 0-5</v>
      </c>
      <c r="G370" s="41" t="s">
        <v>696</v>
      </c>
      <c r="H370" s="41" t="s">
        <v>430</v>
      </c>
    </row>
    <row r="371" spans="1:8">
      <c r="A371" s="41" t="s">
        <v>331</v>
      </c>
      <c r="B371" s="39" t="s">
        <v>227</v>
      </c>
      <c r="C371" s="39" t="s">
        <v>226</v>
      </c>
      <c r="D371" s="41" t="str">
        <f t="shared" si="15"/>
        <v>CTC021Q43.4HC</v>
      </c>
      <c r="E371" s="41" t="str">
        <f t="shared" si="16"/>
        <v>CTC021Q43.4Niños 0-5</v>
      </c>
      <c r="F371" s="41" t="str">
        <f t="shared" si="17"/>
        <v>CTC021Q43.4HCNiños 0-5</v>
      </c>
      <c r="G371" s="41" t="s">
        <v>696</v>
      </c>
      <c r="H371" s="41" t="s">
        <v>430</v>
      </c>
    </row>
    <row r="372" spans="1:8">
      <c r="A372" s="41" t="s">
        <v>332</v>
      </c>
      <c r="B372" s="39" t="s">
        <v>227</v>
      </c>
      <c r="C372" s="39" t="s">
        <v>226</v>
      </c>
      <c r="D372" s="41" t="str">
        <f t="shared" si="15"/>
        <v>CTC021Q42.0HC</v>
      </c>
      <c r="E372" s="41" t="str">
        <f t="shared" si="16"/>
        <v>CTC021Q42.0Niños 0-5</v>
      </c>
      <c r="F372" s="41" t="str">
        <f t="shared" si="17"/>
        <v>CTC021Q42.0HCNiños 0-5</v>
      </c>
      <c r="G372" s="41" t="s">
        <v>696</v>
      </c>
      <c r="H372" s="41" t="s">
        <v>430</v>
      </c>
    </row>
    <row r="373" spans="1:8">
      <c r="A373" s="41" t="s">
        <v>333</v>
      </c>
      <c r="B373" s="39" t="s">
        <v>227</v>
      </c>
      <c r="C373" s="39" t="s">
        <v>226</v>
      </c>
      <c r="D373" s="41" t="str">
        <f t="shared" si="15"/>
        <v>CTC021Q42.1HC</v>
      </c>
      <c r="E373" s="41" t="str">
        <f t="shared" si="16"/>
        <v>CTC021Q42.1Niños 0-5</v>
      </c>
      <c r="F373" s="41" t="str">
        <f t="shared" si="17"/>
        <v>CTC021Q42.1HCNiños 0-5</v>
      </c>
      <c r="G373" s="41" t="s">
        <v>696</v>
      </c>
      <c r="H373" s="41" t="s">
        <v>430</v>
      </c>
    </row>
    <row r="374" spans="1:8">
      <c r="A374" s="41" t="s">
        <v>334</v>
      </c>
      <c r="B374" s="39" t="s">
        <v>227</v>
      </c>
      <c r="C374" s="39" t="s">
        <v>226</v>
      </c>
      <c r="D374" s="41" t="str">
        <f t="shared" si="15"/>
        <v>CTC021Q42.2HC</v>
      </c>
      <c r="E374" s="41" t="str">
        <f t="shared" si="16"/>
        <v>CTC021Q42.2Niños 0-5</v>
      </c>
      <c r="F374" s="41" t="str">
        <f t="shared" si="17"/>
        <v>CTC021Q42.2HCNiños 0-5</v>
      </c>
      <c r="G374" s="41" t="s">
        <v>696</v>
      </c>
      <c r="H374" s="41" t="s">
        <v>430</v>
      </c>
    </row>
    <row r="375" spans="1:8">
      <c r="A375" s="41" t="s">
        <v>336</v>
      </c>
      <c r="B375" s="39" t="s">
        <v>227</v>
      </c>
      <c r="C375" s="39" t="s">
        <v>226</v>
      </c>
      <c r="D375" s="41" t="str">
        <f t="shared" si="15"/>
        <v>CTC021Q42.3HC</v>
      </c>
      <c r="E375" s="41" t="str">
        <f t="shared" si="16"/>
        <v>CTC021Q42.3Niños 0-5</v>
      </c>
      <c r="F375" s="41" t="str">
        <f t="shared" si="17"/>
        <v>CTC021Q42.3HCNiños 0-5</v>
      </c>
      <c r="G375" s="41" t="s">
        <v>696</v>
      </c>
      <c r="H375" s="41" t="s">
        <v>430</v>
      </c>
    </row>
    <row r="376" spans="1:8">
      <c r="A376" s="41" t="s">
        <v>337</v>
      </c>
      <c r="B376" s="39" t="s">
        <v>227</v>
      </c>
      <c r="C376" s="39" t="s">
        <v>226</v>
      </c>
      <c r="D376" s="41" t="str">
        <f t="shared" si="15"/>
        <v>CTC021Q03HC</v>
      </c>
      <c r="E376" s="41" t="str">
        <f t="shared" si="16"/>
        <v>CTC021Q03Niños 0-5</v>
      </c>
      <c r="F376" s="41" t="str">
        <f t="shared" si="17"/>
        <v>CTC021Q03HCNiños 0-5</v>
      </c>
      <c r="G376" s="41" t="s">
        <v>696</v>
      </c>
      <c r="H376" s="41" t="s">
        <v>430</v>
      </c>
    </row>
    <row r="377" spans="1:8">
      <c r="A377" s="41" t="s">
        <v>338</v>
      </c>
      <c r="B377" s="39" t="s">
        <v>227</v>
      </c>
      <c r="C377" s="39" t="s">
        <v>226</v>
      </c>
      <c r="D377" s="41" t="str">
        <f t="shared" si="15"/>
        <v>CTC021Q05HC</v>
      </c>
      <c r="E377" s="41" t="str">
        <f t="shared" si="16"/>
        <v>CTC021Q05Niños 0-5</v>
      </c>
      <c r="F377" s="41" t="str">
        <f t="shared" si="17"/>
        <v>CTC021Q05HCNiños 0-5</v>
      </c>
      <c r="G377" s="41" t="s">
        <v>696</v>
      </c>
      <c r="H377" s="41" t="s">
        <v>430</v>
      </c>
    </row>
    <row r="378" spans="1:8">
      <c r="A378" s="41" t="s">
        <v>339</v>
      </c>
      <c r="B378" s="39" t="s">
        <v>227</v>
      </c>
      <c r="C378" s="39" t="s">
        <v>226</v>
      </c>
      <c r="D378" s="41" t="str">
        <f t="shared" si="15"/>
        <v>CTC021P07.0HC</v>
      </c>
      <c r="E378" s="41" t="str">
        <f t="shared" si="16"/>
        <v>CTC021P07.0Niños 0-5</v>
      </c>
      <c r="F378" s="41" t="str">
        <f t="shared" si="17"/>
        <v>CTC021P07.0HCNiños 0-5</v>
      </c>
      <c r="G378" s="41" t="s">
        <v>696</v>
      </c>
      <c r="H378" s="41" t="s">
        <v>430</v>
      </c>
    </row>
    <row r="379" spans="1:8">
      <c r="A379" s="41" t="s">
        <v>340</v>
      </c>
      <c r="B379" s="39" t="s">
        <v>227</v>
      </c>
      <c r="C379" s="39" t="s">
        <v>226</v>
      </c>
      <c r="D379" s="41" t="str">
        <f t="shared" si="15"/>
        <v>CTC021P07.2HC</v>
      </c>
      <c r="E379" s="41" t="str">
        <f t="shared" si="16"/>
        <v>CTC021P07.2Niños 0-5</v>
      </c>
      <c r="F379" s="41" t="str">
        <f t="shared" si="17"/>
        <v>CTC021P07.2HCNiños 0-5</v>
      </c>
      <c r="G379" s="41" t="s">
        <v>696</v>
      </c>
      <c r="H379" s="41" t="s">
        <v>430</v>
      </c>
    </row>
    <row r="380" spans="1:8">
      <c r="A380" s="41" t="s">
        <v>431</v>
      </c>
      <c r="B380" s="39" t="s">
        <v>227</v>
      </c>
      <c r="C380" s="39" t="s">
        <v>226</v>
      </c>
      <c r="D380" s="41" t="str">
        <f t="shared" si="15"/>
        <v>ITE013P07.0HC</v>
      </c>
      <c r="E380" s="41" t="str">
        <f t="shared" si="16"/>
        <v>ITE013P07.0Niños 0-5</v>
      </c>
      <c r="F380" s="41" t="str">
        <f t="shared" si="17"/>
        <v>ITE013P07.0HCNiños 0-5</v>
      </c>
      <c r="G380" s="41" t="s">
        <v>697</v>
      </c>
      <c r="H380" s="41" t="s">
        <v>430</v>
      </c>
    </row>
    <row r="381" spans="1:8">
      <c r="A381" s="41" t="s">
        <v>698</v>
      </c>
      <c r="B381" s="39" t="s">
        <v>227</v>
      </c>
      <c r="C381" s="39" t="s">
        <v>226</v>
      </c>
      <c r="D381" s="41" t="str">
        <f t="shared" si="15"/>
        <v>ITE013P07.2HC</v>
      </c>
      <c r="E381" s="41" t="str">
        <f t="shared" si="16"/>
        <v>ITE013P07.2Niños 0-5</v>
      </c>
      <c r="F381" s="41" t="str">
        <f t="shared" si="17"/>
        <v>ITE013P07.2HCNiños 0-5</v>
      </c>
      <c r="G381" s="41" t="s">
        <v>697</v>
      </c>
      <c r="H381" s="41" t="s">
        <v>430</v>
      </c>
    </row>
    <row r="382" spans="1:8">
      <c r="A382" s="41" t="s">
        <v>432</v>
      </c>
      <c r="B382" s="39" t="s">
        <v>227</v>
      </c>
      <c r="C382" s="39" t="s">
        <v>226</v>
      </c>
      <c r="D382" s="41" t="str">
        <f t="shared" si="15"/>
        <v>ITE014P07.0HC</v>
      </c>
      <c r="E382" s="41" t="str">
        <f t="shared" si="16"/>
        <v>ITE014P07.0Niños 0-5</v>
      </c>
      <c r="F382" s="41" t="str">
        <f t="shared" si="17"/>
        <v>ITE014P07.0HCNiños 0-5</v>
      </c>
      <c r="G382" s="41" t="s">
        <v>699</v>
      </c>
      <c r="H382" s="41" t="s">
        <v>430</v>
      </c>
    </row>
    <row r="383" spans="1:8">
      <c r="A383" s="41" t="s">
        <v>433</v>
      </c>
      <c r="B383" s="39" t="s">
        <v>227</v>
      </c>
      <c r="C383" s="39" t="s">
        <v>226</v>
      </c>
      <c r="D383" s="41" t="str">
        <f t="shared" si="15"/>
        <v>ITE014P07.2HC</v>
      </c>
      <c r="E383" s="41" t="str">
        <f t="shared" si="16"/>
        <v>ITE014P07.2Niños 0-5</v>
      </c>
      <c r="F383" s="41" t="str">
        <f t="shared" si="17"/>
        <v>ITE014P07.2HCNiños 0-5</v>
      </c>
      <c r="G383" s="41" t="s">
        <v>699</v>
      </c>
      <c r="H383" s="41" t="s">
        <v>430</v>
      </c>
    </row>
    <row r="384" spans="1:8">
      <c r="A384" s="41" t="s">
        <v>320</v>
      </c>
      <c r="B384" s="39" t="s">
        <v>227</v>
      </c>
      <c r="C384" s="39" t="s">
        <v>228</v>
      </c>
      <c r="D384" s="41" t="str">
        <f t="shared" si="15"/>
        <v>CTC020P07.0FM</v>
      </c>
      <c r="E384" s="41" t="str">
        <f t="shared" si="16"/>
        <v>CTC020P07.0Niños 0-5</v>
      </c>
      <c r="F384" s="41" t="str">
        <f t="shared" si="17"/>
        <v>CTC020P07.0FMNiños 0-5</v>
      </c>
      <c r="G384" s="41" t="s">
        <v>695</v>
      </c>
      <c r="H384" s="41" t="s">
        <v>430</v>
      </c>
    </row>
    <row r="385" spans="1:8">
      <c r="A385" s="41" t="s">
        <v>322</v>
      </c>
      <c r="B385" s="39" t="s">
        <v>227</v>
      </c>
      <c r="C385" s="39" t="s">
        <v>228</v>
      </c>
      <c r="D385" s="41" t="str">
        <f t="shared" si="15"/>
        <v>CTC020P07.2FM</v>
      </c>
      <c r="E385" s="41" t="str">
        <f t="shared" si="16"/>
        <v>CTC020P07.2Niños 0-5</v>
      </c>
      <c r="F385" s="41" t="str">
        <f t="shared" si="17"/>
        <v>CTC020P07.2FMNiños 0-5</v>
      </c>
      <c r="G385" s="41" t="s">
        <v>695</v>
      </c>
      <c r="H385" s="41" t="s">
        <v>430</v>
      </c>
    </row>
    <row r="386" spans="1:8">
      <c r="A386" s="41" t="s">
        <v>323</v>
      </c>
      <c r="B386" s="39" t="s">
        <v>227</v>
      </c>
      <c r="C386" s="39" t="s">
        <v>228</v>
      </c>
      <c r="D386" s="41" t="str">
        <f t="shared" ref="D386:D449" si="18">+CONCATENATE(A386,C386)</f>
        <v>CTC021Q39.0FM</v>
      </c>
      <c r="E386" s="41" t="str">
        <f t="shared" ref="E386:E449" si="19">+CONCATENATE(A386,B386)</f>
        <v>CTC021Q39.0Niños 0-5</v>
      </c>
      <c r="F386" s="41" t="str">
        <f t="shared" ref="F386:F449" si="20">CONCATENATE(A386,C386,B386)</f>
        <v>CTC021Q39.0FMNiños 0-5</v>
      </c>
      <c r="G386" s="41" t="s">
        <v>696</v>
      </c>
      <c r="H386" s="41" t="s">
        <v>430</v>
      </c>
    </row>
    <row r="387" spans="1:8">
      <c r="A387" s="41" t="s">
        <v>324</v>
      </c>
      <c r="B387" s="39" t="s">
        <v>227</v>
      </c>
      <c r="C387" s="39" t="s">
        <v>228</v>
      </c>
      <c r="D387" s="41" t="str">
        <f t="shared" si="18"/>
        <v>CTC021Q39.1FM</v>
      </c>
      <c r="E387" s="41" t="str">
        <f t="shared" si="19"/>
        <v>CTC021Q39.1Niños 0-5</v>
      </c>
      <c r="F387" s="41" t="str">
        <f t="shared" si="20"/>
        <v>CTC021Q39.1FMNiños 0-5</v>
      </c>
      <c r="G387" s="41" t="s">
        <v>696</v>
      </c>
      <c r="H387" s="41" t="s">
        <v>430</v>
      </c>
    </row>
    <row r="388" spans="1:8">
      <c r="A388" s="41" t="s">
        <v>325</v>
      </c>
      <c r="B388" s="39" t="s">
        <v>227</v>
      </c>
      <c r="C388" s="39" t="s">
        <v>228</v>
      </c>
      <c r="D388" s="41" t="str">
        <f t="shared" si="18"/>
        <v>CTC021Q39.2FM</v>
      </c>
      <c r="E388" s="41" t="str">
        <f t="shared" si="19"/>
        <v>CTC021Q39.2Niños 0-5</v>
      </c>
      <c r="F388" s="41" t="str">
        <f t="shared" si="20"/>
        <v>CTC021Q39.2FMNiños 0-5</v>
      </c>
      <c r="G388" s="41" t="s">
        <v>696</v>
      </c>
      <c r="H388" s="41" t="s">
        <v>430</v>
      </c>
    </row>
    <row r="389" spans="1:8">
      <c r="A389" s="41" t="s">
        <v>327</v>
      </c>
      <c r="B389" s="39" t="s">
        <v>227</v>
      </c>
      <c r="C389" s="39" t="s">
        <v>228</v>
      </c>
      <c r="D389" s="41" t="str">
        <f t="shared" si="18"/>
        <v>CTC021Q79.3FM</v>
      </c>
      <c r="E389" s="41" t="str">
        <f t="shared" si="19"/>
        <v>CTC021Q79.3Niños 0-5</v>
      </c>
      <c r="F389" s="41" t="str">
        <f t="shared" si="20"/>
        <v>CTC021Q79.3FMNiños 0-5</v>
      </c>
      <c r="G389" s="41" t="s">
        <v>696</v>
      </c>
      <c r="H389" s="41" t="s">
        <v>430</v>
      </c>
    </row>
    <row r="390" spans="1:8">
      <c r="A390" s="41" t="s">
        <v>328</v>
      </c>
      <c r="B390" s="39" t="s">
        <v>227</v>
      </c>
      <c r="C390" s="39" t="s">
        <v>228</v>
      </c>
      <c r="D390" s="41" t="str">
        <f t="shared" si="18"/>
        <v>CTC021Q41FM</v>
      </c>
      <c r="E390" s="41" t="str">
        <f t="shared" si="19"/>
        <v>CTC021Q41Niños 0-5</v>
      </c>
      <c r="F390" s="41" t="str">
        <f t="shared" si="20"/>
        <v>CTC021Q41FMNiños 0-5</v>
      </c>
      <c r="G390" s="41" t="s">
        <v>696</v>
      </c>
      <c r="H390" s="41" t="s">
        <v>430</v>
      </c>
    </row>
    <row r="391" spans="1:8">
      <c r="A391" s="41" t="s">
        <v>329</v>
      </c>
      <c r="B391" s="39" t="s">
        <v>227</v>
      </c>
      <c r="C391" s="39" t="s">
        <v>228</v>
      </c>
      <c r="D391" s="41" t="str">
        <f t="shared" si="18"/>
        <v>CTC021Q42FM</v>
      </c>
      <c r="E391" s="41" t="str">
        <f t="shared" si="19"/>
        <v>CTC021Q42Niños 0-5</v>
      </c>
      <c r="F391" s="41" t="str">
        <f t="shared" si="20"/>
        <v>CTC021Q42FMNiños 0-5</v>
      </c>
      <c r="G391" s="41" t="s">
        <v>696</v>
      </c>
      <c r="H391" s="41" t="s">
        <v>430</v>
      </c>
    </row>
    <row r="392" spans="1:8">
      <c r="A392" s="41" t="s">
        <v>330</v>
      </c>
      <c r="B392" s="39" t="s">
        <v>227</v>
      </c>
      <c r="C392" s="39" t="s">
        <v>228</v>
      </c>
      <c r="D392" s="41" t="str">
        <f t="shared" si="18"/>
        <v>CTC021Q43.3FM</v>
      </c>
      <c r="E392" s="41" t="str">
        <f t="shared" si="19"/>
        <v>CTC021Q43.3Niños 0-5</v>
      </c>
      <c r="F392" s="41" t="str">
        <f t="shared" si="20"/>
        <v>CTC021Q43.3FMNiños 0-5</v>
      </c>
      <c r="G392" s="41" t="s">
        <v>696</v>
      </c>
      <c r="H392" s="41" t="s">
        <v>430</v>
      </c>
    </row>
    <row r="393" spans="1:8">
      <c r="A393" s="41" t="s">
        <v>331</v>
      </c>
      <c r="B393" s="39" t="s">
        <v>227</v>
      </c>
      <c r="C393" s="39" t="s">
        <v>228</v>
      </c>
      <c r="D393" s="41" t="str">
        <f t="shared" si="18"/>
        <v>CTC021Q43.4FM</v>
      </c>
      <c r="E393" s="41" t="str">
        <f t="shared" si="19"/>
        <v>CTC021Q43.4Niños 0-5</v>
      </c>
      <c r="F393" s="41" t="str">
        <f t="shared" si="20"/>
        <v>CTC021Q43.4FMNiños 0-5</v>
      </c>
      <c r="G393" s="41" t="s">
        <v>696</v>
      </c>
      <c r="H393" s="41" t="s">
        <v>430</v>
      </c>
    </row>
    <row r="394" spans="1:8">
      <c r="A394" s="41" t="s">
        <v>332</v>
      </c>
      <c r="B394" s="39" t="s">
        <v>227</v>
      </c>
      <c r="C394" s="39" t="s">
        <v>228</v>
      </c>
      <c r="D394" s="41" t="str">
        <f t="shared" si="18"/>
        <v>CTC021Q42.0FM</v>
      </c>
      <c r="E394" s="41" t="str">
        <f t="shared" si="19"/>
        <v>CTC021Q42.0Niños 0-5</v>
      </c>
      <c r="F394" s="41" t="str">
        <f t="shared" si="20"/>
        <v>CTC021Q42.0FMNiños 0-5</v>
      </c>
      <c r="G394" s="41" t="s">
        <v>696</v>
      </c>
      <c r="H394" s="41" t="s">
        <v>430</v>
      </c>
    </row>
    <row r="395" spans="1:8">
      <c r="A395" s="41" t="s">
        <v>333</v>
      </c>
      <c r="B395" s="39" t="s">
        <v>227</v>
      </c>
      <c r="C395" s="39" t="s">
        <v>228</v>
      </c>
      <c r="D395" s="41" t="str">
        <f t="shared" si="18"/>
        <v>CTC021Q42.1FM</v>
      </c>
      <c r="E395" s="41" t="str">
        <f t="shared" si="19"/>
        <v>CTC021Q42.1Niños 0-5</v>
      </c>
      <c r="F395" s="41" t="str">
        <f t="shared" si="20"/>
        <v>CTC021Q42.1FMNiños 0-5</v>
      </c>
      <c r="G395" s="41" t="s">
        <v>696</v>
      </c>
      <c r="H395" s="41" t="s">
        <v>430</v>
      </c>
    </row>
    <row r="396" spans="1:8">
      <c r="A396" s="41" t="s">
        <v>334</v>
      </c>
      <c r="B396" s="39" t="s">
        <v>227</v>
      </c>
      <c r="C396" s="39" t="s">
        <v>228</v>
      </c>
      <c r="D396" s="41" t="str">
        <f t="shared" si="18"/>
        <v>CTC021Q42.2FM</v>
      </c>
      <c r="E396" s="41" t="str">
        <f t="shared" si="19"/>
        <v>CTC021Q42.2Niños 0-5</v>
      </c>
      <c r="F396" s="41" t="str">
        <f t="shared" si="20"/>
        <v>CTC021Q42.2FMNiños 0-5</v>
      </c>
      <c r="G396" s="41" t="s">
        <v>696</v>
      </c>
      <c r="H396" s="41" t="s">
        <v>430</v>
      </c>
    </row>
    <row r="397" spans="1:8">
      <c r="A397" s="41" t="s">
        <v>336</v>
      </c>
      <c r="B397" s="39" t="s">
        <v>227</v>
      </c>
      <c r="C397" s="39" t="s">
        <v>228</v>
      </c>
      <c r="D397" s="41" t="str">
        <f t="shared" si="18"/>
        <v>CTC021Q42.3FM</v>
      </c>
      <c r="E397" s="41" t="str">
        <f t="shared" si="19"/>
        <v>CTC021Q42.3Niños 0-5</v>
      </c>
      <c r="F397" s="41" t="str">
        <f t="shared" si="20"/>
        <v>CTC021Q42.3FMNiños 0-5</v>
      </c>
      <c r="G397" s="41" t="s">
        <v>696</v>
      </c>
      <c r="H397" s="41" t="s">
        <v>430</v>
      </c>
    </row>
    <row r="398" spans="1:8">
      <c r="A398" s="41" t="s">
        <v>337</v>
      </c>
      <c r="B398" s="39" t="s">
        <v>227</v>
      </c>
      <c r="C398" s="39" t="s">
        <v>228</v>
      </c>
      <c r="D398" s="41" t="str">
        <f t="shared" si="18"/>
        <v>CTC021Q03FM</v>
      </c>
      <c r="E398" s="41" t="str">
        <f t="shared" si="19"/>
        <v>CTC021Q03Niños 0-5</v>
      </c>
      <c r="F398" s="41" t="str">
        <f t="shared" si="20"/>
        <v>CTC021Q03FMNiños 0-5</v>
      </c>
      <c r="G398" s="41" t="s">
        <v>696</v>
      </c>
      <c r="H398" s="41" t="s">
        <v>430</v>
      </c>
    </row>
    <row r="399" spans="1:8">
      <c r="A399" s="41" t="s">
        <v>338</v>
      </c>
      <c r="B399" s="39" t="s">
        <v>227</v>
      </c>
      <c r="C399" s="39" t="s">
        <v>228</v>
      </c>
      <c r="D399" s="41" t="str">
        <f t="shared" si="18"/>
        <v>CTC021Q05FM</v>
      </c>
      <c r="E399" s="41" t="str">
        <f t="shared" si="19"/>
        <v>CTC021Q05Niños 0-5</v>
      </c>
      <c r="F399" s="41" t="str">
        <f t="shared" si="20"/>
        <v>CTC021Q05FMNiños 0-5</v>
      </c>
      <c r="G399" s="41" t="s">
        <v>696</v>
      </c>
      <c r="H399" s="41" t="s">
        <v>430</v>
      </c>
    </row>
    <row r="400" spans="1:8">
      <c r="A400" s="41" t="s">
        <v>339</v>
      </c>
      <c r="B400" s="39" t="s">
        <v>227</v>
      </c>
      <c r="C400" s="39" t="s">
        <v>228</v>
      </c>
      <c r="D400" s="41" t="str">
        <f t="shared" si="18"/>
        <v>CTC021P07.0FM</v>
      </c>
      <c r="E400" s="41" t="str">
        <f t="shared" si="19"/>
        <v>CTC021P07.0Niños 0-5</v>
      </c>
      <c r="F400" s="41" t="str">
        <f t="shared" si="20"/>
        <v>CTC021P07.0FMNiños 0-5</v>
      </c>
      <c r="G400" s="41" t="s">
        <v>696</v>
      </c>
      <c r="H400" s="41" t="s">
        <v>430</v>
      </c>
    </row>
    <row r="401" spans="1:8">
      <c r="A401" s="41" t="s">
        <v>340</v>
      </c>
      <c r="B401" s="39" t="s">
        <v>227</v>
      </c>
      <c r="C401" s="39" t="s">
        <v>228</v>
      </c>
      <c r="D401" s="41" t="str">
        <f t="shared" si="18"/>
        <v>CTC021P07.2FM</v>
      </c>
      <c r="E401" s="41" t="str">
        <f t="shared" si="19"/>
        <v>CTC021P07.2Niños 0-5</v>
      </c>
      <c r="F401" s="41" t="str">
        <f t="shared" si="20"/>
        <v>CTC021P07.2FMNiños 0-5</v>
      </c>
      <c r="G401" s="41" t="s">
        <v>696</v>
      </c>
      <c r="H401" s="41" t="s">
        <v>430</v>
      </c>
    </row>
    <row r="402" spans="1:8">
      <c r="A402" s="41" t="s">
        <v>431</v>
      </c>
      <c r="B402" s="39" t="s">
        <v>227</v>
      </c>
      <c r="C402" s="39" t="s">
        <v>228</v>
      </c>
      <c r="D402" s="41" t="str">
        <f t="shared" si="18"/>
        <v>ITE013P07.0FM</v>
      </c>
      <c r="E402" s="41" t="str">
        <f t="shared" si="19"/>
        <v>ITE013P07.0Niños 0-5</v>
      </c>
      <c r="F402" s="41" t="str">
        <f t="shared" si="20"/>
        <v>ITE013P07.0FMNiños 0-5</v>
      </c>
      <c r="G402" s="41" t="s">
        <v>697</v>
      </c>
      <c r="H402" s="41" t="s">
        <v>430</v>
      </c>
    </row>
    <row r="403" spans="1:8">
      <c r="A403" s="41" t="s">
        <v>698</v>
      </c>
      <c r="B403" s="39" t="s">
        <v>227</v>
      </c>
      <c r="C403" s="39" t="s">
        <v>228</v>
      </c>
      <c r="D403" s="41" t="str">
        <f t="shared" si="18"/>
        <v>ITE013P07.2FM</v>
      </c>
      <c r="E403" s="41" t="str">
        <f t="shared" si="19"/>
        <v>ITE013P07.2Niños 0-5</v>
      </c>
      <c r="F403" s="41" t="str">
        <f t="shared" si="20"/>
        <v>ITE013P07.2FMNiños 0-5</v>
      </c>
      <c r="G403" s="41" t="s">
        <v>697</v>
      </c>
      <c r="H403" s="41" t="s">
        <v>430</v>
      </c>
    </row>
    <row r="404" spans="1:8">
      <c r="A404" s="41" t="s">
        <v>432</v>
      </c>
      <c r="B404" s="39" t="s">
        <v>227</v>
      </c>
      <c r="C404" s="39" t="s">
        <v>228</v>
      </c>
      <c r="D404" s="41" t="str">
        <f t="shared" si="18"/>
        <v>ITE014P07.0FM</v>
      </c>
      <c r="E404" s="41" t="str">
        <f t="shared" si="19"/>
        <v>ITE014P07.0Niños 0-5</v>
      </c>
      <c r="F404" s="41" t="str">
        <f t="shared" si="20"/>
        <v>ITE014P07.0FMNiños 0-5</v>
      </c>
      <c r="G404" s="41" t="s">
        <v>699</v>
      </c>
      <c r="H404" s="41" t="s">
        <v>430</v>
      </c>
    </row>
    <row r="405" spans="1:8">
      <c r="A405" s="41" t="s">
        <v>433</v>
      </c>
      <c r="B405" s="39" t="s">
        <v>227</v>
      </c>
      <c r="C405" s="39" t="s">
        <v>228</v>
      </c>
      <c r="D405" s="41" t="str">
        <f t="shared" si="18"/>
        <v>ITE014P07.2FM</v>
      </c>
      <c r="E405" s="41" t="str">
        <f t="shared" si="19"/>
        <v>ITE014P07.2Niños 0-5</v>
      </c>
      <c r="F405" s="41" t="str">
        <f t="shared" si="20"/>
        <v>ITE014P07.2FMNiños 0-5</v>
      </c>
      <c r="G405" s="41" t="s">
        <v>699</v>
      </c>
      <c r="H405" s="41" t="s">
        <v>430</v>
      </c>
    </row>
    <row r="406" spans="1:8">
      <c r="A406" s="41" t="s">
        <v>320</v>
      </c>
      <c r="B406" s="39" t="s">
        <v>227</v>
      </c>
      <c r="C406" s="39" t="s">
        <v>238</v>
      </c>
      <c r="D406" s="41" t="str">
        <f t="shared" si="18"/>
        <v>CTC020P07.0HCPB</v>
      </c>
      <c r="E406" s="41" t="str">
        <f t="shared" si="19"/>
        <v>CTC020P07.0Niños 0-5</v>
      </c>
      <c r="F406" s="41" t="str">
        <f t="shared" si="20"/>
        <v>CTC020P07.0HCPBNiños 0-5</v>
      </c>
      <c r="G406" s="41" t="s">
        <v>695</v>
      </c>
      <c r="H406" s="41" t="s">
        <v>430</v>
      </c>
    </row>
    <row r="407" spans="1:8">
      <c r="A407" s="41" t="s">
        <v>322</v>
      </c>
      <c r="B407" s="39" t="s">
        <v>227</v>
      </c>
      <c r="C407" s="39" t="s">
        <v>238</v>
      </c>
      <c r="D407" s="41" t="str">
        <f t="shared" si="18"/>
        <v>CTC020P07.2HCPB</v>
      </c>
      <c r="E407" s="41" t="str">
        <f t="shared" si="19"/>
        <v>CTC020P07.2Niños 0-5</v>
      </c>
      <c r="F407" s="41" t="str">
        <f t="shared" si="20"/>
        <v>CTC020P07.2HCPBNiños 0-5</v>
      </c>
      <c r="G407" s="41" t="s">
        <v>695</v>
      </c>
      <c r="H407" s="41" t="s">
        <v>430</v>
      </c>
    </row>
    <row r="408" spans="1:8">
      <c r="A408" s="41" t="s">
        <v>323</v>
      </c>
      <c r="B408" s="39" t="s">
        <v>227</v>
      </c>
      <c r="C408" s="39" t="s">
        <v>238</v>
      </c>
      <c r="D408" s="41" t="str">
        <f t="shared" si="18"/>
        <v>CTC021Q39.0HCPB</v>
      </c>
      <c r="E408" s="41" t="str">
        <f t="shared" si="19"/>
        <v>CTC021Q39.0Niños 0-5</v>
      </c>
      <c r="F408" s="41" t="str">
        <f t="shared" si="20"/>
        <v>CTC021Q39.0HCPBNiños 0-5</v>
      </c>
      <c r="G408" s="41" t="s">
        <v>696</v>
      </c>
      <c r="H408" s="41" t="s">
        <v>430</v>
      </c>
    </row>
    <row r="409" spans="1:8">
      <c r="A409" s="41" t="s">
        <v>324</v>
      </c>
      <c r="B409" s="39" t="s">
        <v>227</v>
      </c>
      <c r="C409" s="39" t="s">
        <v>238</v>
      </c>
      <c r="D409" s="41" t="str">
        <f t="shared" si="18"/>
        <v>CTC021Q39.1HCPB</v>
      </c>
      <c r="E409" s="41" t="str">
        <f t="shared" si="19"/>
        <v>CTC021Q39.1Niños 0-5</v>
      </c>
      <c r="F409" s="41" t="str">
        <f t="shared" si="20"/>
        <v>CTC021Q39.1HCPBNiños 0-5</v>
      </c>
      <c r="G409" s="41" t="s">
        <v>696</v>
      </c>
      <c r="H409" s="41" t="s">
        <v>430</v>
      </c>
    </row>
    <row r="410" spans="1:8">
      <c r="A410" s="41" t="s">
        <v>325</v>
      </c>
      <c r="B410" s="39" t="s">
        <v>227</v>
      </c>
      <c r="C410" s="39" t="s">
        <v>238</v>
      </c>
      <c r="D410" s="41" t="str">
        <f t="shared" si="18"/>
        <v>CTC021Q39.2HCPB</v>
      </c>
      <c r="E410" s="41" t="str">
        <f t="shared" si="19"/>
        <v>CTC021Q39.2Niños 0-5</v>
      </c>
      <c r="F410" s="41" t="str">
        <f t="shared" si="20"/>
        <v>CTC021Q39.2HCPBNiños 0-5</v>
      </c>
      <c r="G410" s="41" t="s">
        <v>696</v>
      </c>
      <c r="H410" s="41" t="s">
        <v>430</v>
      </c>
    </row>
    <row r="411" spans="1:8">
      <c r="A411" s="41" t="s">
        <v>327</v>
      </c>
      <c r="B411" s="39" t="s">
        <v>227</v>
      </c>
      <c r="C411" s="39" t="s">
        <v>238</v>
      </c>
      <c r="D411" s="41" t="str">
        <f t="shared" si="18"/>
        <v>CTC021Q79.3HCPB</v>
      </c>
      <c r="E411" s="41" t="str">
        <f t="shared" si="19"/>
        <v>CTC021Q79.3Niños 0-5</v>
      </c>
      <c r="F411" s="41" t="str">
        <f t="shared" si="20"/>
        <v>CTC021Q79.3HCPBNiños 0-5</v>
      </c>
      <c r="G411" s="41" t="s">
        <v>696</v>
      </c>
      <c r="H411" s="41" t="s">
        <v>430</v>
      </c>
    </row>
    <row r="412" spans="1:8">
      <c r="A412" s="41" t="s">
        <v>328</v>
      </c>
      <c r="B412" s="39" t="s">
        <v>227</v>
      </c>
      <c r="C412" s="39" t="s">
        <v>238</v>
      </c>
      <c r="D412" s="41" t="str">
        <f t="shared" si="18"/>
        <v>CTC021Q41HCPB</v>
      </c>
      <c r="E412" s="41" t="str">
        <f t="shared" si="19"/>
        <v>CTC021Q41Niños 0-5</v>
      </c>
      <c r="F412" s="41" t="str">
        <f t="shared" si="20"/>
        <v>CTC021Q41HCPBNiños 0-5</v>
      </c>
      <c r="G412" s="41" t="s">
        <v>696</v>
      </c>
      <c r="H412" s="41" t="s">
        <v>430</v>
      </c>
    </row>
    <row r="413" spans="1:8">
      <c r="A413" s="41" t="s">
        <v>329</v>
      </c>
      <c r="B413" s="39" t="s">
        <v>227</v>
      </c>
      <c r="C413" s="39" t="s">
        <v>238</v>
      </c>
      <c r="D413" s="41" t="str">
        <f t="shared" si="18"/>
        <v>CTC021Q42HCPB</v>
      </c>
      <c r="E413" s="41" t="str">
        <f t="shared" si="19"/>
        <v>CTC021Q42Niños 0-5</v>
      </c>
      <c r="F413" s="41" t="str">
        <f t="shared" si="20"/>
        <v>CTC021Q42HCPBNiños 0-5</v>
      </c>
      <c r="G413" s="41" t="s">
        <v>696</v>
      </c>
      <c r="H413" s="41" t="s">
        <v>430</v>
      </c>
    </row>
    <row r="414" spans="1:8">
      <c r="A414" s="41" t="s">
        <v>330</v>
      </c>
      <c r="B414" s="39" t="s">
        <v>227</v>
      </c>
      <c r="C414" s="39" t="s">
        <v>238</v>
      </c>
      <c r="D414" s="41" t="str">
        <f t="shared" si="18"/>
        <v>CTC021Q43.3HCPB</v>
      </c>
      <c r="E414" s="41" t="str">
        <f t="shared" si="19"/>
        <v>CTC021Q43.3Niños 0-5</v>
      </c>
      <c r="F414" s="41" t="str">
        <f t="shared" si="20"/>
        <v>CTC021Q43.3HCPBNiños 0-5</v>
      </c>
      <c r="G414" s="41" t="s">
        <v>696</v>
      </c>
      <c r="H414" s="41" t="s">
        <v>430</v>
      </c>
    </row>
    <row r="415" spans="1:8">
      <c r="A415" s="41" t="s">
        <v>331</v>
      </c>
      <c r="B415" s="39" t="s">
        <v>227</v>
      </c>
      <c r="C415" s="39" t="s">
        <v>238</v>
      </c>
      <c r="D415" s="41" t="str">
        <f t="shared" si="18"/>
        <v>CTC021Q43.4HCPB</v>
      </c>
      <c r="E415" s="41" t="str">
        <f t="shared" si="19"/>
        <v>CTC021Q43.4Niños 0-5</v>
      </c>
      <c r="F415" s="41" t="str">
        <f t="shared" si="20"/>
        <v>CTC021Q43.4HCPBNiños 0-5</v>
      </c>
      <c r="G415" s="41" t="s">
        <v>696</v>
      </c>
      <c r="H415" s="41" t="s">
        <v>430</v>
      </c>
    </row>
    <row r="416" spans="1:8">
      <c r="A416" s="41" t="s">
        <v>332</v>
      </c>
      <c r="B416" s="39" t="s">
        <v>227</v>
      </c>
      <c r="C416" s="39" t="s">
        <v>238</v>
      </c>
      <c r="D416" s="41" t="str">
        <f t="shared" si="18"/>
        <v>CTC021Q42.0HCPB</v>
      </c>
      <c r="E416" s="41" t="str">
        <f t="shared" si="19"/>
        <v>CTC021Q42.0Niños 0-5</v>
      </c>
      <c r="F416" s="41" t="str">
        <f t="shared" si="20"/>
        <v>CTC021Q42.0HCPBNiños 0-5</v>
      </c>
      <c r="G416" s="41" t="s">
        <v>696</v>
      </c>
      <c r="H416" s="41" t="s">
        <v>430</v>
      </c>
    </row>
    <row r="417" spans="1:8">
      <c r="A417" s="41" t="s">
        <v>333</v>
      </c>
      <c r="B417" s="39" t="s">
        <v>227</v>
      </c>
      <c r="C417" s="39" t="s">
        <v>238</v>
      </c>
      <c r="D417" s="41" t="str">
        <f t="shared" si="18"/>
        <v>CTC021Q42.1HCPB</v>
      </c>
      <c r="E417" s="41" t="str">
        <f t="shared" si="19"/>
        <v>CTC021Q42.1Niños 0-5</v>
      </c>
      <c r="F417" s="41" t="str">
        <f t="shared" si="20"/>
        <v>CTC021Q42.1HCPBNiños 0-5</v>
      </c>
      <c r="G417" s="41" t="s">
        <v>696</v>
      </c>
      <c r="H417" s="41" t="s">
        <v>430</v>
      </c>
    </row>
    <row r="418" spans="1:8">
      <c r="A418" s="41" t="s">
        <v>334</v>
      </c>
      <c r="B418" s="39" t="s">
        <v>227</v>
      </c>
      <c r="C418" s="39" t="s">
        <v>238</v>
      </c>
      <c r="D418" s="41" t="str">
        <f t="shared" si="18"/>
        <v>CTC021Q42.2HCPB</v>
      </c>
      <c r="E418" s="41" t="str">
        <f t="shared" si="19"/>
        <v>CTC021Q42.2Niños 0-5</v>
      </c>
      <c r="F418" s="41" t="str">
        <f t="shared" si="20"/>
        <v>CTC021Q42.2HCPBNiños 0-5</v>
      </c>
      <c r="G418" s="41" t="s">
        <v>696</v>
      </c>
      <c r="H418" s="41" t="s">
        <v>430</v>
      </c>
    </row>
    <row r="419" spans="1:8">
      <c r="A419" s="41" t="s">
        <v>336</v>
      </c>
      <c r="B419" s="39" t="s">
        <v>227</v>
      </c>
      <c r="C419" s="39" t="s">
        <v>238</v>
      </c>
      <c r="D419" s="41" t="str">
        <f t="shared" si="18"/>
        <v>CTC021Q42.3HCPB</v>
      </c>
      <c r="E419" s="41" t="str">
        <f t="shared" si="19"/>
        <v>CTC021Q42.3Niños 0-5</v>
      </c>
      <c r="F419" s="41" t="str">
        <f t="shared" si="20"/>
        <v>CTC021Q42.3HCPBNiños 0-5</v>
      </c>
      <c r="G419" s="41" t="s">
        <v>696</v>
      </c>
      <c r="H419" s="41" t="s">
        <v>430</v>
      </c>
    </row>
    <row r="420" spans="1:8">
      <c r="A420" s="41" t="s">
        <v>337</v>
      </c>
      <c r="B420" s="39" t="s">
        <v>227</v>
      </c>
      <c r="C420" s="39" t="s">
        <v>238</v>
      </c>
      <c r="D420" s="41" t="str">
        <f t="shared" si="18"/>
        <v>CTC021Q03HCPB</v>
      </c>
      <c r="E420" s="41" t="str">
        <f t="shared" si="19"/>
        <v>CTC021Q03Niños 0-5</v>
      </c>
      <c r="F420" s="41" t="str">
        <f t="shared" si="20"/>
        <v>CTC021Q03HCPBNiños 0-5</v>
      </c>
      <c r="G420" s="41" t="s">
        <v>696</v>
      </c>
      <c r="H420" s="41" t="s">
        <v>430</v>
      </c>
    </row>
    <row r="421" spans="1:8">
      <c r="A421" s="41" t="s">
        <v>338</v>
      </c>
      <c r="B421" s="39" t="s">
        <v>227</v>
      </c>
      <c r="C421" s="39" t="s">
        <v>238</v>
      </c>
      <c r="D421" s="41" t="str">
        <f t="shared" si="18"/>
        <v>CTC021Q05HCPB</v>
      </c>
      <c r="E421" s="41" t="str">
        <f t="shared" si="19"/>
        <v>CTC021Q05Niños 0-5</v>
      </c>
      <c r="F421" s="41" t="str">
        <f t="shared" si="20"/>
        <v>CTC021Q05HCPBNiños 0-5</v>
      </c>
      <c r="G421" s="41" t="s">
        <v>696</v>
      </c>
      <c r="H421" s="41" t="s">
        <v>430</v>
      </c>
    </row>
    <row r="422" spans="1:8">
      <c r="A422" s="41" t="s">
        <v>339</v>
      </c>
      <c r="B422" s="39" t="s">
        <v>227</v>
      </c>
      <c r="C422" s="39" t="s">
        <v>238</v>
      </c>
      <c r="D422" s="41" t="str">
        <f t="shared" si="18"/>
        <v>CTC021P07.0HCPB</v>
      </c>
      <c r="E422" s="41" t="str">
        <f t="shared" si="19"/>
        <v>CTC021P07.0Niños 0-5</v>
      </c>
      <c r="F422" s="41" t="str">
        <f t="shared" si="20"/>
        <v>CTC021P07.0HCPBNiños 0-5</v>
      </c>
      <c r="G422" s="41" t="s">
        <v>696</v>
      </c>
      <c r="H422" s="41" t="s">
        <v>430</v>
      </c>
    </row>
    <row r="423" spans="1:8">
      <c r="A423" s="41" t="s">
        <v>340</v>
      </c>
      <c r="B423" s="39" t="s">
        <v>227</v>
      </c>
      <c r="C423" s="39" t="s">
        <v>238</v>
      </c>
      <c r="D423" s="41" t="str">
        <f t="shared" si="18"/>
        <v>CTC021P07.2HCPB</v>
      </c>
      <c r="E423" s="41" t="str">
        <f t="shared" si="19"/>
        <v>CTC021P07.2Niños 0-5</v>
      </c>
      <c r="F423" s="41" t="str">
        <f t="shared" si="20"/>
        <v>CTC021P07.2HCPBNiños 0-5</v>
      </c>
      <c r="G423" s="41" t="s">
        <v>696</v>
      </c>
      <c r="H423" s="41" t="s">
        <v>430</v>
      </c>
    </row>
    <row r="424" spans="1:8">
      <c r="A424" s="41" t="s">
        <v>431</v>
      </c>
      <c r="B424" s="39" t="s">
        <v>227</v>
      </c>
      <c r="C424" s="39" t="s">
        <v>238</v>
      </c>
      <c r="D424" s="41" t="str">
        <f t="shared" si="18"/>
        <v>ITE013P07.0HCPB</v>
      </c>
      <c r="E424" s="41" t="str">
        <f t="shared" si="19"/>
        <v>ITE013P07.0Niños 0-5</v>
      </c>
      <c r="F424" s="41" t="str">
        <f t="shared" si="20"/>
        <v>ITE013P07.0HCPBNiños 0-5</v>
      </c>
      <c r="G424" s="41" t="s">
        <v>697</v>
      </c>
      <c r="H424" s="41" t="s">
        <v>430</v>
      </c>
    </row>
    <row r="425" spans="1:8">
      <c r="A425" s="41" t="s">
        <v>698</v>
      </c>
      <c r="B425" s="39" t="s">
        <v>227</v>
      </c>
      <c r="C425" s="39" t="s">
        <v>238</v>
      </c>
      <c r="D425" s="41" t="str">
        <f t="shared" si="18"/>
        <v>ITE013P07.2HCPB</v>
      </c>
      <c r="E425" s="41" t="str">
        <f t="shared" si="19"/>
        <v>ITE013P07.2Niños 0-5</v>
      </c>
      <c r="F425" s="41" t="str">
        <f t="shared" si="20"/>
        <v>ITE013P07.2HCPBNiños 0-5</v>
      </c>
      <c r="G425" s="41" t="s">
        <v>697</v>
      </c>
      <c r="H425" s="41" t="s">
        <v>430</v>
      </c>
    </row>
    <row r="426" spans="1:8">
      <c r="A426" s="41" t="s">
        <v>432</v>
      </c>
      <c r="B426" s="39" t="s">
        <v>227</v>
      </c>
      <c r="C426" s="39" t="s">
        <v>238</v>
      </c>
      <c r="D426" s="41" t="str">
        <f t="shared" si="18"/>
        <v>ITE014P07.0HCPB</v>
      </c>
      <c r="E426" s="41" t="str">
        <f t="shared" si="19"/>
        <v>ITE014P07.0Niños 0-5</v>
      </c>
      <c r="F426" s="41" t="str">
        <f t="shared" si="20"/>
        <v>ITE014P07.0HCPBNiños 0-5</v>
      </c>
      <c r="G426" s="41" t="s">
        <v>699</v>
      </c>
      <c r="H426" s="41" t="s">
        <v>430</v>
      </c>
    </row>
    <row r="427" spans="1:8">
      <c r="A427" s="41" t="s">
        <v>433</v>
      </c>
      <c r="B427" s="39" t="s">
        <v>227</v>
      </c>
      <c r="C427" s="39" t="s">
        <v>238</v>
      </c>
      <c r="D427" s="41" t="str">
        <f t="shared" si="18"/>
        <v>ITE014P07.2HCPB</v>
      </c>
      <c r="E427" s="41" t="str">
        <f t="shared" si="19"/>
        <v>ITE014P07.2Niños 0-5</v>
      </c>
      <c r="F427" s="41" t="str">
        <f t="shared" si="20"/>
        <v>ITE014P07.2HCPBNiños 0-5</v>
      </c>
      <c r="G427" s="41" t="s">
        <v>699</v>
      </c>
      <c r="H427" s="41" t="s">
        <v>430</v>
      </c>
    </row>
    <row r="428" spans="1:8">
      <c r="A428" s="41" t="s">
        <v>116</v>
      </c>
      <c r="B428" s="39" t="s">
        <v>231</v>
      </c>
      <c r="C428" s="39" t="s">
        <v>226</v>
      </c>
      <c r="D428" s="41" t="str">
        <f t="shared" si="18"/>
        <v>CAW006A97HC</v>
      </c>
      <c r="E428" s="41" t="str">
        <f t="shared" si="19"/>
        <v>CAW006A97Niños 6-9</v>
      </c>
      <c r="F428" s="41" t="str">
        <f t="shared" si="20"/>
        <v>CAW006A97HCNiños 6-9</v>
      </c>
      <c r="G428" s="41" t="s">
        <v>651</v>
      </c>
      <c r="H428" s="41" t="s">
        <v>192</v>
      </c>
    </row>
    <row r="429" spans="1:8">
      <c r="A429" s="41" t="s">
        <v>117</v>
      </c>
      <c r="B429" s="39" t="s">
        <v>231</v>
      </c>
      <c r="C429" s="39" t="s">
        <v>226</v>
      </c>
      <c r="D429" s="41" t="str">
        <f t="shared" si="18"/>
        <v>CAW006A75HC</v>
      </c>
      <c r="E429" s="41" t="str">
        <f t="shared" si="19"/>
        <v>CAW006A75Niños 6-9</v>
      </c>
      <c r="F429" s="41" t="str">
        <f t="shared" si="20"/>
        <v>CAW006A75HCNiños 6-9</v>
      </c>
      <c r="G429" s="41" t="s">
        <v>651</v>
      </c>
      <c r="H429" s="41" t="s">
        <v>192</v>
      </c>
    </row>
    <row r="430" spans="1:8">
      <c r="A430" s="41" t="s">
        <v>118</v>
      </c>
      <c r="B430" s="39" t="s">
        <v>231</v>
      </c>
      <c r="C430" s="39" t="s">
        <v>226</v>
      </c>
      <c r="D430" s="41" t="str">
        <f t="shared" si="18"/>
        <v>CAW006B72HC</v>
      </c>
      <c r="E430" s="41" t="str">
        <f t="shared" si="19"/>
        <v>CAW006B72Niños 6-9</v>
      </c>
      <c r="F430" s="41" t="str">
        <f t="shared" si="20"/>
        <v>CAW006B72HCNiños 6-9</v>
      </c>
      <c r="G430" s="41" t="s">
        <v>651</v>
      </c>
      <c r="H430" s="41" t="s">
        <v>192</v>
      </c>
    </row>
    <row r="431" spans="1:8">
      <c r="A431" s="41" t="s">
        <v>119</v>
      </c>
      <c r="B431" s="39" t="s">
        <v>231</v>
      </c>
      <c r="C431" s="39" t="s">
        <v>226</v>
      </c>
      <c r="D431" s="41" t="str">
        <f t="shared" si="18"/>
        <v>CAW006B73HC</v>
      </c>
      <c r="E431" s="41" t="str">
        <f t="shared" si="19"/>
        <v>CAW006B73Niños 6-9</v>
      </c>
      <c r="F431" s="41" t="str">
        <f t="shared" si="20"/>
        <v>CAW006B73HCNiños 6-9</v>
      </c>
      <c r="G431" s="41" t="s">
        <v>651</v>
      </c>
      <c r="H431" s="41" t="s">
        <v>192</v>
      </c>
    </row>
    <row r="432" spans="1:8">
      <c r="A432" s="41" t="s">
        <v>120</v>
      </c>
      <c r="B432" s="39" t="s">
        <v>231</v>
      </c>
      <c r="C432" s="39" t="s">
        <v>226</v>
      </c>
      <c r="D432" s="41" t="str">
        <f t="shared" si="18"/>
        <v>CAW006B80HC</v>
      </c>
      <c r="E432" s="41" t="str">
        <f t="shared" si="19"/>
        <v>CAW006B80Niños 6-9</v>
      </c>
      <c r="F432" s="41" t="str">
        <f t="shared" si="20"/>
        <v>CAW006B80HCNiños 6-9</v>
      </c>
      <c r="G432" s="41" t="s">
        <v>651</v>
      </c>
      <c r="H432" s="41" t="s">
        <v>192</v>
      </c>
    </row>
    <row r="433" spans="1:8">
      <c r="A433" s="41" t="s">
        <v>121</v>
      </c>
      <c r="B433" s="39" t="s">
        <v>231</v>
      </c>
      <c r="C433" s="39" t="s">
        <v>226</v>
      </c>
      <c r="D433" s="41" t="str">
        <f t="shared" si="18"/>
        <v>CAW006B78HC</v>
      </c>
      <c r="E433" s="41" t="str">
        <f t="shared" si="19"/>
        <v>CAW006B78Niños 6-9</v>
      </c>
      <c r="F433" s="41" t="str">
        <f t="shared" si="20"/>
        <v>CAW006B78HCNiños 6-9</v>
      </c>
      <c r="G433" s="41" t="s">
        <v>651</v>
      </c>
      <c r="H433" s="41" t="s">
        <v>192</v>
      </c>
    </row>
    <row r="434" spans="1:8">
      <c r="A434" s="41" t="s">
        <v>122</v>
      </c>
      <c r="B434" s="39" t="s">
        <v>231</v>
      </c>
      <c r="C434" s="39" t="s">
        <v>226</v>
      </c>
      <c r="D434" s="41" t="str">
        <f t="shared" si="18"/>
        <v>CAW006B81HC</v>
      </c>
      <c r="E434" s="41" t="str">
        <f t="shared" si="19"/>
        <v>CAW006B81Niños 6-9</v>
      </c>
      <c r="F434" s="41" t="str">
        <f t="shared" si="20"/>
        <v>CAW006B81HCNiños 6-9</v>
      </c>
      <c r="G434" s="41" t="s">
        <v>651</v>
      </c>
      <c r="H434" s="41" t="s">
        <v>192</v>
      </c>
    </row>
    <row r="435" spans="1:8">
      <c r="A435" s="41" t="s">
        <v>123</v>
      </c>
      <c r="B435" s="39" t="s">
        <v>231</v>
      </c>
      <c r="C435" s="39" t="s">
        <v>226</v>
      </c>
      <c r="D435" s="41" t="str">
        <f t="shared" si="18"/>
        <v>CAW006B82HC</v>
      </c>
      <c r="E435" s="41" t="str">
        <f t="shared" si="19"/>
        <v>CAW006B82Niños 6-9</v>
      </c>
      <c r="F435" s="41" t="str">
        <f t="shared" si="20"/>
        <v>CAW006B82HCNiños 6-9</v>
      </c>
      <c r="G435" s="41" t="s">
        <v>651</v>
      </c>
      <c r="H435" s="41" t="s">
        <v>192</v>
      </c>
    </row>
    <row r="436" spans="1:8">
      <c r="A436" s="41" t="s">
        <v>124</v>
      </c>
      <c r="B436" s="39" t="s">
        <v>231</v>
      </c>
      <c r="C436" s="39" t="s">
        <v>226</v>
      </c>
      <c r="D436" s="41" t="str">
        <f t="shared" si="18"/>
        <v>CAW006D96HC</v>
      </c>
      <c r="E436" s="41" t="str">
        <f t="shared" si="19"/>
        <v>CAW006D96Niños 6-9</v>
      </c>
      <c r="F436" s="41" t="str">
        <f t="shared" si="20"/>
        <v>CAW006D96HCNiños 6-9</v>
      </c>
      <c r="G436" s="41" t="s">
        <v>651</v>
      </c>
      <c r="H436" s="41" t="s">
        <v>192</v>
      </c>
    </row>
    <row r="437" spans="1:8">
      <c r="A437" s="41" t="s">
        <v>125</v>
      </c>
      <c r="B437" s="39" t="s">
        <v>231</v>
      </c>
      <c r="C437" s="39" t="s">
        <v>226</v>
      </c>
      <c r="D437" s="41" t="str">
        <f t="shared" si="18"/>
        <v>CAW006D61HC</v>
      </c>
      <c r="E437" s="41" t="str">
        <f t="shared" si="19"/>
        <v>CAW006D61Niños 6-9</v>
      </c>
      <c r="F437" s="41" t="str">
        <f t="shared" si="20"/>
        <v>CAW006D61HCNiños 6-9</v>
      </c>
      <c r="G437" s="41" t="s">
        <v>651</v>
      </c>
      <c r="H437" s="41" t="s">
        <v>192</v>
      </c>
    </row>
    <row r="438" spans="1:8">
      <c r="A438" s="41" t="s">
        <v>126</v>
      </c>
      <c r="B438" s="39" t="s">
        <v>231</v>
      </c>
      <c r="C438" s="39" t="s">
        <v>226</v>
      </c>
      <c r="D438" s="41" t="str">
        <f t="shared" si="18"/>
        <v>CAW006D62HC</v>
      </c>
      <c r="E438" s="41" t="str">
        <f t="shared" si="19"/>
        <v>CAW006D62Niños 6-9</v>
      </c>
      <c r="F438" s="41" t="str">
        <f t="shared" si="20"/>
        <v>CAW006D62HCNiños 6-9</v>
      </c>
      <c r="G438" s="41" t="s">
        <v>651</v>
      </c>
      <c r="H438" s="41" t="s">
        <v>192</v>
      </c>
    </row>
    <row r="439" spans="1:8">
      <c r="A439" s="41" t="s">
        <v>127</v>
      </c>
      <c r="B439" s="39" t="s">
        <v>231</v>
      </c>
      <c r="C439" s="39" t="s">
        <v>226</v>
      </c>
      <c r="D439" s="41" t="str">
        <f t="shared" si="18"/>
        <v>CAW006D72HC</v>
      </c>
      <c r="E439" s="41" t="str">
        <f t="shared" si="19"/>
        <v>CAW006D72Niños 6-9</v>
      </c>
      <c r="F439" s="41" t="str">
        <f t="shared" si="20"/>
        <v>CAW006D72HCNiños 6-9</v>
      </c>
      <c r="G439" s="41" t="s">
        <v>651</v>
      </c>
      <c r="H439" s="41" t="s">
        <v>192</v>
      </c>
    </row>
    <row r="440" spans="1:8">
      <c r="A440" s="41" t="s">
        <v>128</v>
      </c>
      <c r="B440" s="39" t="s">
        <v>231</v>
      </c>
      <c r="C440" s="39" t="s">
        <v>226</v>
      </c>
      <c r="D440" s="41" t="str">
        <f t="shared" si="18"/>
        <v>CAW006B90HC</v>
      </c>
      <c r="E440" s="41" t="str">
        <f t="shared" si="19"/>
        <v>CAW006B90Niños 6-9</v>
      </c>
      <c r="F440" s="41" t="str">
        <f t="shared" si="20"/>
        <v>CAW006B90HCNiños 6-9</v>
      </c>
      <c r="G440" s="41" t="s">
        <v>651</v>
      </c>
      <c r="H440" s="41" t="s">
        <v>192</v>
      </c>
    </row>
    <row r="441" spans="1:8">
      <c r="A441" s="41" t="s">
        <v>129</v>
      </c>
      <c r="B441" s="39" t="s">
        <v>231</v>
      </c>
      <c r="C441" s="39" t="s">
        <v>226</v>
      </c>
      <c r="D441" s="41" t="str">
        <f t="shared" si="18"/>
        <v>CAW006K73HC</v>
      </c>
      <c r="E441" s="41" t="str">
        <f t="shared" si="19"/>
        <v>CAW006K73Niños 6-9</v>
      </c>
      <c r="F441" s="41" t="str">
        <f t="shared" si="20"/>
        <v>CAW006K73HCNiños 6-9</v>
      </c>
      <c r="G441" s="41" t="s">
        <v>651</v>
      </c>
      <c r="H441" s="41" t="s">
        <v>192</v>
      </c>
    </row>
    <row r="442" spans="1:8">
      <c r="A442" s="41" t="s">
        <v>131</v>
      </c>
      <c r="B442" s="39" t="s">
        <v>231</v>
      </c>
      <c r="C442" s="39" t="s">
        <v>226</v>
      </c>
      <c r="D442" s="41" t="str">
        <f t="shared" si="18"/>
        <v>CAW006K83HC</v>
      </c>
      <c r="E442" s="41" t="str">
        <f t="shared" si="19"/>
        <v>CAW006K83Niños 6-9</v>
      </c>
      <c r="F442" s="41" t="str">
        <f t="shared" si="20"/>
        <v>CAW006K83HCNiños 6-9</v>
      </c>
      <c r="G442" s="41" t="s">
        <v>651</v>
      </c>
      <c r="H442" s="41" t="s">
        <v>192</v>
      </c>
    </row>
    <row r="443" spans="1:8">
      <c r="A443" s="41" t="s">
        <v>132</v>
      </c>
      <c r="B443" s="39" t="s">
        <v>231</v>
      </c>
      <c r="C443" s="39" t="s">
        <v>226</v>
      </c>
      <c r="D443" s="41" t="str">
        <f t="shared" si="18"/>
        <v>CAW006K86HC</v>
      </c>
      <c r="E443" s="41" t="str">
        <f t="shared" si="19"/>
        <v>CAW006K86Niños 6-9</v>
      </c>
      <c r="F443" s="41" t="str">
        <f t="shared" si="20"/>
        <v>CAW006K86HCNiños 6-9</v>
      </c>
      <c r="G443" s="41" t="s">
        <v>651</v>
      </c>
      <c r="H443" s="41" t="s">
        <v>192</v>
      </c>
    </row>
    <row r="444" spans="1:8">
      <c r="A444" s="41" t="s">
        <v>133</v>
      </c>
      <c r="B444" s="39" t="s">
        <v>231</v>
      </c>
      <c r="C444" s="39" t="s">
        <v>226</v>
      </c>
      <c r="D444" s="41" t="str">
        <f t="shared" si="18"/>
        <v>CAW006T79HC</v>
      </c>
      <c r="E444" s="41" t="str">
        <f t="shared" si="19"/>
        <v>CAW006T79Niños 6-9</v>
      </c>
      <c r="F444" s="41" t="str">
        <f t="shared" si="20"/>
        <v>CAW006T79HCNiños 6-9</v>
      </c>
      <c r="G444" s="41" t="s">
        <v>651</v>
      </c>
      <c r="H444" s="41" t="s">
        <v>192</v>
      </c>
    </row>
    <row r="445" spans="1:8">
      <c r="A445" s="41" t="s">
        <v>377</v>
      </c>
      <c r="B445" s="39" t="s">
        <v>231</v>
      </c>
      <c r="C445" s="39" t="s">
        <v>226</v>
      </c>
      <c r="D445" s="41" t="str">
        <f t="shared" si="18"/>
        <v>CAW006T82HC</v>
      </c>
      <c r="E445" s="41" t="str">
        <f t="shared" si="19"/>
        <v>CAW006T82Niños 6-9</v>
      </c>
      <c r="F445" s="41" t="str">
        <f t="shared" si="20"/>
        <v>CAW006T82HCNiños 6-9</v>
      </c>
      <c r="G445" s="41" t="s">
        <v>651</v>
      </c>
      <c r="H445" s="41" t="s">
        <v>192</v>
      </c>
    </row>
    <row r="446" spans="1:8">
      <c r="A446" s="41" t="s">
        <v>378</v>
      </c>
      <c r="B446" s="39" t="s">
        <v>231</v>
      </c>
      <c r="C446" s="39" t="s">
        <v>226</v>
      </c>
      <c r="D446" s="41" t="str">
        <f t="shared" si="18"/>
        <v>CAW006T83HC</v>
      </c>
      <c r="E446" s="41" t="str">
        <f t="shared" si="19"/>
        <v>CAW006T83Niños 6-9</v>
      </c>
      <c r="F446" s="41" t="str">
        <f t="shared" si="20"/>
        <v>CAW006T83HCNiños 6-9</v>
      </c>
      <c r="G446" s="41" t="s">
        <v>651</v>
      </c>
      <c r="H446" s="41" t="s">
        <v>192</v>
      </c>
    </row>
    <row r="447" spans="1:8">
      <c r="A447" s="41" t="s">
        <v>379</v>
      </c>
      <c r="B447" s="39" t="s">
        <v>231</v>
      </c>
      <c r="C447" s="39" t="s">
        <v>226</v>
      </c>
      <c r="D447" s="41" t="str">
        <f t="shared" si="18"/>
        <v>CAW006T89HC</v>
      </c>
      <c r="E447" s="41" t="str">
        <f t="shared" si="19"/>
        <v>CAW006T89Niños 6-9</v>
      </c>
      <c r="F447" s="41" t="str">
        <f t="shared" si="20"/>
        <v>CAW006T89HCNiños 6-9</v>
      </c>
      <c r="G447" s="41" t="s">
        <v>651</v>
      </c>
      <c r="H447" s="41" t="s">
        <v>192</v>
      </c>
    </row>
    <row r="448" spans="1:8">
      <c r="A448" s="41" t="s">
        <v>380</v>
      </c>
      <c r="B448" s="39" t="s">
        <v>231</v>
      </c>
      <c r="C448" s="39" t="s">
        <v>226</v>
      </c>
      <c r="D448" s="41" t="str">
        <f t="shared" si="18"/>
        <v>CAW006T90HC</v>
      </c>
      <c r="E448" s="41" t="str">
        <f t="shared" si="19"/>
        <v>CAW006T90Niños 6-9</v>
      </c>
      <c r="F448" s="41" t="str">
        <f t="shared" si="20"/>
        <v>CAW006T90HCNiños 6-9</v>
      </c>
      <c r="G448" s="41" t="s">
        <v>651</v>
      </c>
      <c r="H448" s="41" t="s">
        <v>192</v>
      </c>
    </row>
    <row r="449" spans="1:8">
      <c r="A449" s="41" t="s">
        <v>17</v>
      </c>
      <c r="B449" s="39" t="s">
        <v>231</v>
      </c>
      <c r="C449" s="39" t="s">
        <v>226</v>
      </c>
      <c r="D449" s="41" t="str">
        <f t="shared" si="18"/>
        <v>CTC001A97HC</v>
      </c>
      <c r="E449" s="41" t="str">
        <f t="shared" si="19"/>
        <v>CTC001A97Niños 6-9</v>
      </c>
      <c r="F449" s="41" t="str">
        <f t="shared" si="20"/>
        <v>CTC001A97HCNiños 6-9</v>
      </c>
      <c r="G449" s="41" t="s">
        <v>700</v>
      </c>
      <c r="H449" s="41" t="s">
        <v>192</v>
      </c>
    </row>
    <row r="450" spans="1:8">
      <c r="A450" s="41" t="s">
        <v>69</v>
      </c>
      <c r="B450" s="39" t="s">
        <v>231</v>
      </c>
      <c r="C450" s="39" t="s">
        <v>226</v>
      </c>
      <c r="D450" s="41" t="str">
        <f t="shared" ref="D450:D488" si="21">+CONCATENATE(A450,C450)</f>
        <v>CTC001R96HC</v>
      </c>
      <c r="E450" s="41" t="str">
        <f t="shared" ref="E450:E488" si="22">+CONCATENATE(A450,B450)</f>
        <v>CTC001R96Niños 6-9</v>
      </c>
      <c r="F450" s="41" t="str">
        <f t="shared" ref="F450:F488" si="23">CONCATENATE(A450,C450,B450)</f>
        <v>CTC001R96HCNiños 6-9</v>
      </c>
      <c r="G450" s="41" t="s">
        <v>70</v>
      </c>
      <c r="H450" s="41" t="s">
        <v>655</v>
      </c>
    </row>
    <row r="451" spans="1:8">
      <c r="A451" s="41" t="s">
        <v>62</v>
      </c>
      <c r="B451" s="39" t="s">
        <v>231</v>
      </c>
      <c r="C451" s="39" t="s">
        <v>226</v>
      </c>
      <c r="D451" s="41" t="str">
        <f t="shared" si="21"/>
        <v>CTC001T83HC</v>
      </c>
      <c r="E451" s="41" t="str">
        <f t="shared" si="22"/>
        <v>CTC001T83Niños 6-9</v>
      </c>
      <c r="F451" s="41" t="str">
        <f t="shared" si="23"/>
        <v>CTC001T83HCNiños 6-9</v>
      </c>
      <c r="G451" s="41" t="s">
        <v>63</v>
      </c>
      <c r="H451" s="41" t="s">
        <v>19</v>
      </c>
    </row>
    <row r="452" spans="1:8">
      <c r="A452" s="41" t="s">
        <v>71</v>
      </c>
      <c r="B452" s="39" t="s">
        <v>231</v>
      </c>
      <c r="C452" s="39" t="s">
        <v>226</v>
      </c>
      <c r="D452" s="41" t="str">
        <f t="shared" si="21"/>
        <v>CTC002R96HC</v>
      </c>
      <c r="E452" s="41" t="str">
        <f t="shared" si="22"/>
        <v>CTC002R96Niños 6-9</v>
      </c>
      <c r="F452" s="41" t="str">
        <f t="shared" si="23"/>
        <v>CTC002R96HCNiños 6-9</v>
      </c>
      <c r="G452" s="41" t="s">
        <v>72</v>
      </c>
      <c r="H452" s="41" t="s">
        <v>655</v>
      </c>
    </row>
    <row r="453" spans="1:8">
      <c r="A453" s="41" t="s">
        <v>20</v>
      </c>
      <c r="B453" s="39" t="s">
        <v>231</v>
      </c>
      <c r="C453" s="39" t="s">
        <v>226</v>
      </c>
      <c r="D453" s="41" t="str">
        <f t="shared" si="21"/>
        <v>CTC002T83HC</v>
      </c>
      <c r="E453" s="41" t="str">
        <f t="shared" si="22"/>
        <v>CTC002T83Niños 6-9</v>
      </c>
      <c r="F453" s="41" t="str">
        <f t="shared" si="23"/>
        <v>CTC002T83HCNiños 6-9</v>
      </c>
      <c r="G453" s="41" t="s">
        <v>21</v>
      </c>
      <c r="H453" s="41" t="s">
        <v>19</v>
      </c>
    </row>
    <row r="454" spans="1:8">
      <c r="A454" s="41" t="s">
        <v>112</v>
      </c>
      <c r="B454" s="39" t="s">
        <v>231</v>
      </c>
      <c r="C454" s="39" t="s">
        <v>226</v>
      </c>
      <c r="D454" s="41" t="str">
        <f t="shared" si="21"/>
        <v>CTC009A97HC</v>
      </c>
      <c r="E454" s="41" t="str">
        <f t="shared" si="22"/>
        <v>CTC009A97Niños 6-9</v>
      </c>
      <c r="F454" s="41" t="str">
        <f t="shared" si="23"/>
        <v>CTC009A97HCNiños 6-9</v>
      </c>
      <c r="G454" s="41" t="s">
        <v>79</v>
      </c>
      <c r="H454" s="41" t="s">
        <v>192</v>
      </c>
    </row>
    <row r="455" spans="1:8">
      <c r="A455" s="41" t="s">
        <v>78</v>
      </c>
      <c r="B455" s="39" t="s">
        <v>231</v>
      </c>
      <c r="C455" s="39" t="s">
        <v>226</v>
      </c>
      <c r="D455" s="41" t="str">
        <f t="shared" si="21"/>
        <v>CTC011A97HC</v>
      </c>
      <c r="E455" s="41" t="str">
        <f t="shared" si="22"/>
        <v>CTC011A97Niños 6-9</v>
      </c>
      <c r="F455" s="41" t="str">
        <f t="shared" si="23"/>
        <v>CTC011A97HCNiños 6-9</v>
      </c>
      <c r="G455" s="41" t="s">
        <v>170</v>
      </c>
      <c r="H455" s="41" t="s">
        <v>192</v>
      </c>
    </row>
    <row r="456" spans="1:8">
      <c r="A456" s="41" t="s">
        <v>64</v>
      </c>
      <c r="B456" s="39" t="s">
        <v>231</v>
      </c>
      <c r="C456" s="39" t="s">
        <v>226</v>
      </c>
      <c r="D456" s="41" t="str">
        <f t="shared" si="21"/>
        <v>CTC001B80HC</v>
      </c>
      <c r="E456" s="41" t="str">
        <f t="shared" si="22"/>
        <v>CTC001B80Niños 6-9</v>
      </c>
      <c r="F456" s="41" t="str">
        <f t="shared" si="23"/>
        <v>CTC001B80HCNiños 6-9</v>
      </c>
      <c r="G456" s="41" t="s">
        <v>701</v>
      </c>
      <c r="H456" s="41" t="s">
        <v>65</v>
      </c>
    </row>
    <row r="457" spans="1:8">
      <c r="A457" s="41" t="s">
        <v>67</v>
      </c>
      <c r="B457" s="39" t="s">
        <v>231</v>
      </c>
      <c r="C457" s="39" t="s">
        <v>226</v>
      </c>
      <c r="D457" s="41" t="str">
        <f t="shared" si="21"/>
        <v>CTC002B80HC</v>
      </c>
      <c r="E457" s="41" t="str">
        <f t="shared" si="22"/>
        <v>CTC002B80Niños 6-9</v>
      </c>
      <c r="F457" s="41" t="str">
        <f t="shared" si="23"/>
        <v>CTC002B80HCNiños 6-9</v>
      </c>
      <c r="G457" s="41" t="s">
        <v>702</v>
      </c>
      <c r="H457" s="41" t="s">
        <v>65</v>
      </c>
    </row>
    <row r="458" spans="1:8">
      <c r="A458" s="41" t="s">
        <v>17</v>
      </c>
      <c r="B458" s="39" t="s">
        <v>231</v>
      </c>
      <c r="C458" s="39" t="s">
        <v>228</v>
      </c>
      <c r="D458" s="41" t="str">
        <f t="shared" si="21"/>
        <v>CTC001A97FM</v>
      </c>
      <c r="E458" s="41" t="str">
        <f t="shared" si="22"/>
        <v>CTC001A97Niños 6-9</v>
      </c>
      <c r="F458" s="41" t="str">
        <f t="shared" si="23"/>
        <v>CTC001A97FMNiños 6-9</v>
      </c>
      <c r="G458" s="41" t="s">
        <v>700</v>
      </c>
      <c r="H458" s="41" t="s">
        <v>192</v>
      </c>
    </row>
    <row r="459" spans="1:8">
      <c r="A459" s="41" t="s">
        <v>69</v>
      </c>
      <c r="B459" s="39" t="s">
        <v>231</v>
      </c>
      <c r="C459" s="39" t="s">
        <v>228</v>
      </c>
      <c r="D459" s="41" t="str">
        <f t="shared" si="21"/>
        <v>CTC001R96FM</v>
      </c>
      <c r="E459" s="41" t="str">
        <f t="shared" si="22"/>
        <v>CTC001R96Niños 6-9</v>
      </c>
      <c r="F459" s="41" t="str">
        <f t="shared" si="23"/>
        <v>CTC001R96FMNiños 6-9</v>
      </c>
      <c r="G459" s="41" t="s">
        <v>70</v>
      </c>
      <c r="H459" s="41" t="s">
        <v>655</v>
      </c>
    </row>
    <row r="460" spans="1:8">
      <c r="A460" s="41" t="s">
        <v>62</v>
      </c>
      <c r="B460" s="39" t="s">
        <v>231</v>
      </c>
      <c r="C460" s="39" t="s">
        <v>228</v>
      </c>
      <c r="D460" s="41" t="str">
        <f t="shared" si="21"/>
        <v>CTC001T83FM</v>
      </c>
      <c r="E460" s="41" t="str">
        <f t="shared" si="22"/>
        <v>CTC001T83Niños 6-9</v>
      </c>
      <c r="F460" s="41" t="str">
        <f t="shared" si="23"/>
        <v>CTC001T83FMNiños 6-9</v>
      </c>
      <c r="G460" s="41" t="s">
        <v>63</v>
      </c>
      <c r="H460" s="41" t="s">
        <v>19</v>
      </c>
    </row>
    <row r="461" spans="1:8">
      <c r="A461" s="41" t="s">
        <v>71</v>
      </c>
      <c r="B461" s="39" t="s">
        <v>231</v>
      </c>
      <c r="C461" s="39" t="s">
        <v>228</v>
      </c>
      <c r="D461" s="41" t="str">
        <f t="shared" si="21"/>
        <v>CTC002R96FM</v>
      </c>
      <c r="E461" s="41" t="str">
        <f t="shared" si="22"/>
        <v>CTC002R96Niños 6-9</v>
      </c>
      <c r="F461" s="41" t="str">
        <f t="shared" si="23"/>
        <v>CTC002R96FMNiños 6-9</v>
      </c>
      <c r="G461" s="41" t="s">
        <v>72</v>
      </c>
      <c r="H461" s="41" t="s">
        <v>655</v>
      </c>
    </row>
    <row r="462" spans="1:8">
      <c r="A462" s="41" t="s">
        <v>20</v>
      </c>
      <c r="B462" s="39" t="s">
        <v>231</v>
      </c>
      <c r="C462" s="39" t="s">
        <v>228</v>
      </c>
      <c r="D462" s="41" t="str">
        <f t="shared" si="21"/>
        <v>CTC002T83FM</v>
      </c>
      <c r="E462" s="41" t="str">
        <f t="shared" si="22"/>
        <v>CTC002T83Niños 6-9</v>
      </c>
      <c r="F462" s="41" t="str">
        <f t="shared" si="23"/>
        <v>CTC002T83FMNiños 6-9</v>
      </c>
      <c r="G462" s="41" t="s">
        <v>21</v>
      </c>
      <c r="H462" s="41" t="s">
        <v>19</v>
      </c>
    </row>
    <row r="463" spans="1:8">
      <c r="A463" s="41" t="s">
        <v>112</v>
      </c>
      <c r="B463" s="39" t="s">
        <v>231</v>
      </c>
      <c r="C463" s="39" t="s">
        <v>228</v>
      </c>
      <c r="D463" s="41" t="str">
        <f t="shared" si="21"/>
        <v>CTC009A97FM</v>
      </c>
      <c r="E463" s="41" t="str">
        <f t="shared" si="22"/>
        <v>CTC009A97Niños 6-9</v>
      </c>
      <c r="F463" s="41" t="str">
        <f t="shared" si="23"/>
        <v>CTC009A97FMNiños 6-9</v>
      </c>
      <c r="G463" s="41" t="s">
        <v>79</v>
      </c>
      <c r="H463" s="41" t="s">
        <v>192</v>
      </c>
    </row>
    <row r="464" spans="1:8">
      <c r="A464" s="41" t="s">
        <v>78</v>
      </c>
      <c r="B464" s="39" t="s">
        <v>231</v>
      </c>
      <c r="C464" s="39" t="s">
        <v>228</v>
      </c>
      <c r="D464" s="41" t="str">
        <f t="shared" si="21"/>
        <v>CTC011A97FM</v>
      </c>
      <c r="E464" s="41" t="str">
        <f t="shared" si="22"/>
        <v>CTC011A97Niños 6-9</v>
      </c>
      <c r="F464" s="41" t="str">
        <f t="shared" si="23"/>
        <v>CTC011A97FMNiños 6-9</v>
      </c>
      <c r="G464" s="41" t="s">
        <v>170</v>
      </c>
      <c r="H464" s="41" t="s">
        <v>192</v>
      </c>
    </row>
    <row r="465" spans="1:8">
      <c r="A465" s="41" t="s">
        <v>64</v>
      </c>
      <c r="B465" s="39" t="s">
        <v>231</v>
      </c>
      <c r="C465" s="39" t="s">
        <v>228</v>
      </c>
      <c r="D465" s="41" t="str">
        <f t="shared" si="21"/>
        <v>CTC001B80FM</v>
      </c>
      <c r="E465" s="41" t="str">
        <f t="shared" si="22"/>
        <v>CTC001B80Niños 6-9</v>
      </c>
      <c r="F465" s="41" t="str">
        <f t="shared" si="23"/>
        <v>CTC001B80FMNiños 6-9</v>
      </c>
      <c r="G465" s="41" t="s">
        <v>701</v>
      </c>
      <c r="H465" s="41" t="s">
        <v>65</v>
      </c>
    </row>
    <row r="466" spans="1:8">
      <c r="A466" s="41" t="s">
        <v>67</v>
      </c>
      <c r="B466" s="39" t="s">
        <v>231</v>
      </c>
      <c r="C466" s="39" t="s">
        <v>228</v>
      </c>
      <c r="D466" s="41" t="str">
        <f t="shared" si="21"/>
        <v>CTC002B80FM</v>
      </c>
      <c r="E466" s="41" t="str">
        <f t="shared" si="22"/>
        <v>CTC002B80Niños 6-9</v>
      </c>
      <c r="F466" s="41" t="str">
        <f t="shared" si="23"/>
        <v>CTC002B80FMNiños 6-9</v>
      </c>
      <c r="G466" s="41" t="s">
        <v>702</v>
      </c>
      <c r="H466" s="41" t="s">
        <v>65</v>
      </c>
    </row>
    <row r="467" spans="1:8">
      <c r="A467" s="41" t="s">
        <v>73</v>
      </c>
      <c r="B467" s="39" t="s">
        <v>231</v>
      </c>
      <c r="C467" s="39" t="s">
        <v>226</v>
      </c>
      <c r="D467" s="41" t="str">
        <f t="shared" si="21"/>
        <v>CAW003A98HC</v>
      </c>
      <c r="E467" s="41" t="str">
        <f t="shared" si="22"/>
        <v>CAW003A98Niños 6-9</v>
      </c>
      <c r="F467" s="41" t="str">
        <f t="shared" si="23"/>
        <v>CAW003A98HCNiños 6-9</v>
      </c>
      <c r="G467" s="41" t="s">
        <v>74</v>
      </c>
      <c r="H467" s="41" t="s">
        <v>192</v>
      </c>
    </row>
    <row r="468" spans="1:8">
      <c r="A468" s="41" t="s">
        <v>73</v>
      </c>
      <c r="B468" s="39" t="s">
        <v>231</v>
      </c>
      <c r="C468" s="39" t="s">
        <v>228</v>
      </c>
      <c r="D468" s="41" t="str">
        <f t="shared" si="21"/>
        <v>CAW003A98FM</v>
      </c>
      <c r="E468" s="41" t="str">
        <f t="shared" si="22"/>
        <v>CAW003A98Niños 6-9</v>
      </c>
      <c r="F468" s="41" t="str">
        <f t="shared" si="23"/>
        <v>CAW003A98FMNiños 6-9</v>
      </c>
      <c r="G468" s="41" t="s">
        <v>74</v>
      </c>
      <c r="H468" s="41" t="s">
        <v>192</v>
      </c>
    </row>
    <row r="469" spans="1:8">
      <c r="A469" s="41" t="s">
        <v>73</v>
      </c>
      <c r="B469" s="39" t="s">
        <v>231</v>
      </c>
      <c r="C469" s="39" t="s">
        <v>425</v>
      </c>
      <c r="D469" s="41" t="str">
        <f t="shared" si="21"/>
        <v>CAW003A98PAS</v>
      </c>
      <c r="E469" s="41" t="str">
        <f t="shared" si="22"/>
        <v>CAW003A98Niños 6-9</v>
      </c>
      <c r="F469" s="41" t="str">
        <f t="shared" si="23"/>
        <v>CAW003A98PASNiños 6-9</v>
      </c>
      <c r="G469" s="41" t="s">
        <v>74</v>
      </c>
      <c r="H469" s="41" t="s">
        <v>192</v>
      </c>
    </row>
    <row r="470" spans="1:8">
      <c r="A470" s="41" t="s">
        <v>18</v>
      </c>
      <c r="B470" s="39" t="s">
        <v>231</v>
      </c>
      <c r="C470" s="39" t="s">
        <v>226</v>
      </c>
      <c r="D470" s="41" t="str">
        <f t="shared" si="21"/>
        <v>CTC010A97HC</v>
      </c>
      <c r="E470" s="41" t="str">
        <f t="shared" si="22"/>
        <v>CTC010A97Niños 6-9</v>
      </c>
      <c r="F470" s="41" t="str">
        <f t="shared" si="23"/>
        <v>CTC010A97HCNiños 6-9</v>
      </c>
      <c r="G470" s="41" t="s">
        <v>169</v>
      </c>
      <c r="H470" s="41" t="s">
        <v>192</v>
      </c>
    </row>
    <row r="471" spans="1:8">
      <c r="A471" s="41" t="s">
        <v>47</v>
      </c>
      <c r="B471" s="39" t="s">
        <v>231</v>
      </c>
      <c r="C471" s="39" t="s">
        <v>226</v>
      </c>
      <c r="D471" s="41" t="str">
        <f t="shared" si="21"/>
        <v>PRP026D60HC</v>
      </c>
      <c r="E471" s="41" t="str">
        <f t="shared" si="22"/>
        <v>PRP026D60Niños 6-9</v>
      </c>
      <c r="F471" s="41" t="str">
        <f t="shared" si="23"/>
        <v>PRP026D60HCNiños 6-9</v>
      </c>
      <c r="G471" s="41" t="s">
        <v>48</v>
      </c>
      <c r="H471" s="41" t="s">
        <v>192</v>
      </c>
    </row>
    <row r="472" spans="1:8">
      <c r="A472" s="41" t="s">
        <v>18</v>
      </c>
      <c r="B472" s="39" t="s">
        <v>231</v>
      </c>
      <c r="C472" s="39" t="s">
        <v>426</v>
      </c>
      <c r="D472" s="41" t="str">
        <f t="shared" si="21"/>
        <v>CTC010A97FOd</v>
      </c>
      <c r="E472" s="41" t="str">
        <f t="shared" si="22"/>
        <v>CTC010A97Niños 6-9</v>
      </c>
      <c r="F472" s="41" t="str">
        <f t="shared" si="23"/>
        <v>CTC010A97FOdNiños 6-9</v>
      </c>
      <c r="G472" s="41" t="s">
        <v>169</v>
      </c>
      <c r="H472" s="41" t="s">
        <v>192</v>
      </c>
    </row>
    <row r="473" spans="1:8">
      <c r="A473" s="41" t="s">
        <v>47</v>
      </c>
      <c r="B473" s="39" t="s">
        <v>231</v>
      </c>
      <c r="C473" s="39" t="s">
        <v>426</v>
      </c>
      <c r="D473" s="41" t="str">
        <f t="shared" si="21"/>
        <v>PRP026D60FOd</v>
      </c>
      <c r="E473" s="41" t="str">
        <f t="shared" si="22"/>
        <v>PRP026D60Niños 6-9</v>
      </c>
      <c r="F473" s="41" t="str">
        <f t="shared" si="23"/>
        <v>PRP026D60FOdNiños 6-9</v>
      </c>
      <c r="G473" s="41" t="s">
        <v>48</v>
      </c>
      <c r="H473" s="41" t="s">
        <v>192</v>
      </c>
    </row>
    <row r="474" spans="1:8">
      <c r="A474" s="41" t="s">
        <v>46</v>
      </c>
      <c r="B474" s="39" t="s">
        <v>231</v>
      </c>
      <c r="C474" s="39" t="s">
        <v>226</v>
      </c>
      <c r="D474" s="41" t="str">
        <f t="shared" si="21"/>
        <v>IMV001A98HC</v>
      </c>
      <c r="E474" s="41" t="str">
        <f t="shared" si="22"/>
        <v>IMV001A98Niños 6-9</v>
      </c>
      <c r="F474" s="41" t="str">
        <f t="shared" si="23"/>
        <v>IMV001A98HCNiños 6-9</v>
      </c>
      <c r="G474" s="41" t="s">
        <v>703</v>
      </c>
      <c r="H474" s="41" t="s">
        <v>192</v>
      </c>
    </row>
    <row r="475" spans="1:8">
      <c r="A475" s="41" t="s">
        <v>41</v>
      </c>
      <c r="B475" s="39" t="s">
        <v>231</v>
      </c>
      <c r="C475" s="39" t="s">
        <v>226</v>
      </c>
      <c r="D475" s="41" t="str">
        <f t="shared" si="21"/>
        <v>IMV002A98HC</v>
      </c>
      <c r="E475" s="41" t="str">
        <f t="shared" si="22"/>
        <v>IMV002A98Niños 6-9</v>
      </c>
      <c r="F475" s="41" t="str">
        <f t="shared" si="23"/>
        <v>IMV002A98HCNiños 6-9</v>
      </c>
      <c r="G475" s="41" t="s">
        <v>704</v>
      </c>
      <c r="H475" s="41" t="s">
        <v>192</v>
      </c>
    </row>
    <row r="476" spans="1:8">
      <c r="A476" s="41" t="s">
        <v>24</v>
      </c>
      <c r="B476" s="39" t="s">
        <v>231</v>
      </c>
      <c r="C476" s="39" t="s">
        <v>226</v>
      </c>
      <c r="D476" s="41" t="str">
        <f t="shared" si="21"/>
        <v>IMV008A98HC</v>
      </c>
      <c r="E476" s="41" t="str">
        <f t="shared" si="22"/>
        <v>IMV008A98Niños 6-9</v>
      </c>
      <c r="F476" s="41" t="str">
        <f t="shared" si="23"/>
        <v>IMV008A98HCNiños 6-9</v>
      </c>
      <c r="G476" s="41" t="s">
        <v>247</v>
      </c>
      <c r="H476" s="41" t="s">
        <v>192</v>
      </c>
    </row>
    <row r="477" spans="1:8">
      <c r="A477" s="41" t="s">
        <v>42</v>
      </c>
      <c r="B477" s="39" t="s">
        <v>231</v>
      </c>
      <c r="C477" s="39" t="s">
        <v>226</v>
      </c>
      <c r="D477" s="41" t="str">
        <f t="shared" si="21"/>
        <v>IMV011A98HC</v>
      </c>
      <c r="E477" s="41" t="str">
        <f t="shared" si="22"/>
        <v>IMV011A98Niños 6-9</v>
      </c>
      <c r="F477" s="41" t="str">
        <f t="shared" si="23"/>
        <v>IMV011A98HCNiños 6-9</v>
      </c>
      <c r="G477" s="41" t="s">
        <v>705</v>
      </c>
      <c r="H477" s="41" t="s">
        <v>192</v>
      </c>
    </row>
    <row r="478" spans="1:8">
      <c r="A478" s="41" t="s">
        <v>46</v>
      </c>
      <c r="B478" s="39" t="s">
        <v>231</v>
      </c>
      <c r="C478" s="39" t="s">
        <v>229</v>
      </c>
      <c r="D478" s="41" t="str">
        <f t="shared" si="21"/>
        <v>IMV001A98LE</v>
      </c>
      <c r="E478" s="41" t="str">
        <f t="shared" si="22"/>
        <v>IMV001A98Niños 6-9</v>
      </c>
      <c r="F478" s="41" t="str">
        <f t="shared" si="23"/>
        <v>IMV001A98LENiños 6-9</v>
      </c>
      <c r="G478" s="41" t="s">
        <v>703</v>
      </c>
      <c r="H478" s="41" t="s">
        <v>192</v>
      </c>
    </row>
    <row r="479" spans="1:8">
      <c r="A479" s="41" t="s">
        <v>41</v>
      </c>
      <c r="B479" s="39" t="s">
        <v>231</v>
      </c>
      <c r="C479" s="39" t="s">
        <v>229</v>
      </c>
      <c r="D479" s="41" t="str">
        <f t="shared" si="21"/>
        <v>IMV002A98LE</v>
      </c>
      <c r="E479" s="41" t="str">
        <f t="shared" si="22"/>
        <v>IMV002A98Niños 6-9</v>
      </c>
      <c r="F479" s="41" t="str">
        <f t="shared" si="23"/>
        <v>IMV002A98LENiños 6-9</v>
      </c>
      <c r="G479" s="41" t="s">
        <v>704</v>
      </c>
      <c r="H479" s="41" t="s">
        <v>192</v>
      </c>
    </row>
    <row r="480" spans="1:8">
      <c r="A480" s="41" t="s">
        <v>24</v>
      </c>
      <c r="B480" s="39" t="s">
        <v>231</v>
      </c>
      <c r="C480" s="39" t="s">
        <v>229</v>
      </c>
      <c r="D480" s="41" t="str">
        <f t="shared" si="21"/>
        <v>IMV008A98LE</v>
      </c>
      <c r="E480" s="41" t="str">
        <f t="shared" si="22"/>
        <v>IMV008A98Niños 6-9</v>
      </c>
      <c r="F480" s="41" t="str">
        <f t="shared" si="23"/>
        <v>IMV008A98LENiños 6-9</v>
      </c>
      <c r="G480" s="41" t="s">
        <v>247</v>
      </c>
      <c r="H480" s="41" t="s">
        <v>192</v>
      </c>
    </row>
    <row r="481" spans="1:8">
      <c r="A481" s="41" t="s">
        <v>42</v>
      </c>
      <c r="B481" s="39" t="s">
        <v>231</v>
      </c>
      <c r="C481" s="39" t="s">
        <v>229</v>
      </c>
      <c r="D481" s="41" t="str">
        <f t="shared" si="21"/>
        <v>IMV011A98LE</v>
      </c>
      <c r="E481" s="41" t="str">
        <f t="shared" si="22"/>
        <v>IMV011A98Niños 6-9</v>
      </c>
      <c r="F481" s="41" t="str">
        <f t="shared" si="23"/>
        <v>IMV011A98LENiños 6-9</v>
      </c>
      <c r="G481" s="41" t="s">
        <v>705</v>
      </c>
      <c r="H481" s="41" t="s">
        <v>192</v>
      </c>
    </row>
    <row r="482" spans="1:8">
      <c r="A482" s="41" t="s">
        <v>46</v>
      </c>
      <c r="B482" s="39" t="s">
        <v>231</v>
      </c>
      <c r="C482" s="39" t="s">
        <v>230</v>
      </c>
      <c r="D482" s="41" t="str">
        <f t="shared" si="21"/>
        <v>IMV001A98RV</v>
      </c>
      <c r="E482" s="41" t="str">
        <f t="shared" si="22"/>
        <v>IMV001A98Niños 6-9</v>
      </c>
      <c r="F482" s="41" t="str">
        <f t="shared" si="23"/>
        <v>IMV001A98RVNiños 6-9</v>
      </c>
      <c r="G482" s="41" t="s">
        <v>703</v>
      </c>
      <c r="H482" s="41" t="s">
        <v>192</v>
      </c>
    </row>
    <row r="483" spans="1:8">
      <c r="A483" s="41" t="s">
        <v>41</v>
      </c>
      <c r="B483" s="39" t="s">
        <v>231</v>
      </c>
      <c r="C483" s="39" t="s">
        <v>230</v>
      </c>
      <c r="D483" s="41" t="str">
        <f t="shared" si="21"/>
        <v>IMV002A98RV</v>
      </c>
      <c r="E483" s="41" t="str">
        <f t="shared" si="22"/>
        <v>IMV002A98Niños 6-9</v>
      </c>
      <c r="F483" s="41" t="str">
        <f t="shared" si="23"/>
        <v>IMV002A98RVNiños 6-9</v>
      </c>
      <c r="G483" s="41" t="s">
        <v>704</v>
      </c>
      <c r="H483" s="41" t="s">
        <v>192</v>
      </c>
    </row>
    <row r="484" spans="1:8">
      <c r="A484" s="41" t="s">
        <v>24</v>
      </c>
      <c r="B484" s="39" t="s">
        <v>231</v>
      </c>
      <c r="C484" s="39" t="s">
        <v>230</v>
      </c>
      <c r="D484" s="41" t="str">
        <f t="shared" si="21"/>
        <v>IMV008A98RV</v>
      </c>
      <c r="E484" s="41" t="str">
        <f t="shared" si="22"/>
        <v>IMV008A98Niños 6-9</v>
      </c>
      <c r="F484" s="41" t="str">
        <f t="shared" si="23"/>
        <v>IMV008A98RVNiños 6-9</v>
      </c>
      <c r="G484" s="41" t="s">
        <v>247</v>
      </c>
      <c r="H484" s="41" t="s">
        <v>192</v>
      </c>
    </row>
    <row r="485" spans="1:8">
      <c r="A485" s="41" t="s">
        <v>42</v>
      </c>
      <c r="B485" s="39" t="s">
        <v>231</v>
      </c>
      <c r="C485" s="39" t="s">
        <v>230</v>
      </c>
      <c r="D485" s="41" t="str">
        <f t="shared" si="21"/>
        <v>IMV011A98RV</v>
      </c>
      <c r="E485" s="41" t="str">
        <f t="shared" si="22"/>
        <v>IMV011A98Niños 6-9</v>
      </c>
      <c r="F485" s="41" t="str">
        <f t="shared" si="23"/>
        <v>IMV011A98RVNiños 6-9</v>
      </c>
      <c r="G485" s="41" t="s">
        <v>705</v>
      </c>
      <c r="H485" s="41" t="s">
        <v>192</v>
      </c>
    </row>
    <row r="486" spans="1:8">
      <c r="A486" s="41" t="s">
        <v>382</v>
      </c>
      <c r="B486" s="39" t="s">
        <v>231</v>
      </c>
      <c r="C486" s="39" t="s">
        <v>226</v>
      </c>
      <c r="D486" s="41" t="str">
        <f t="shared" si="21"/>
        <v>PRP006R96HC</v>
      </c>
      <c r="E486" s="41" t="str">
        <f t="shared" si="22"/>
        <v>PRP006R96Niños 6-9</v>
      </c>
      <c r="F486" s="41" t="str">
        <f t="shared" si="23"/>
        <v>PRP006R96HCNiños 6-9</v>
      </c>
      <c r="G486" s="41" t="s">
        <v>413</v>
      </c>
      <c r="H486" s="41" t="s">
        <v>430</v>
      </c>
    </row>
    <row r="487" spans="1:8">
      <c r="A487" s="41" t="s">
        <v>382</v>
      </c>
      <c r="B487" s="39" t="s">
        <v>231</v>
      </c>
      <c r="C487" s="39" t="s">
        <v>228</v>
      </c>
      <c r="D487" s="41" t="str">
        <f t="shared" si="21"/>
        <v>PRP006R96FM</v>
      </c>
      <c r="E487" s="41" t="str">
        <f t="shared" si="22"/>
        <v>PRP006R96Niños 6-9</v>
      </c>
      <c r="F487" s="41" t="str">
        <f t="shared" si="23"/>
        <v>PRP006R96FMNiños 6-9</v>
      </c>
      <c r="G487" s="41" t="s">
        <v>413</v>
      </c>
      <c r="H487" s="41" t="s">
        <v>430</v>
      </c>
    </row>
    <row r="488" spans="1:8">
      <c r="A488" s="41" t="s">
        <v>382</v>
      </c>
      <c r="B488" s="39" t="s">
        <v>231</v>
      </c>
      <c r="C488" s="39" t="s">
        <v>238</v>
      </c>
      <c r="D488" s="41" t="str">
        <f t="shared" si="21"/>
        <v>PRP006R96HCPB</v>
      </c>
      <c r="E488" s="41" t="str">
        <f t="shared" si="22"/>
        <v>PRP006R96Niños 6-9</v>
      </c>
      <c r="F488" s="41" t="str">
        <f t="shared" si="23"/>
        <v>PRP006R96HCPBNiños 6-9</v>
      </c>
      <c r="G488" s="41" t="s">
        <v>413</v>
      </c>
      <c r="H488" s="41" t="s">
        <v>430</v>
      </c>
    </row>
    <row r="491" spans="1:8">
      <c r="A491" s="41" t="s">
        <v>453</v>
      </c>
      <c r="B491" s="39" t="s">
        <v>232</v>
      </c>
      <c r="C491" s="39" t="s">
        <v>226</v>
      </c>
      <c r="D491" s="41" t="str">
        <f t="shared" ref="D491:D554" si="24">+CONCATENATE(A491,C491)</f>
        <v>LBL002HC</v>
      </c>
      <c r="E491" s="41" t="str">
        <f t="shared" ref="E491:E554" si="25">+CONCATENATE(A491,B491)</f>
        <v>LBL002Adolecentes 10-19</v>
      </c>
      <c r="F491" s="41" t="str">
        <f t="shared" ref="F491:F554" si="26">CONCATENATE(A491,C491,B491)</f>
        <v>LBL002HCAdolecentes 10-19</v>
      </c>
      <c r="G491" s="41" t="s">
        <v>454</v>
      </c>
      <c r="H491" s="41" t="s">
        <v>81</v>
      </c>
    </row>
    <row r="492" spans="1:8">
      <c r="A492" s="41" t="s">
        <v>455</v>
      </c>
      <c r="B492" s="39" t="s">
        <v>232</v>
      </c>
      <c r="C492" s="39" t="s">
        <v>226</v>
      </c>
      <c r="D492" s="41" t="str">
        <f t="shared" si="24"/>
        <v>LBL004HC</v>
      </c>
      <c r="E492" s="41" t="str">
        <f t="shared" si="25"/>
        <v>LBL004Adolecentes 10-19</v>
      </c>
      <c r="F492" s="41" t="str">
        <f t="shared" si="26"/>
        <v>LBL004HCAdolecentes 10-19</v>
      </c>
      <c r="G492" s="41" t="s">
        <v>456</v>
      </c>
      <c r="H492" s="41" t="s">
        <v>81</v>
      </c>
    </row>
    <row r="493" spans="1:8">
      <c r="A493" s="41" t="s">
        <v>457</v>
      </c>
      <c r="B493" s="39" t="s">
        <v>232</v>
      </c>
      <c r="C493" s="39" t="s">
        <v>226</v>
      </c>
      <c r="D493" s="41" t="str">
        <f t="shared" si="24"/>
        <v>LBL005HC</v>
      </c>
      <c r="E493" s="41" t="str">
        <f t="shared" si="25"/>
        <v>LBL005Adolecentes 10-19</v>
      </c>
      <c r="F493" s="41" t="str">
        <f t="shared" si="26"/>
        <v>LBL005HCAdolecentes 10-19</v>
      </c>
      <c r="G493" s="41" t="s">
        <v>458</v>
      </c>
      <c r="H493" s="41" t="s">
        <v>81</v>
      </c>
    </row>
    <row r="494" spans="1:8">
      <c r="A494" s="41" t="s">
        <v>459</v>
      </c>
      <c r="B494" s="39" t="s">
        <v>232</v>
      </c>
      <c r="C494" s="39" t="s">
        <v>226</v>
      </c>
      <c r="D494" s="41" t="str">
        <f t="shared" si="24"/>
        <v>LBL006HC</v>
      </c>
      <c r="E494" s="41" t="str">
        <f t="shared" si="25"/>
        <v>LBL006Adolecentes 10-19</v>
      </c>
      <c r="F494" s="41" t="str">
        <f t="shared" si="26"/>
        <v>LBL006HCAdolecentes 10-19</v>
      </c>
      <c r="G494" s="41" t="s">
        <v>460</v>
      </c>
      <c r="H494" s="41" t="s">
        <v>81</v>
      </c>
    </row>
    <row r="495" spans="1:8">
      <c r="A495" s="41" t="s">
        <v>461</v>
      </c>
      <c r="B495" s="39" t="s">
        <v>232</v>
      </c>
      <c r="C495" s="39" t="s">
        <v>226</v>
      </c>
      <c r="D495" s="41" t="str">
        <f t="shared" si="24"/>
        <v>LBL008HC</v>
      </c>
      <c r="E495" s="41" t="str">
        <f t="shared" si="25"/>
        <v>LBL008Adolecentes 10-19</v>
      </c>
      <c r="F495" s="41" t="str">
        <f t="shared" si="26"/>
        <v>LBL008HCAdolecentes 10-19</v>
      </c>
      <c r="G495" s="41" t="s">
        <v>462</v>
      </c>
      <c r="H495" s="41" t="s">
        <v>81</v>
      </c>
    </row>
    <row r="496" spans="1:8">
      <c r="A496" s="41" t="s">
        <v>463</v>
      </c>
      <c r="B496" s="39" t="s">
        <v>232</v>
      </c>
      <c r="C496" s="39" t="s">
        <v>226</v>
      </c>
      <c r="D496" s="41" t="str">
        <f t="shared" si="24"/>
        <v>LBL009HC</v>
      </c>
      <c r="E496" s="41" t="str">
        <f t="shared" si="25"/>
        <v>LBL009Adolecentes 10-19</v>
      </c>
      <c r="F496" s="41" t="str">
        <f t="shared" si="26"/>
        <v>LBL009HCAdolecentes 10-19</v>
      </c>
      <c r="G496" s="41" t="s">
        <v>464</v>
      </c>
      <c r="H496" s="41" t="s">
        <v>81</v>
      </c>
    </row>
    <row r="497" spans="1:8">
      <c r="A497" s="41" t="s">
        <v>465</v>
      </c>
      <c r="B497" s="39" t="s">
        <v>232</v>
      </c>
      <c r="C497" s="39" t="s">
        <v>226</v>
      </c>
      <c r="D497" s="41" t="str">
        <f t="shared" si="24"/>
        <v>LBL010HC</v>
      </c>
      <c r="E497" s="41" t="str">
        <f t="shared" si="25"/>
        <v>LBL010Adolecentes 10-19</v>
      </c>
      <c r="F497" s="41" t="str">
        <f t="shared" si="26"/>
        <v>LBL010HCAdolecentes 10-19</v>
      </c>
      <c r="G497" s="41" t="s">
        <v>466</v>
      </c>
      <c r="H497" s="41" t="s">
        <v>81</v>
      </c>
    </row>
    <row r="498" spans="1:8">
      <c r="A498" s="41" t="s">
        <v>467</v>
      </c>
      <c r="B498" s="39" t="s">
        <v>232</v>
      </c>
      <c r="C498" s="39" t="s">
        <v>226</v>
      </c>
      <c r="D498" s="41" t="str">
        <f t="shared" si="24"/>
        <v>LBL011HC</v>
      </c>
      <c r="E498" s="41" t="str">
        <f t="shared" si="25"/>
        <v>LBL011Adolecentes 10-19</v>
      </c>
      <c r="F498" s="41" t="str">
        <f t="shared" si="26"/>
        <v>LBL011HCAdolecentes 10-19</v>
      </c>
      <c r="G498" s="41" t="s">
        <v>468</v>
      </c>
      <c r="H498" s="41" t="s">
        <v>81</v>
      </c>
    </row>
    <row r="499" spans="1:8">
      <c r="A499" s="41" t="s">
        <v>469</v>
      </c>
      <c r="B499" s="39" t="s">
        <v>232</v>
      </c>
      <c r="C499" s="39" t="s">
        <v>226</v>
      </c>
      <c r="D499" s="41" t="str">
        <f t="shared" si="24"/>
        <v>LBL014HC</v>
      </c>
      <c r="E499" s="41" t="str">
        <f t="shared" si="25"/>
        <v>LBL014Adolecentes 10-19</v>
      </c>
      <c r="F499" s="41" t="str">
        <f t="shared" si="26"/>
        <v>LBL014HCAdolecentes 10-19</v>
      </c>
      <c r="G499" s="41" t="s">
        <v>470</v>
      </c>
      <c r="H499" s="41" t="s">
        <v>81</v>
      </c>
    </row>
    <row r="500" spans="1:8">
      <c r="A500" s="41" t="s">
        <v>471</v>
      </c>
      <c r="B500" s="39" t="s">
        <v>232</v>
      </c>
      <c r="C500" s="39" t="s">
        <v>226</v>
      </c>
      <c r="D500" s="41" t="str">
        <f t="shared" si="24"/>
        <v>LBL015HC</v>
      </c>
      <c r="E500" s="41" t="str">
        <f t="shared" si="25"/>
        <v>LBL015Adolecentes 10-19</v>
      </c>
      <c r="F500" s="41" t="str">
        <f t="shared" si="26"/>
        <v>LBL015HCAdolecentes 10-19</v>
      </c>
      <c r="G500" s="41" t="s">
        <v>472</v>
      </c>
      <c r="H500" s="41" t="s">
        <v>81</v>
      </c>
    </row>
    <row r="501" spans="1:8">
      <c r="A501" s="41" t="s">
        <v>473</v>
      </c>
      <c r="B501" s="39" t="s">
        <v>232</v>
      </c>
      <c r="C501" s="39" t="s">
        <v>226</v>
      </c>
      <c r="D501" s="41" t="str">
        <f t="shared" si="24"/>
        <v>LBL016HC</v>
      </c>
      <c r="E501" s="41" t="str">
        <f t="shared" si="25"/>
        <v>LBL016Adolecentes 10-19</v>
      </c>
      <c r="F501" s="41" t="str">
        <f t="shared" si="26"/>
        <v>LBL016HCAdolecentes 10-19</v>
      </c>
      <c r="G501" s="41" t="s">
        <v>474</v>
      </c>
      <c r="H501" s="41" t="s">
        <v>81</v>
      </c>
    </row>
    <row r="502" spans="1:8">
      <c r="A502" s="41" t="s">
        <v>475</v>
      </c>
      <c r="B502" s="39" t="s">
        <v>232</v>
      </c>
      <c r="C502" s="39" t="s">
        <v>226</v>
      </c>
      <c r="D502" s="41" t="str">
        <f t="shared" si="24"/>
        <v>LBL018HC</v>
      </c>
      <c r="E502" s="41" t="str">
        <f t="shared" si="25"/>
        <v>LBL018Adolecentes 10-19</v>
      </c>
      <c r="F502" s="41" t="str">
        <f t="shared" si="26"/>
        <v>LBL018HCAdolecentes 10-19</v>
      </c>
      <c r="G502" s="41" t="s">
        <v>476</v>
      </c>
      <c r="H502" s="41" t="s">
        <v>81</v>
      </c>
    </row>
    <row r="503" spans="1:8">
      <c r="A503" s="41" t="s">
        <v>477</v>
      </c>
      <c r="B503" s="39" t="s">
        <v>232</v>
      </c>
      <c r="C503" s="39" t="s">
        <v>226</v>
      </c>
      <c r="D503" s="41" t="str">
        <f t="shared" si="24"/>
        <v>LBL021HC</v>
      </c>
      <c r="E503" s="41" t="str">
        <f t="shared" si="25"/>
        <v>LBL021Adolecentes 10-19</v>
      </c>
      <c r="F503" s="41" t="str">
        <f t="shared" si="26"/>
        <v>LBL021HCAdolecentes 10-19</v>
      </c>
      <c r="G503" s="41" t="s">
        <v>478</v>
      </c>
      <c r="H503" s="41" t="s">
        <v>81</v>
      </c>
    </row>
    <row r="504" spans="1:8">
      <c r="A504" s="41" t="s">
        <v>479</v>
      </c>
      <c r="B504" s="39" t="s">
        <v>232</v>
      </c>
      <c r="C504" s="39" t="s">
        <v>226</v>
      </c>
      <c r="D504" s="41" t="str">
        <f t="shared" si="24"/>
        <v>LBL022HC</v>
      </c>
      <c r="E504" s="41" t="str">
        <f t="shared" si="25"/>
        <v>LBL022Adolecentes 10-19</v>
      </c>
      <c r="F504" s="41" t="str">
        <f t="shared" si="26"/>
        <v>LBL022HCAdolecentes 10-19</v>
      </c>
      <c r="G504" s="41" t="s">
        <v>480</v>
      </c>
      <c r="H504" s="41" t="s">
        <v>81</v>
      </c>
    </row>
    <row r="505" spans="1:8">
      <c r="A505" s="41" t="s">
        <v>481</v>
      </c>
      <c r="B505" s="39" t="s">
        <v>232</v>
      </c>
      <c r="C505" s="39" t="s">
        <v>226</v>
      </c>
      <c r="D505" s="41" t="str">
        <f t="shared" si="24"/>
        <v>LBL025HC</v>
      </c>
      <c r="E505" s="41" t="str">
        <f t="shared" si="25"/>
        <v>LBL025Adolecentes 10-19</v>
      </c>
      <c r="F505" s="41" t="str">
        <f t="shared" si="26"/>
        <v>LBL025HCAdolecentes 10-19</v>
      </c>
      <c r="G505" s="41" t="s">
        <v>482</v>
      </c>
      <c r="H505" s="41" t="s">
        <v>81</v>
      </c>
    </row>
    <row r="506" spans="1:8">
      <c r="A506" s="41" t="s">
        <v>483</v>
      </c>
      <c r="B506" s="39" t="s">
        <v>232</v>
      </c>
      <c r="C506" s="39" t="s">
        <v>226</v>
      </c>
      <c r="D506" s="41" t="str">
        <f t="shared" si="24"/>
        <v>LBL026HC</v>
      </c>
      <c r="E506" s="41" t="str">
        <f t="shared" si="25"/>
        <v>LBL026Adolecentes 10-19</v>
      </c>
      <c r="F506" s="41" t="str">
        <f t="shared" si="26"/>
        <v>LBL026HCAdolecentes 10-19</v>
      </c>
      <c r="G506" s="41" t="s">
        <v>484</v>
      </c>
      <c r="H506" s="41" t="s">
        <v>81</v>
      </c>
    </row>
    <row r="507" spans="1:8">
      <c r="A507" s="41" t="s">
        <v>485</v>
      </c>
      <c r="B507" s="39" t="s">
        <v>232</v>
      </c>
      <c r="C507" s="39" t="s">
        <v>226</v>
      </c>
      <c r="D507" s="41" t="str">
        <f t="shared" si="24"/>
        <v>LBL027HC</v>
      </c>
      <c r="E507" s="41" t="str">
        <f t="shared" si="25"/>
        <v>LBL027Adolecentes 10-19</v>
      </c>
      <c r="F507" s="41" t="str">
        <f t="shared" si="26"/>
        <v>LBL027HCAdolecentes 10-19</v>
      </c>
      <c r="G507" s="41" t="s">
        <v>486</v>
      </c>
      <c r="H507" s="41" t="s">
        <v>81</v>
      </c>
    </row>
    <row r="508" spans="1:8">
      <c r="A508" s="41" t="s">
        <v>487</v>
      </c>
      <c r="B508" s="39" t="s">
        <v>232</v>
      </c>
      <c r="C508" s="39" t="s">
        <v>226</v>
      </c>
      <c r="D508" s="41" t="str">
        <f t="shared" si="24"/>
        <v>LBL028HC</v>
      </c>
      <c r="E508" s="41" t="str">
        <f t="shared" si="25"/>
        <v>LBL028Adolecentes 10-19</v>
      </c>
      <c r="F508" s="41" t="str">
        <f t="shared" si="26"/>
        <v>LBL028HCAdolecentes 10-19</v>
      </c>
      <c r="G508" s="41" t="s">
        <v>488</v>
      </c>
      <c r="H508" s="41" t="s">
        <v>81</v>
      </c>
    </row>
    <row r="509" spans="1:8">
      <c r="A509" s="41" t="s">
        <v>489</v>
      </c>
      <c r="B509" s="39" t="s">
        <v>232</v>
      </c>
      <c r="C509" s="39" t="s">
        <v>226</v>
      </c>
      <c r="D509" s="41" t="str">
        <f t="shared" si="24"/>
        <v>LBL029HC</v>
      </c>
      <c r="E509" s="41" t="str">
        <f t="shared" si="25"/>
        <v>LBL029Adolecentes 10-19</v>
      </c>
      <c r="F509" s="41" t="str">
        <f t="shared" si="26"/>
        <v>LBL029HCAdolecentes 10-19</v>
      </c>
      <c r="G509" s="41" t="s">
        <v>490</v>
      </c>
      <c r="H509" s="41" t="s">
        <v>81</v>
      </c>
    </row>
    <row r="510" spans="1:8">
      <c r="A510" s="41" t="s">
        <v>491</v>
      </c>
      <c r="B510" s="39" t="s">
        <v>232</v>
      </c>
      <c r="C510" s="39" t="s">
        <v>226</v>
      </c>
      <c r="D510" s="41" t="str">
        <f t="shared" si="24"/>
        <v>LBL030HC</v>
      </c>
      <c r="E510" s="41" t="str">
        <f t="shared" si="25"/>
        <v>LBL030Adolecentes 10-19</v>
      </c>
      <c r="F510" s="41" t="str">
        <f t="shared" si="26"/>
        <v>LBL030HCAdolecentes 10-19</v>
      </c>
      <c r="G510" s="41" t="s">
        <v>492</v>
      </c>
      <c r="H510" s="41" t="s">
        <v>81</v>
      </c>
    </row>
    <row r="511" spans="1:8">
      <c r="A511" s="41" t="s">
        <v>493</v>
      </c>
      <c r="B511" s="39" t="s">
        <v>232</v>
      </c>
      <c r="C511" s="39" t="s">
        <v>226</v>
      </c>
      <c r="D511" s="41" t="str">
        <f t="shared" si="24"/>
        <v>LBL031HC</v>
      </c>
      <c r="E511" s="41" t="str">
        <f t="shared" si="25"/>
        <v>LBL031Adolecentes 10-19</v>
      </c>
      <c r="F511" s="41" t="str">
        <f t="shared" si="26"/>
        <v>LBL031HCAdolecentes 10-19</v>
      </c>
      <c r="G511" s="41" t="s">
        <v>494</v>
      </c>
      <c r="H511" s="41" t="s">
        <v>81</v>
      </c>
    </row>
    <row r="512" spans="1:8">
      <c r="A512" s="41" t="s">
        <v>495</v>
      </c>
      <c r="B512" s="39" t="s">
        <v>232</v>
      </c>
      <c r="C512" s="39" t="s">
        <v>226</v>
      </c>
      <c r="D512" s="41" t="str">
        <f t="shared" si="24"/>
        <v>LBL032HC</v>
      </c>
      <c r="E512" s="41" t="str">
        <f t="shared" si="25"/>
        <v>LBL032Adolecentes 10-19</v>
      </c>
      <c r="F512" s="41" t="str">
        <f t="shared" si="26"/>
        <v>LBL032HCAdolecentes 10-19</v>
      </c>
      <c r="G512" s="41" t="s">
        <v>496</v>
      </c>
      <c r="H512" s="41" t="s">
        <v>81</v>
      </c>
    </row>
    <row r="513" spans="1:8">
      <c r="A513" s="41" t="s">
        <v>497</v>
      </c>
      <c r="B513" s="39" t="s">
        <v>232</v>
      </c>
      <c r="C513" s="39" t="s">
        <v>226</v>
      </c>
      <c r="D513" s="41" t="str">
        <f t="shared" si="24"/>
        <v>LBL033HC</v>
      </c>
      <c r="E513" s="41" t="str">
        <f t="shared" si="25"/>
        <v>LBL033Adolecentes 10-19</v>
      </c>
      <c r="F513" s="41" t="str">
        <f t="shared" si="26"/>
        <v>LBL033HCAdolecentes 10-19</v>
      </c>
      <c r="G513" s="41" t="s">
        <v>498</v>
      </c>
      <c r="H513" s="41" t="s">
        <v>81</v>
      </c>
    </row>
    <row r="514" spans="1:8">
      <c r="A514" s="41" t="s">
        <v>499</v>
      </c>
      <c r="B514" s="39" t="s">
        <v>232</v>
      </c>
      <c r="C514" s="39" t="s">
        <v>226</v>
      </c>
      <c r="D514" s="41" t="str">
        <f t="shared" si="24"/>
        <v>LBL037HC</v>
      </c>
      <c r="E514" s="41" t="str">
        <f t="shared" si="25"/>
        <v>LBL037Adolecentes 10-19</v>
      </c>
      <c r="F514" s="41" t="str">
        <f t="shared" si="26"/>
        <v>LBL037HCAdolecentes 10-19</v>
      </c>
      <c r="G514" s="41" t="s">
        <v>500</v>
      </c>
      <c r="H514" s="41" t="s">
        <v>81</v>
      </c>
    </row>
    <row r="515" spans="1:8">
      <c r="A515" s="41" t="s">
        <v>501</v>
      </c>
      <c r="B515" s="39" t="s">
        <v>232</v>
      </c>
      <c r="C515" s="39" t="s">
        <v>226</v>
      </c>
      <c r="D515" s="41" t="str">
        <f t="shared" si="24"/>
        <v>LBL038HC</v>
      </c>
      <c r="E515" s="41" t="str">
        <f t="shared" si="25"/>
        <v>LBL038Adolecentes 10-19</v>
      </c>
      <c r="F515" s="41" t="str">
        <f t="shared" si="26"/>
        <v>LBL038HCAdolecentes 10-19</v>
      </c>
      <c r="G515" s="41" t="s">
        <v>502</v>
      </c>
      <c r="H515" s="41" t="s">
        <v>81</v>
      </c>
    </row>
    <row r="516" spans="1:8">
      <c r="A516" s="41" t="s">
        <v>503</v>
      </c>
      <c r="B516" s="39" t="s">
        <v>232</v>
      </c>
      <c r="C516" s="39" t="s">
        <v>226</v>
      </c>
      <c r="D516" s="41" t="str">
        <f t="shared" si="24"/>
        <v>LBL040HC</v>
      </c>
      <c r="E516" s="41" t="str">
        <f t="shared" si="25"/>
        <v>LBL040Adolecentes 10-19</v>
      </c>
      <c r="F516" s="41" t="str">
        <f t="shared" si="26"/>
        <v>LBL040HCAdolecentes 10-19</v>
      </c>
      <c r="G516" s="41" t="s">
        <v>504</v>
      </c>
      <c r="H516" s="41" t="s">
        <v>81</v>
      </c>
    </row>
    <row r="517" spans="1:8">
      <c r="A517" s="41" t="s">
        <v>505</v>
      </c>
      <c r="B517" s="39" t="s">
        <v>232</v>
      </c>
      <c r="C517" s="39" t="s">
        <v>226</v>
      </c>
      <c r="D517" s="41" t="str">
        <f t="shared" si="24"/>
        <v>LBL041HC</v>
      </c>
      <c r="E517" s="41" t="str">
        <f t="shared" si="25"/>
        <v>LBL041Adolecentes 10-19</v>
      </c>
      <c r="F517" s="41" t="str">
        <f t="shared" si="26"/>
        <v>LBL041HCAdolecentes 10-19</v>
      </c>
      <c r="G517" s="41" t="s">
        <v>506</v>
      </c>
      <c r="H517" s="41" t="s">
        <v>81</v>
      </c>
    </row>
    <row r="518" spans="1:8">
      <c r="A518" s="41" t="s">
        <v>507</v>
      </c>
      <c r="B518" s="39" t="s">
        <v>232</v>
      </c>
      <c r="C518" s="39" t="s">
        <v>226</v>
      </c>
      <c r="D518" s="41" t="str">
        <f t="shared" si="24"/>
        <v>LBL042HC</v>
      </c>
      <c r="E518" s="41" t="str">
        <f t="shared" si="25"/>
        <v>LBL042Adolecentes 10-19</v>
      </c>
      <c r="F518" s="41" t="str">
        <f t="shared" si="26"/>
        <v>LBL042HCAdolecentes 10-19</v>
      </c>
      <c r="G518" s="41" t="s">
        <v>508</v>
      </c>
      <c r="H518" s="41" t="s">
        <v>81</v>
      </c>
    </row>
    <row r="519" spans="1:8">
      <c r="A519" s="41" t="s">
        <v>509</v>
      </c>
      <c r="B519" s="39" t="s">
        <v>232</v>
      </c>
      <c r="C519" s="39" t="s">
        <v>226</v>
      </c>
      <c r="D519" s="41" t="str">
        <f t="shared" si="24"/>
        <v>LBL044HC</v>
      </c>
      <c r="E519" s="41" t="str">
        <f t="shared" si="25"/>
        <v>LBL044Adolecentes 10-19</v>
      </c>
      <c r="F519" s="41" t="str">
        <f t="shared" si="26"/>
        <v>LBL044HCAdolecentes 10-19</v>
      </c>
      <c r="G519" s="41" t="s">
        <v>510</v>
      </c>
      <c r="H519" s="41" t="s">
        <v>81</v>
      </c>
    </row>
    <row r="520" spans="1:8">
      <c r="A520" s="41" t="s">
        <v>511</v>
      </c>
      <c r="B520" s="39" t="s">
        <v>232</v>
      </c>
      <c r="C520" s="39" t="s">
        <v>226</v>
      </c>
      <c r="D520" s="41" t="str">
        <f t="shared" si="24"/>
        <v>LBL045HC</v>
      </c>
      <c r="E520" s="41" t="str">
        <f t="shared" si="25"/>
        <v>LBL045Adolecentes 10-19</v>
      </c>
      <c r="F520" s="41" t="str">
        <f t="shared" si="26"/>
        <v>LBL045HCAdolecentes 10-19</v>
      </c>
      <c r="G520" s="41" t="s">
        <v>512</v>
      </c>
      <c r="H520" s="41" t="s">
        <v>81</v>
      </c>
    </row>
    <row r="521" spans="1:8">
      <c r="A521" s="41" t="s">
        <v>513</v>
      </c>
      <c r="B521" s="39" t="s">
        <v>232</v>
      </c>
      <c r="C521" s="39" t="s">
        <v>226</v>
      </c>
      <c r="D521" s="41" t="str">
        <f t="shared" si="24"/>
        <v>LBL047HC</v>
      </c>
      <c r="E521" s="41" t="str">
        <f t="shared" si="25"/>
        <v>LBL047Adolecentes 10-19</v>
      </c>
      <c r="F521" s="41" t="str">
        <f t="shared" si="26"/>
        <v>LBL047HCAdolecentes 10-19</v>
      </c>
      <c r="G521" s="41" t="s">
        <v>514</v>
      </c>
      <c r="H521" s="41" t="s">
        <v>81</v>
      </c>
    </row>
    <row r="522" spans="1:8">
      <c r="A522" s="41" t="s">
        <v>515</v>
      </c>
      <c r="B522" s="39" t="s">
        <v>232</v>
      </c>
      <c r="C522" s="39" t="s">
        <v>226</v>
      </c>
      <c r="D522" s="41" t="str">
        <f t="shared" si="24"/>
        <v>LBL048HC</v>
      </c>
      <c r="E522" s="41" t="str">
        <f t="shared" si="25"/>
        <v>LBL048Adolecentes 10-19</v>
      </c>
      <c r="F522" s="41" t="str">
        <f t="shared" si="26"/>
        <v>LBL048HCAdolecentes 10-19</v>
      </c>
      <c r="G522" s="41" t="s">
        <v>516</v>
      </c>
      <c r="H522" s="41" t="s">
        <v>81</v>
      </c>
    </row>
    <row r="523" spans="1:8">
      <c r="A523" s="41" t="s">
        <v>517</v>
      </c>
      <c r="B523" s="39" t="s">
        <v>232</v>
      </c>
      <c r="C523" s="39" t="s">
        <v>226</v>
      </c>
      <c r="D523" s="41" t="str">
        <f t="shared" si="24"/>
        <v>LBL050HC</v>
      </c>
      <c r="E523" s="41" t="str">
        <f t="shared" si="25"/>
        <v>LBL050Adolecentes 10-19</v>
      </c>
      <c r="F523" s="41" t="str">
        <f t="shared" si="26"/>
        <v>LBL050HCAdolecentes 10-19</v>
      </c>
      <c r="G523" s="41" t="s">
        <v>518</v>
      </c>
      <c r="H523" s="41" t="s">
        <v>81</v>
      </c>
    </row>
    <row r="524" spans="1:8">
      <c r="A524" s="41" t="s">
        <v>519</v>
      </c>
      <c r="B524" s="39" t="s">
        <v>232</v>
      </c>
      <c r="C524" s="39" t="s">
        <v>226</v>
      </c>
      <c r="D524" s="41" t="str">
        <f t="shared" si="24"/>
        <v>LBL051HC</v>
      </c>
      <c r="E524" s="41" t="str">
        <f t="shared" si="25"/>
        <v>LBL051Adolecentes 10-19</v>
      </c>
      <c r="F524" s="41" t="str">
        <f t="shared" si="26"/>
        <v>LBL051HCAdolecentes 10-19</v>
      </c>
      <c r="G524" s="41" t="s">
        <v>520</v>
      </c>
      <c r="H524" s="41" t="s">
        <v>81</v>
      </c>
    </row>
    <row r="525" spans="1:8">
      <c r="A525" s="41" t="s">
        <v>521</v>
      </c>
      <c r="B525" s="39" t="s">
        <v>232</v>
      </c>
      <c r="C525" s="39" t="s">
        <v>226</v>
      </c>
      <c r="D525" s="41" t="str">
        <f t="shared" si="24"/>
        <v>LBL052HC</v>
      </c>
      <c r="E525" s="41" t="str">
        <f t="shared" si="25"/>
        <v>LBL052Adolecentes 10-19</v>
      </c>
      <c r="F525" s="41" t="str">
        <f t="shared" si="26"/>
        <v>LBL052HCAdolecentes 10-19</v>
      </c>
      <c r="G525" s="41" t="s">
        <v>522</v>
      </c>
      <c r="H525" s="41" t="s">
        <v>81</v>
      </c>
    </row>
    <row r="526" spans="1:8">
      <c r="A526" s="41" t="s">
        <v>523</v>
      </c>
      <c r="B526" s="39" t="s">
        <v>232</v>
      </c>
      <c r="C526" s="39" t="s">
        <v>226</v>
      </c>
      <c r="D526" s="41" t="str">
        <f t="shared" si="24"/>
        <v>LBL053HC</v>
      </c>
      <c r="E526" s="41" t="str">
        <f t="shared" si="25"/>
        <v>LBL053Adolecentes 10-19</v>
      </c>
      <c r="F526" s="41" t="str">
        <f t="shared" si="26"/>
        <v>LBL053HCAdolecentes 10-19</v>
      </c>
      <c r="G526" s="41" t="s">
        <v>524</v>
      </c>
      <c r="H526" s="41" t="s">
        <v>81</v>
      </c>
    </row>
    <row r="527" spans="1:8">
      <c r="A527" s="41" t="s">
        <v>525</v>
      </c>
      <c r="B527" s="39" t="s">
        <v>232</v>
      </c>
      <c r="C527" s="39" t="s">
        <v>226</v>
      </c>
      <c r="D527" s="41" t="str">
        <f t="shared" si="24"/>
        <v>LBL055HC</v>
      </c>
      <c r="E527" s="41" t="str">
        <f t="shared" si="25"/>
        <v>LBL055Adolecentes 10-19</v>
      </c>
      <c r="F527" s="41" t="str">
        <f t="shared" si="26"/>
        <v>LBL055HCAdolecentes 10-19</v>
      </c>
      <c r="G527" s="41" t="s">
        <v>526</v>
      </c>
      <c r="H527" s="41" t="s">
        <v>81</v>
      </c>
    </row>
    <row r="528" spans="1:8">
      <c r="A528" s="41" t="s">
        <v>527</v>
      </c>
      <c r="B528" s="39" t="s">
        <v>232</v>
      </c>
      <c r="C528" s="39" t="s">
        <v>226</v>
      </c>
      <c r="D528" s="41" t="str">
        <f t="shared" si="24"/>
        <v>LBL057HC</v>
      </c>
      <c r="E528" s="41" t="str">
        <f t="shared" si="25"/>
        <v>LBL057Adolecentes 10-19</v>
      </c>
      <c r="F528" s="41" t="str">
        <f t="shared" si="26"/>
        <v>LBL057HCAdolecentes 10-19</v>
      </c>
      <c r="G528" s="41" t="s">
        <v>528</v>
      </c>
      <c r="H528" s="41" t="s">
        <v>81</v>
      </c>
    </row>
    <row r="529" spans="1:8">
      <c r="A529" s="41" t="s">
        <v>529</v>
      </c>
      <c r="B529" s="39" t="s">
        <v>232</v>
      </c>
      <c r="C529" s="39" t="s">
        <v>226</v>
      </c>
      <c r="D529" s="41" t="str">
        <f t="shared" si="24"/>
        <v>LBL058HC</v>
      </c>
      <c r="E529" s="41" t="str">
        <f t="shared" si="25"/>
        <v>LBL058Adolecentes 10-19</v>
      </c>
      <c r="F529" s="41" t="str">
        <f t="shared" si="26"/>
        <v>LBL058HCAdolecentes 10-19</v>
      </c>
      <c r="G529" s="41" t="s">
        <v>530</v>
      </c>
      <c r="H529" s="41" t="s">
        <v>81</v>
      </c>
    </row>
    <row r="530" spans="1:8">
      <c r="A530" s="41" t="s">
        <v>531</v>
      </c>
      <c r="B530" s="39" t="s">
        <v>232</v>
      </c>
      <c r="C530" s="39" t="s">
        <v>226</v>
      </c>
      <c r="D530" s="41" t="str">
        <f t="shared" si="24"/>
        <v>LBL059HC</v>
      </c>
      <c r="E530" s="41" t="str">
        <f t="shared" si="25"/>
        <v>LBL059Adolecentes 10-19</v>
      </c>
      <c r="F530" s="41" t="str">
        <f t="shared" si="26"/>
        <v>LBL059HCAdolecentes 10-19</v>
      </c>
      <c r="G530" s="41" t="s">
        <v>532</v>
      </c>
      <c r="H530" s="41" t="s">
        <v>81</v>
      </c>
    </row>
    <row r="531" spans="1:8">
      <c r="A531" s="41" t="s">
        <v>533</v>
      </c>
      <c r="B531" s="39" t="s">
        <v>232</v>
      </c>
      <c r="C531" s="39" t="s">
        <v>226</v>
      </c>
      <c r="D531" s="41" t="str">
        <f t="shared" si="24"/>
        <v>LBL060HC</v>
      </c>
      <c r="E531" s="41" t="str">
        <f t="shared" si="25"/>
        <v>LBL060Adolecentes 10-19</v>
      </c>
      <c r="F531" s="41" t="str">
        <f t="shared" si="26"/>
        <v>LBL060HCAdolecentes 10-19</v>
      </c>
      <c r="G531" s="41" t="s">
        <v>534</v>
      </c>
      <c r="H531" s="41" t="s">
        <v>81</v>
      </c>
    </row>
    <row r="532" spans="1:8">
      <c r="A532" s="41" t="s">
        <v>535</v>
      </c>
      <c r="B532" s="39" t="s">
        <v>232</v>
      </c>
      <c r="C532" s="39" t="s">
        <v>226</v>
      </c>
      <c r="D532" s="41" t="str">
        <f t="shared" si="24"/>
        <v>LBL061HC</v>
      </c>
      <c r="E532" s="41" t="str">
        <f t="shared" si="25"/>
        <v>LBL061Adolecentes 10-19</v>
      </c>
      <c r="F532" s="41" t="str">
        <f t="shared" si="26"/>
        <v>LBL061HCAdolecentes 10-19</v>
      </c>
      <c r="G532" s="41" t="s">
        <v>536</v>
      </c>
      <c r="H532" s="41" t="s">
        <v>81</v>
      </c>
    </row>
    <row r="533" spans="1:8">
      <c r="A533" s="41" t="s">
        <v>537</v>
      </c>
      <c r="B533" s="39" t="s">
        <v>232</v>
      </c>
      <c r="C533" s="39" t="s">
        <v>226</v>
      </c>
      <c r="D533" s="41" t="str">
        <f t="shared" si="24"/>
        <v>LBL062HC</v>
      </c>
      <c r="E533" s="41" t="str">
        <f t="shared" si="25"/>
        <v>LBL062Adolecentes 10-19</v>
      </c>
      <c r="F533" s="41" t="str">
        <f t="shared" si="26"/>
        <v>LBL062HCAdolecentes 10-19</v>
      </c>
      <c r="G533" s="41" t="s">
        <v>538</v>
      </c>
      <c r="H533" s="41" t="s">
        <v>81</v>
      </c>
    </row>
    <row r="534" spans="1:8">
      <c r="A534" s="41" t="s">
        <v>539</v>
      </c>
      <c r="B534" s="39" t="s">
        <v>232</v>
      </c>
      <c r="C534" s="39" t="s">
        <v>226</v>
      </c>
      <c r="D534" s="41" t="str">
        <f t="shared" si="24"/>
        <v>LBL065HC</v>
      </c>
      <c r="E534" s="41" t="str">
        <f t="shared" si="25"/>
        <v>LBL065Adolecentes 10-19</v>
      </c>
      <c r="F534" s="41" t="str">
        <f t="shared" si="26"/>
        <v>LBL065HCAdolecentes 10-19</v>
      </c>
      <c r="G534" s="41" t="s">
        <v>540</v>
      </c>
      <c r="H534" s="41" t="s">
        <v>81</v>
      </c>
    </row>
    <row r="535" spans="1:8">
      <c r="A535" s="41" t="s">
        <v>541</v>
      </c>
      <c r="B535" s="39" t="s">
        <v>232</v>
      </c>
      <c r="C535" s="39" t="s">
        <v>226</v>
      </c>
      <c r="D535" s="41" t="str">
        <f t="shared" si="24"/>
        <v>LBL066HC</v>
      </c>
      <c r="E535" s="41" t="str">
        <f t="shared" si="25"/>
        <v>LBL066Adolecentes 10-19</v>
      </c>
      <c r="F535" s="41" t="str">
        <f t="shared" si="26"/>
        <v>LBL066HCAdolecentes 10-19</v>
      </c>
      <c r="G535" s="41" t="s">
        <v>542</v>
      </c>
      <c r="H535" s="41" t="s">
        <v>81</v>
      </c>
    </row>
    <row r="536" spans="1:8">
      <c r="A536" s="41" t="s">
        <v>543</v>
      </c>
      <c r="B536" s="39" t="s">
        <v>232</v>
      </c>
      <c r="C536" s="39" t="s">
        <v>226</v>
      </c>
      <c r="D536" s="41" t="str">
        <f t="shared" si="24"/>
        <v>LBL067HC</v>
      </c>
      <c r="E536" s="41" t="str">
        <f t="shared" si="25"/>
        <v>LBL067Adolecentes 10-19</v>
      </c>
      <c r="F536" s="41" t="str">
        <f t="shared" si="26"/>
        <v>LBL067HCAdolecentes 10-19</v>
      </c>
      <c r="G536" s="41" t="s">
        <v>544</v>
      </c>
      <c r="H536" s="41" t="s">
        <v>81</v>
      </c>
    </row>
    <row r="537" spans="1:8">
      <c r="A537" s="41" t="s">
        <v>545</v>
      </c>
      <c r="B537" s="39" t="s">
        <v>232</v>
      </c>
      <c r="C537" s="39" t="s">
        <v>226</v>
      </c>
      <c r="D537" s="41" t="str">
        <f t="shared" si="24"/>
        <v>LBL068HC</v>
      </c>
      <c r="E537" s="41" t="str">
        <f t="shared" si="25"/>
        <v>LBL068Adolecentes 10-19</v>
      </c>
      <c r="F537" s="41" t="str">
        <f t="shared" si="26"/>
        <v>LBL068HCAdolecentes 10-19</v>
      </c>
      <c r="G537" s="41" t="s">
        <v>546</v>
      </c>
      <c r="H537" s="41" t="s">
        <v>81</v>
      </c>
    </row>
    <row r="538" spans="1:8">
      <c r="A538" s="41" t="s">
        <v>547</v>
      </c>
      <c r="B538" s="39" t="s">
        <v>232</v>
      </c>
      <c r="C538" s="39" t="s">
        <v>226</v>
      </c>
      <c r="D538" s="41" t="str">
        <f t="shared" si="24"/>
        <v>LBL069HC</v>
      </c>
      <c r="E538" s="41" t="str">
        <f t="shared" si="25"/>
        <v>LBL069Adolecentes 10-19</v>
      </c>
      <c r="F538" s="41" t="str">
        <f t="shared" si="26"/>
        <v>LBL069HCAdolecentes 10-19</v>
      </c>
      <c r="G538" s="41" t="s">
        <v>548</v>
      </c>
      <c r="H538" s="41" t="s">
        <v>81</v>
      </c>
    </row>
    <row r="539" spans="1:8">
      <c r="A539" s="41" t="s">
        <v>549</v>
      </c>
      <c r="B539" s="39" t="s">
        <v>232</v>
      </c>
      <c r="C539" s="39" t="s">
        <v>226</v>
      </c>
      <c r="D539" s="41" t="str">
        <f t="shared" si="24"/>
        <v>LBL070HC</v>
      </c>
      <c r="E539" s="41" t="str">
        <f t="shared" si="25"/>
        <v>LBL070Adolecentes 10-19</v>
      </c>
      <c r="F539" s="41" t="str">
        <f t="shared" si="26"/>
        <v>LBL070HCAdolecentes 10-19</v>
      </c>
      <c r="G539" s="41" t="s">
        <v>550</v>
      </c>
      <c r="H539" s="41" t="s">
        <v>81</v>
      </c>
    </row>
    <row r="540" spans="1:8">
      <c r="A540" s="41" t="s">
        <v>551</v>
      </c>
      <c r="B540" s="39" t="s">
        <v>232</v>
      </c>
      <c r="C540" s="39" t="s">
        <v>226</v>
      </c>
      <c r="D540" s="41" t="str">
        <f t="shared" si="24"/>
        <v>LBL072HC</v>
      </c>
      <c r="E540" s="41" t="str">
        <f t="shared" si="25"/>
        <v>LBL072Adolecentes 10-19</v>
      </c>
      <c r="F540" s="41" t="str">
        <f t="shared" si="26"/>
        <v>LBL072HCAdolecentes 10-19</v>
      </c>
      <c r="G540" s="41" t="s">
        <v>552</v>
      </c>
      <c r="H540" s="41" t="s">
        <v>81</v>
      </c>
    </row>
    <row r="541" spans="1:8">
      <c r="A541" s="41" t="s">
        <v>553</v>
      </c>
      <c r="B541" s="39" t="s">
        <v>232</v>
      </c>
      <c r="C541" s="39" t="s">
        <v>226</v>
      </c>
      <c r="D541" s="41" t="str">
        <f t="shared" si="24"/>
        <v>LBL073HC</v>
      </c>
      <c r="E541" s="41" t="str">
        <f t="shared" si="25"/>
        <v>LBL073Adolecentes 10-19</v>
      </c>
      <c r="F541" s="41" t="str">
        <f t="shared" si="26"/>
        <v>LBL073HCAdolecentes 10-19</v>
      </c>
      <c r="G541" s="41" t="s">
        <v>554</v>
      </c>
      <c r="H541" s="41" t="s">
        <v>81</v>
      </c>
    </row>
    <row r="542" spans="1:8">
      <c r="A542" s="41" t="s">
        <v>555</v>
      </c>
      <c r="B542" s="39" t="s">
        <v>232</v>
      </c>
      <c r="C542" s="39" t="s">
        <v>226</v>
      </c>
      <c r="D542" s="41" t="str">
        <f t="shared" si="24"/>
        <v>LBL075HC</v>
      </c>
      <c r="E542" s="41" t="str">
        <f t="shared" si="25"/>
        <v>LBL075Adolecentes 10-19</v>
      </c>
      <c r="F542" s="41" t="str">
        <f t="shared" si="26"/>
        <v>LBL075HCAdolecentes 10-19</v>
      </c>
      <c r="G542" s="41" t="s">
        <v>706</v>
      </c>
      <c r="H542" s="41" t="s">
        <v>81</v>
      </c>
    </row>
    <row r="543" spans="1:8">
      <c r="A543" s="41" t="s">
        <v>556</v>
      </c>
      <c r="B543" s="39" t="s">
        <v>232</v>
      </c>
      <c r="C543" s="39" t="s">
        <v>226</v>
      </c>
      <c r="D543" s="41" t="str">
        <f t="shared" si="24"/>
        <v>LBL076HC</v>
      </c>
      <c r="E543" s="41" t="str">
        <f t="shared" si="25"/>
        <v>LBL076Adolecentes 10-19</v>
      </c>
      <c r="F543" s="41" t="str">
        <f t="shared" si="26"/>
        <v>LBL076HCAdolecentes 10-19</v>
      </c>
      <c r="G543" s="41" t="s">
        <v>557</v>
      </c>
      <c r="H543" s="41" t="s">
        <v>81</v>
      </c>
    </row>
    <row r="544" spans="1:8">
      <c r="A544" s="41" t="s">
        <v>558</v>
      </c>
      <c r="B544" s="39" t="s">
        <v>232</v>
      </c>
      <c r="C544" s="39" t="s">
        <v>226</v>
      </c>
      <c r="D544" s="41" t="str">
        <f t="shared" si="24"/>
        <v>LBL078HC</v>
      </c>
      <c r="E544" s="41" t="str">
        <f t="shared" si="25"/>
        <v>LBL078Adolecentes 10-19</v>
      </c>
      <c r="F544" s="41" t="str">
        <f t="shared" si="26"/>
        <v>LBL078HCAdolecentes 10-19</v>
      </c>
      <c r="G544" s="41" t="s">
        <v>559</v>
      </c>
      <c r="H544" s="41" t="s">
        <v>81</v>
      </c>
    </row>
    <row r="545" spans="1:8">
      <c r="A545" s="41" t="s">
        <v>560</v>
      </c>
      <c r="B545" s="39" t="s">
        <v>232</v>
      </c>
      <c r="C545" s="39" t="s">
        <v>226</v>
      </c>
      <c r="D545" s="41" t="str">
        <f t="shared" si="24"/>
        <v>LBL079HC</v>
      </c>
      <c r="E545" s="41" t="str">
        <f t="shared" si="25"/>
        <v>LBL079Adolecentes 10-19</v>
      </c>
      <c r="F545" s="41" t="str">
        <f t="shared" si="26"/>
        <v>LBL079HCAdolecentes 10-19</v>
      </c>
      <c r="G545" s="41" t="s">
        <v>561</v>
      </c>
      <c r="H545" s="41" t="s">
        <v>81</v>
      </c>
    </row>
    <row r="546" spans="1:8">
      <c r="A546" s="41" t="s">
        <v>562</v>
      </c>
      <c r="B546" s="39" t="s">
        <v>232</v>
      </c>
      <c r="C546" s="39" t="s">
        <v>226</v>
      </c>
      <c r="D546" s="41" t="str">
        <f t="shared" si="24"/>
        <v>LBL081HC</v>
      </c>
      <c r="E546" s="41" t="str">
        <f t="shared" si="25"/>
        <v>LBL081Adolecentes 10-19</v>
      </c>
      <c r="F546" s="41" t="str">
        <f t="shared" si="26"/>
        <v>LBL081HCAdolecentes 10-19</v>
      </c>
      <c r="G546" s="41" t="s">
        <v>707</v>
      </c>
      <c r="H546" s="41" t="s">
        <v>81</v>
      </c>
    </row>
    <row r="547" spans="1:8">
      <c r="A547" s="41" t="s">
        <v>563</v>
      </c>
      <c r="B547" s="39" t="s">
        <v>232</v>
      </c>
      <c r="C547" s="39" t="s">
        <v>226</v>
      </c>
      <c r="D547" s="41" t="str">
        <f t="shared" si="24"/>
        <v>LBL083HC</v>
      </c>
      <c r="E547" s="41" t="str">
        <f t="shared" si="25"/>
        <v>LBL083Adolecentes 10-19</v>
      </c>
      <c r="F547" s="41" t="str">
        <f t="shared" si="26"/>
        <v>LBL083HCAdolecentes 10-19</v>
      </c>
      <c r="G547" s="41" t="s">
        <v>564</v>
      </c>
      <c r="H547" s="41" t="s">
        <v>81</v>
      </c>
    </row>
    <row r="548" spans="1:8">
      <c r="A548" s="41" t="s">
        <v>565</v>
      </c>
      <c r="B548" s="39" t="s">
        <v>232</v>
      </c>
      <c r="C548" s="39" t="s">
        <v>226</v>
      </c>
      <c r="D548" s="41" t="str">
        <f t="shared" si="24"/>
        <v>LBL084HC</v>
      </c>
      <c r="E548" s="41" t="str">
        <f t="shared" si="25"/>
        <v>LBL084Adolecentes 10-19</v>
      </c>
      <c r="F548" s="41" t="str">
        <f t="shared" si="26"/>
        <v>LBL084HCAdolecentes 10-19</v>
      </c>
      <c r="G548" s="41" t="s">
        <v>566</v>
      </c>
      <c r="H548" s="41" t="s">
        <v>81</v>
      </c>
    </row>
    <row r="549" spans="1:8">
      <c r="A549" s="41" t="s">
        <v>567</v>
      </c>
      <c r="B549" s="39" t="s">
        <v>232</v>
      </c>
      <c r="C549" s="39" t="s">
        <v>226</v>
      </c>
      <c r="D549" s="41" t="str">
        <f t="shared" si="24"/>
        <v>LBL086HC</v>
      </c>
      <c r="E549" s="41" t="str">
        <f t="shared" si="25"/>
        <v>LBL086Adolecentes 10-19</v>
      </c>
      <c r="F549" s="41" t="str">
        <f t="shared" si="26"/>
        <v>LBL086HCAdolecentes 10-19</v>
      </c>
      <c r="G549" s="41" t="s">
        <v>568</v>
      </c>
      <c r="H549" s="41" t="s">
        <v>81</v>
      </c>
    </row>
    <row r="550" spans="1:8">
      <c r="A550" s="41" t="s">
        <v>569</v>
      </c>
      <c r="B550" s="39" t="s">
        <v>232</v>
      </c>
      <c r="C550" s="39" t="s">
        <v>226</v>
      </c>
      <c r="D550" s="41" t="str">
        <f t="shared" si="24"/>
        <v>LBL087HC</v>
      </c>
      <c r="E550" s="41" t="str">
        <f t="shared" si="25"/>
        <v>LBL087Adolecentes 10-19</v>
      </c>
      <c r="F550" s="41" t="str">
        <f t="shared" si="26"/>
        <v>LBL087HCAdolecentes 10-19</v>
      </c>
      <c r="G550" s="41" t="s">
        <v>570</v>
      </c>
      <c r="H550" s="41" t="s">
        <v>81</v>
      </c>
    </row>
    <row r="551" spans="1:8">
      <c r="A551" s="41" t="s">
        <v>571</v>
      </c>
      <c r="B551" s="39" t="s">
        <v>232</v>
      </c>
      <c r="C551" s="39" t="s">
        <v>226</v>
      </c>
      <c r="D551" s="41" t="str">
        <f t="shared" si="24"/>
        <v>LBL088HC</v>
      </c>
      <c r="E551" s="41" t="str">
        <f t="shared" si="25"/>
        <v>LBL088Adolecentes 10-19</v>
      </c>
      <c r="F551" s="41" t="str">
        <f t="shared" si="26"/>
        <v>LBL088HCAdolecentes 10-19</v>
      </c>
      <c r="G551" s="41" t="s">
        <v>708</v>
      </c>
      <c r="H551" s="41" t="s">
        <v>81</v>
      </c>
    </row>
    <row r="552" spans="1:8">
      <c r="A552" s="41" t="s">
        <v>572</v>
      </c>
      <c r="B552" s="39" t="s">
        <v>232</v>
      </c>
      <c r="C552" s="39" t="s">
        <v>226</v>
      </c>
      <c r="D552" s="41" t="str">
        <f t="shared" si="24"/>
        <v>LBL089HC</v>
      </c>
      <c r="E552" s="41" t="str">
        <f t="shared" si="25"/>
        <v>LBL089Adolecentes 10-19</v>
      </c>
      <c r="F552" s="41" t="str">
        <f t="shared" si="26"/>
        <v>LBL089HCAdolecentes 10-19</v>
      </c>
      <c r="G552" s="41" t="s">
        <v>573</v>
      </c>
      <c r="H552" s="41" t="s">
        <v>81</v>
      </c>
    </row>
    <row r="553" spans="1:8">
      <c r="A553" s="41" t="s">
        <v>574</v>
      </c>
      <c r="B553" s="39" t="s">
        <v>232</v>
      </c>
      <c r="C553" s="39" t="s">
        <v>226</v>
      </c>
      <c r="D553" s="41" t="str">
        <f t="shared" si="24"/>
        <v>LBL091HC</v>
      </c>
      <c r="E553" s="41" t="str">
        <f t="shared" si="25"/>
        <v>LBL091Adolecentes 10-19</v>
      </c>
      <c r="F553" s="41" t="str">
        <f t="shared" si="26"/>
        <v>LBL091HCAdolecentes 10-19</v>
      </c>
      <c r="G553" s="41" t="s">
        <v>575</v>
      </c>
      <c r="H553" s="41" t="s">
        <v>81</v>
      </c>
    </row>
    <row r="554" spans="1:8">
      <c r="A554" s="41" t="s">
        <v>576</v>
      </c>
      <c r="B554" s="39" t="s">
        <v>232</v>
      </c>
      <c r="C554" s="39" t="s">
        <v>226</v>
      </c>
      <c r="D554" s="41" t="str">
        <f t="shared" si="24"/>
        <v>LBL092HC</v>
      </c>
      <c r="E554" s="41" t="str">
        <f t="shared" si="25"/>
        <v>LBL092Adolecentes 10-19</v>
      </c>
      <c r="F554" s="41" t="str">
        <f t="shared" si="26"/>
        <v>LBL092HCAdolecentes 10-19</v>
      </c>
      <c r="G554" s="41" t="s">
        <v>577</v>
      </c>
      <c r="H554" s="41" t="s">
        <v>81</v>
      </c>
    </row>
    <row r="555" spans="1:8">
      <c r="A555" s="41" t="s">
        <v>578</v>
      </c>
      <c r="B555" s="39" t="s">
        <v>232</v>
      </c>
      <c r="C555" s="39" t="s">
        <v>226</v>
      </c>
      <c r="D555" s="41" t="str">
        <f t="shared" ref="D555:D618" si="27">+CONCATENATE(A555,C555)</f>
        <v>LBL094HC</v>
      </c>
      <c r="E555" s="41" t="str">
        <f t="shared" ref="E555:E618" si="28">+CONCATENATE(A555,B555)</f>
        <v>LBL094Adolecentes 10-19</v>
      </c>
      <c r="F555" s="41" t="str">
        <f t="shared" ref="F555:F618" si="29">CONCATENATE(A555,C555,B555)</f>
        <v>LBL094HCAdolecentes 10-19</v>
      </c>
      <c r="G555" s="41" t="s">
        <v>579</v>
      </c>
      <c r="H555" s="41" t="s">
        <v>81</v>
      </c>
    </row>
    <row r="556" spans="1:8">
      <c r="A556" s="41" t="s">
        <v>580</v>
      </c>
      <c r="B556" s="39" t="s">
        <v>232</v>
      </c>
      <c r="C556" s="39" t="s">
        <v>226</v>
      </c>
      <c r="D556" s="41" t="str">
        <f t="shared" si="27"/>
        <v>LBL095HC</v>
      </c>
      <c r="E556" s="41" t="str">
        <f t="shared" si="28"/>
        <v>LBL095Adolecentes 10-19</v>
      </c>
      <c r="F556" s="41" t="str">
        <f t="shared" si="29"/>
        <v>LBL095HCAdolecentes 10-19</v>
      </c>
      <c r="G556" s="41" t="s">
        <v>581</v>
      </c>
      <c r="H556" s="41" t="s">
        <v>81</v>
      </c>
    </row>
    <row r="557" spans="1:8">
      <c r="A557" s="41" t="s">
        <v>582</v>
      </c>
      <c r="B557" s="39" t="s">
        <v>232</v>
      </c>
      <c r="C557" s="39" t="s">
        <v>226</v>
      </c>
      <c r="D557" s="41" t="str">
        <f t="shared" si="27"/>
        <v>LBL097HC</v>
      </c>
      <c r="E557" s="41" t="str">
        <f t="shared" si="28"/>
        <v>LBL097Adolecentes 10-19</v>
      </c>
      <c r="F557" s="41" t="str">
        <f t="shared" si="29"/>
        <v>LBL097HCAdolecentes 10-19</v>
      </c>
      <c r="G557" s="41" t="s">
        <v>583</v>
      </c>
      <c r="H557" s="41" t="s">
        <v>81</v>
      </c>
    </row>
    <row r="558" spans="1:8">
      <c r="A558" s="41" t="s">
        <v>584</v>
      </c>
      <c r="B558" s="39" t="s">
        <v>232</v>
      </c>
      <c r="C558" s="39" t="s">
        <v>226</v>
      </c>
      <c r="D558" s="41" t="str">
        <f t="shared" si="27"/>
        <v>LBL099HC</v>
      </c>
      <c r="E558" s="41" t="str">
        <f t="shared" si="28"/>
        <v>LBL099Adolecentes 10-19</v>
      </c>
      <c r="F558" s="41" t="str">
        <f t="shared" si="29"/>
        <v>LBL099HCAdolecentes 10-19</v>
      </c>
      <c r="G558" s="41" t="s">
        <v>417</v>
      </c>
      <c r="H558" s="41" t="s">
        <v>81</v>
      </c>
    </row>
    <row r="559" spans="1:8">
      <c r="A559" s="41" t="s">
        <v>585</v>
      </c>
      <c r="B559" s="39" t="s">
        <v>232</v>
      </c>
      <c r="C559" s="39" t="s">
        <v>226</v>
      </c>
      <c r="D559" s="41" t="str">
        <f t="shared" si="27"/>
        <v>LBL100HC</v>
      </c>
      <c r="E559" s="41" t="str">
        <f t="shared" si="28"/>
        <v>LBL100Adolecentes 10-19</v>
      </c>
      <c r="F559" s="41" t="str">
        <f t="shared" si="29"/>
        <v>LBL100HCAdolecentes 10-19</v>
      </c>
      <c r="G559" s="41" t="s">
        <v>709</v>
      </c>
      <c r="H559" s="41" t="s">
        <v>81</v>
      </c>
    </row>
    <row r="560" spans="1:8">
      <c r="A560" s="41" t="s">
        <v>586</v>
      </c>
      <c r="B560" s="39" t="s">
        <v>232</v>
      </c>
      <c r="C560" s="39" t="s">
        <v>226</v>
      </c>
      <c r="D560" s="41" t="str">
        <f t="shared" si="27"/>
        <v>LBL101HC</v>
      </c>
      <c r="E560" s="41" t="str">
        <f t="shared" si="28"/>
        <v>LBL101Adolecentes 10-19</v>
      </c>
      <c r="F560" s="41" t="str">
        <f t="shared" si="29"/>
        <v>LBL101HCAdolecentes 10-19</v>
      </c>
      <c r="G560" s="41" t="s">
        <v>587</v>
      </c>
      <c r="H560" s="41" t="s">
        <v>81</v>
      </c>
    </row>
    <row r="561" spans="1:8">
      <c r="A561" s="41" t="s">
        <v>588</v>
      </c>
      <c r="B561" s="39" t="s">
        <v>232</v>
      </c>
      <c r="C561" s="39" t="s">
        <v>226</v>
      </c>
      <c r="D561" s="41" t="str">
        <f t="shared" si="27"/>
        <v>LBL103HC</v>
      </c>
      <c r="E561" s="41" t="str">
        <f t="shared" si="28"/>
        <v>LBL103Adolecentes 10-19</v>
      </c>
      <c r="F561" s="41" t="str">
        <f t="shared" si="29"/>
        <v>LBL103HCAdolecentes 10-19</v>
      </c>
      <c r="G561" s="41" t="s">
        <v>589</v>
      </c>
      <c r="H561" s="41" t="s">
        <v>81</v>
      </c>
    </row>
    <row r="562" spans="1:8">
      <c r="A562" s="41" t="s">
        <v>590</v>
      </c>
      <c r="B562" s="39" t="s">
        <v>232</v>
      </c>
      <c r="C562" s="39" t="s">
        <v>226</v>
      </c>
      <c r="D562" s="41" t="str">
        <f t="shared" si="27"/>
        <v>LBL104HC</v>
      </c>
      <c r="E562" s="41" t="str">
        <f t="shared" si="28"/>
        <v>LBL104Adolecentes 10-19</v>
      </c>
      <c r="F562" s="41" t="str">
        <f t="shared" si="29"/>
        <v>LBL104HCAdolecentes 10-19</v>
      </c>
      <c r="G562" s="41" t="s">
        <v>591</v>
      </c>
      <c r="H562" s="41" t="s">
        <v>81</v>
      </c>
    </row>
    <row r="563" spans="1:8">
      <c r="A563" s="41" t="s">
        <v>592</v>
      </c>
      <c r="B563" s="39" t="s">
        <v>232</v>
      </c>
      <c r="C563" s="39" t="s">
        <v>226</v>
      </c>
      <c r="D563" s="41" t="str">
        <f t="shared" si="27"/>
        <v>LBL105HC</v>
      </c>
      <c r="E563" s="41" t="str">
        <f t="shared" si="28"/>
        <v>LBL105Adolecentes 10-19</v>
      </c>
      <c r="F563" s="41" t="str">
        <f t="shared" si="29"/>
        <v>LBL105HCAdolecentes 10-19</v>
      </c>
      <c r="G563" s="41" t="s">
        <v>593</v>
      </c>
      <c r="H563" s="41" t="s">
        <v>81</v>
      </c>
    </row>
    <row r="564" spans="1:8">
      <c r="A564" s="41" t="s">
        <v>594</v>
      </c>
      <c r="B564" s="39" t="s">
        <v>232</v>
      </c>
      <c r="C564" s="39" t="s">
        <v>226</v>
      </c>
      <c r="D564" s="41" t="str">
        <f t="shared" si="27"/>
        <v>LBL108HC</v>
      </c>
      <c r="E564" s="41" t="str">
        <f t="shared" si="28"/>
        <v>LBL108Adolecentes 10-19</v>
      </c>
      <c r="F564" s="41" t="str">
        <f t="shared" si="29"/>
        <v>LBL108HCAdolecentes 10-19</v>
      </c>
      <c r="G564" s="41" t="s">
        <v>595</v>
      </c>
      <c r="H564" s="41" t="s">
        <v>81</v>
      </c>
    </row>
    <row r="565" spans="1:8">
      <c r="A565" s="41" t="s">
        <v>596</v>
      </c>
      <c r="B565" s="39" t="s">
        <v>232</v>
      </c>
      <c r="C565" s="39" t="s">
        <v>226</v>
      </c>
      <c r="D565" s="41" t="str">
        <f t="shared" si="27"/>
        <v>LBL112HC</v>
      </c>
      <c r="E565" s="41" t="str">
        <f t="shared" si="28"/>
        <v>LBL112Adolecentes 10-19</v>
      </c>
      <c r="F565" s="41" t="str">
        <f t="shared" si="29"/>
        <v>LBL112HCAdolecentes 10-19</v>
      </c>
      <c r="G565" s="41" t="s">
        <v>597</v>
      </c>
      <c r="H565" s="41" t="s">
        <v>81</v>
      </c>
    </row>
    <row r="566" spans="1:8">
      <c r="A566" s="41" t="s">
        <v>598</v>
      </c>
      <c r="B566" s="39" t="s">
        <v>232</v>
      </c>
      <c r="C566" s="39" t="s">
        <v>226</v>
      </c>
      <c r="D566" s="41" t="str">
        <f t="shared" si="27"/>
        <v>LBL113HC</v>
      </c>
      <c r="E566" s="41" t="str">
        <f t="shared" si="28"/>
        <v>LBL113Adolecentes 10-19</v>
      </c>
      <c r="F566" s="41" t="str">
        <f t="shared" si="29"/>
        <v>LBL113HCAdolecentes 10-19</v>
      </c>
      <c r="G566" s="41" t="s">
        <v>599</v>
      </c>
      <c r="H566" s="41" t="s">
        <v>81</v>
      </c>
    </row>
    <row r="567" spans="1:8">
      <c r="A567" s="41" t="s">
        <v>600</v>
      </c>
      <c r="B567" s="39" t="s">
        <v>232</v>
      </c>
      <c r="C567" s="39" t="s">
        <v>226</v>
      </c>
      <c r="D567" s="41" t="str">
        <f t="shared" si="27"/>
        <v>LBL114HC</v>
      </c>
      <c r="E567" s="41" t="str">
        <f t="shared" si="28"/>
        <v>LBL114Adolecentes 10-19</v>
      </c>
      <c r="F567" s="41" t="str">
        <f t="shared" si="29"/>
        <v>LBL114HCAdolecentes 10-19</v>
      </c>
      <c r="G567" s="41" t="s">
        <v>601</v>
      </c>
      <c r="H567" s="41" t="s">
        <v>81</v>
      </c>
    </row>
    <row r="568" spans="1:8">
      <c r="A568" s="41" t="s">
        <v>602</v>
      </c>
      <c r="B568" s="39" t="s">
        <v>232</v>
      </c>
      <c r="C568" s="39" t="s">
        <v>226</v>
      </c>
      <c r="D568" s="41" t="str">
        <f t="shared" si="27"/>
        <v>LBL116HC</v>
      </c>
      <c r="E568" s="41" t="str">
        <f t="shared" si="28"/>
        <v>LBL116Adolecentes 10-19</v>
      </c>
      <c r="F568" s="41" t="str">
        <f t="shared" si="29"/>
        <v>LBL116HCAdolecentes 10-19</v>
      </c>
      <c r="G568" s="41" t="s">
        <v>270</v>
      </c>
      <c r="H568" s="41" t="s">
        <v>81</v>
      </c>
    </row>
    <row r="569" spans="1:8">
      <c r="A569" s="41" t="s">
        <v>603</v>
      </c>
      <c r="B569" s="39" t="s">
        <v>232</v>
      </c>
      <c r="C569" s="39" t="s">
        <v>226</v>
      </c>
      <c r="D569" s="41" t="str">
        <f t="shared" si="27"/>
        <v>LBL117HC</v>
      </c>
      <c r="E569" s="41" t="str">
        <f t="shared" si="28"/>
        <v>LBL117Adolecentes 10-19</v>
      </c>
      <c r="F569" s="41" t="str">
        <f t="shared" si="29"/>
        <v>LBL117HCAdolecentes 10-19</v>
      </c>
      <c r="G569" s="41" t="s">
        <v>604</v>
      </c>
      <c r="H569" s="41" t="s">
        <v>81</v>
      </c>
    </row>
    <row r="570" spans="1:8">
      <c r="A570" s="41" t="s">
        <v>605</v>
      </c>
      <c r="B570" s="39" t="s">
        <v>232</v>
      </c>
      <c r="C570" s="39" t="s">
        <v>226</v>
      </c>
      <c r="D570" s="41" t="str">
        <f t="shared" si="27"/>
        <v>LBL118HC</v>
      </c>
      <c r="E570" s="41" t="str">
        <f t="shared" si="28"/>
        <v>LBL118Adolecentes 10-19</v>
      </c>
      <c r="F570" s="41" t="str">
        <f t="shared" si="29"/>
        <v>LBL118HCAdolecentes 10-19</v>
      </c>
      <c r="G570" s="41" t="s">
        <v>606</v>
      </c>
      <c r="H570" s="41" t="s">
        <v>81</v>
      </c>
    </row>
    <row r="571" spans="1:8">
      <c r="A571" s="41" t="s">
        <v>607</v>
      </c>
      <c r="B571" s="39" t="s">
        <v>232</v>
      </c>
      <c r="C571" s="39" t="s">
        <v>226</v>
      </c>
      <c r="D571" s="41" t="str">
        <f t="shared" si="27"/>
        <v>LBL119HC</v>
      </c>
      <c r="E571" s="41" t="str">
        <f t="shared" si="28"/>
        <v>LBL119Adolecentes 10-19</v>
      </c>
      <c r="F571" s="41" t="str">
        <f t="shared" si="29"/>
        <v>LBL119HCAdolecentes 10-19</v>
      </c>
      <c r="G571" s="41" t="s">
        <v>420</v>
      </c>
      <c r="H571" s="41" t="s">
        <v>81</v>
      </c>
    </row>
    <row r="572" spans="1:8">
      <c r="A572" s="41" t="s">
        <v>608</v>
      </c>
      <c r="B572" s="39" t="s">
        <v>232</v>
      </c>
      <c r="C572" s="39" t="s">
        <v>226</v>
      </c>
      <c r="D572" s="41" t="str">
        <f t="shared" si="27"/>
        <v>LBL121HC</v>
      </c>
      <c r="E572" s="41" t="str">
        <f t="shared" si="28"/>
        <v>LBL121Adolecentes 10-19</v>
      </c>
      <c r="F572" s="41" t="str">
        <f t="shared" si="29"/>
        <v>LBL121HCAdolecentes 10-19</v>
      </c>
      <c r="G572" s="41" t="s">
        <v>609</v>
      </c>
      <c r="H572" s="41" t="s">
        <v>81</v>
      </c>
    </row>
    <row r="573" spans="1:8">
      <c r="A573" s="41" t="s">
        <v>610</v>
      </c>
      <c r="B573" s="39" t="s">
        <v>232</v>
      </c>
      <c r="C573" s="39" t="s">
        <v>226</v>
      </c>
      <c r="D573" s="41" t="str">
        <f t="shared" si="27"/>
        <v>LBL122HC</v>
      </c>
      <c r="E573" s="41" t="str">
        <f t="shared" si="28"/>
        <v>LBL122Adolecentes 10-19</v>
      </c>
      <c r="F573" s="41" t="str">
        <f t="shared" si="29"/>
        <v>LBL122HCAdolecentes 10-19</v>
      </c>
      <c r="G573" s="41" t="s">
        <v>611</v>
      </c>
      <c r="H573" s="41" t="s">
        <v>81</v>
      </c>
    </row>
    <row r="574" spans="1:8">
      <c r="A574" s="41" t="s">
        <v>612</v>
      </c>
      <c r="B574" s="39" t="s">
        <v>232</v>
      </c>
      <c r="C574" s="39" t="s">
        <v>226</v>
      </c>
      <c r="D574" s="41" t="str">
        <f t="shared" si="27"/>
        <v>LBL123HC</v>
      </c>
      <c r="E574" s="41" t="str">
        <f t="shared" si="28"/>
        <v>LBL123Adolecentes 10-19</v>
      </c>
      <c r="F574" s="41" t="str">
        <f t="shared" si="29"/>
        <v>LBL123HCAdolecentes 10-19</v>
      </c>
      <c r="G574" s="41" t="s">
        <v>613</v>
      </c>
      <c r="H574" s="41" t="s">
        <v>81</v>
      </c>
    </row>
    <row r="575" spans="1:8">
      <c r="A575" s="41" t="s">
        <v>614</v>
      </c>
      <c r="B575" s="39" t="s">
        <v>232</v>
      </c>
      <c r="C575" s="39" t="s">
        <v>226</v>
      </c>
      <c r="D575" s="41" t="str">
        <f t="shared" si="27"/>
        <v>LBL124HC</v>
      </c>
      <c r="E575" s="41" t="str">
        <f t="shared" si="28"/>
        <v>LBL124Adolecentes 10-19</v>
      </c>
      <c r="F575" s="41" t="str">
        <f t="shared" si="29"/>
        <v>LBL124HCAdolecentes 10-19</v>
      </c>
      <c r="G575" s="41" t="s">
        <v>615</v>
      </c>
      <c r="H575" s="41" t="s">
        <v>81</v>
      </c>
    </row>
    <row r="576" spans="1:8">
      <c r="A576" s="41" t="s">
        <v>616</v>
      </c>
      <c r="B576" s="39" t="s">
        <v>232</v>
      </c>
      <c r="C576" s="39" t="s">
        <v>226</v>
      </c>
      <c r="D576" s="41" t="str">
        <f t="shared" si="27"/>
        <v>LBL127HC</v>
      </c>
      <c r="E576" s="41" t="str">
        <f t="shared" si="28"/>
        <v>LBL127Adolecentes 10-19</v>
      </c>
      <c r="F576" s="41" t="str">
        <f t="shared" si="29"/>
        <v>LBL127HCAdolecentes 10-19</v>
      </c>
      <c r="G576" s="41" t="s">
        <v>617</v>
      </c>
      <c r="H576" s="41" t="s">
        <v>81</v>
      </c>
    </row>
    <row r="577" spans="1:8">
      <c r="A577" s="41" t="s">
        <v>618</v>
      </c>
      <c r="B577" s="39" t="s">
        <v>232</v>
      </c>
      <c r="C577" s="39" t="s">
        <v>226</v>
      </c>
      <c r="D577" s="41" t="str">
        <f t="shared" si="27"/>
        <v>LBL128HC</v>
      </c>
      <c r="E577" s="41" t="str">
        <f t="shared" si="28"/>
        <v>LBL128Adolecentes 10-19</v>
      </c>
      <c r="F577" s="41" t="str">
        <f t="shared" si="29"/>
        <v>LBL128HCAdolecentes 10-19</v>
      </c>
      <c r="G577" s="41" t="s">
        <v>418</v>
      </c>
      <c r="H577" s="41" t="s">
        <v>81</v>
      </c>
    </row>
    <row r="578" spans="1:8">
      <c r="A578" s="41" t="s">
        <v>619</v>
      </c>
      <c r="B578" s="39" t="s">
        <v>232</v>
      </c>
      <c r="C578" s="39" t="s">
        <v>226</v>
      </c>
      <c r="D578" s="41" t="str">
        <f t="shared" si="27"/>
        <v>LBL129HC</v>
      </c>
      <c r="E578" s="41" t="str">
        <f t="shared" si="28"/>
        <v>LBL129Adolecentes 10-19</v>
      </c>
      <c r="F578" s="41" t="str">
        <f t="shared" si="29"/>
        <v>LBL129HCAdolecentes 10-19</v>
      </c>
      <c r="G578" s="41" t="s">
        <v>620</v>
      </c>
      <c r="H578" s="41" t="s">
        <v>81</v>
      </c>
    </row>
    <row r="579" spans="1:8">
      <c r="A579" s="41" t="s">
        <v>621</v>
      </c>
      <c r="B579" s="39" t="s">
        <v>232</v>
      </c>
      <c r="C579" s="39" t="s">
        <v>226</v>
      </c>
      <c r="D579" s="41" t="str">
        <f t="shared" si="27"/>
        <v>LBL130HC</v>
      </c>
      <c r="E579" s="41" t="str">
        <f t="shared" si="28"/>
        <v>LBL130Adolecentes 10-19</v>
      </c>
      <c r="F579" s="41" t="str">
        <f t="shared" si="29"/>
        <v>LBL130HCAdolecentes 10-19</v>
      </c>
      <c r="G579" s="41" t="s">
        <v>622</v>
      </c>
      <c r="H579" s="41" t="s">
        <v>81</v>
      </c>
    </row>
    <row r="580" spans="1:8">
      <c r="A580" s="41" t="s">
        <v>623</v>
      </c>
      <c r="B580" s="39" t="s">
        <v>232</v>
      </c>
      <c r="C580" s="39" t="s">
        <v>226</v>
      </c>
      <c r="D580" s="41" t="str">
        <f t="shared" si="27"/>
        <v>LBL131HC</v>
      </c>
      <c r="E580" s="41" t="str">
        <f t="shared" si="28"/>
        <v>LBL131Adolecentes 10-19</v>
      </c>
      <c r="F580" s="41" t="str">
        <f t="shared" si="29"/>
        <v>LBL131HCAdolecentes 10-19</v>
      </c>
      <c r="G580" s="41" t="s">
        <v>624</v>
      </c>
      <c r="H580" s="41" t="s">
        <v>81</v>
      </c>
    </row>
    <row r="581" spans="1:8">
      <c r="A581" s="41" t="s">
        <v>625</v>
      </c>
      <c r="B581" s="39" t="s">
        <v>232</v>
      </c>
      <c r="C581" s="39" t="s">
        <v>226</v>
      </c>
      <c r="D581" s="41" t="str">
        <f t="shared" si="27"/>
        <v>LBL132HC</v>
      </c>
      <c r="E581" s="41" t="str">
        <f t="shared" si="28"/>
        <v>LBL132Adolecentes 10-19</v>
      </c>
      <c r="F581" s="41" t="str">
        <f t="shared" si="29"/>
        <v>LBL132HCAdolecentes 10-19</v>
      </c>
      <c r="G581" s="41" t="s">
        <v>626</v>
      </c>
      <c r="H581" s="41" t="s">
        <v>81</v>
      </c>
    </row>
    <row r="582" spans="1:8">
      <c r="A582" s="41" t="s">
        <v>627</v>
      </c>
      <c r="B582" s="39" t="s">
        <v>232</v>
      </c>
      <c r="C582" s="39" t="s">
        <v>226</v>
      </c>
      <c r="D582" s="41" t="str">
        <f t="shared" si="27"/>
        <v>LBL133HC</v>
      </c>
      <c r="E582" s="41" t="str">
        <f t="shared" si="28"/>
        <v>LBL133Adolecentes 10-19</v>
      </c>
      <c r="F582" s="41" t="str">
        <f t="shared" si="29"/>
        <v>LBL133HCAdolecentes 10-19</v>
      </c>
      <c r="G582" s="41" t="s">
        <v>628</v>
      </c>
      <c r="H582" s="41" t="s">
        <v>81</v>
      </c>
    </row>
    <row r="583" spans="1:8">
      <c r="A583" s="41" t="s">
        <v>629</v>
      </c>
      <c r="B583" s="39" t="s">
        <v>232</v>
      </c>
      <c r="C583" s="39" t="s">
        <v>226</v>
      </c>
      <c r="D583" s="41" t="str">
        <f t="shared" si="27"/>
        <v>LBL134HC</v>
      </c>
      <c r="E583" s="41" t="str">
        <f t="shared" si="28"/>
        <v>LBL134Adolecentes 10-19</v>
      </c>
      <c r="F583" s="41" t="str">
        <f t="shared" si="29"/>
        <v>LBL134HCAdolecentes 10-19</v>
      </c>
      <c r="G583" s="41" t="s">
        <v>630</v>
      </c>
      <c r="H583" s="41" t="s">
        <v>81</v>
      </c>
    </row>
    <row r="584" spans="1:8">
      <c r="A584" s="41" t="s">
        <v>453</v>
      </c>
      <c r="B584" s="39" t="s">
        <v>232</v>
      </c>
      <c r="C584" s="39" t="s">
        <v>238</v>
      </c>
      <c r="D584" s="41" t="str">
        <f t="shared" si="27"/>
        <v>LBL002HCPB</v>
      </c>
      <c r="E584" s="41" t="str">
        <f t="shared" si="28"/>
        <v>LBL002Adolecentes 10-19</v>
      </c>
      <c r="F584" s="41" t="str">
        <f t="shared" si="29"/>
        <v>LBL002HCPBAdolecentes 10-19</v>
      </c>
      <c r="G584" s="41" t="s">
        <v>454</v>
      </c>
      <c r="H584" s="41" t="s">
        <v>81</v>
      </c>
    </row>
    <row r="585" spans="1:8">
      <c r="A585" s="41" t="s">
        <v>455</v>
      </c>
      <c r="B585" s="39" t="s">
        <v>232</v>
      </c>
      <c r="C585" s="39" t="s">
        <v>238</v>
      </c>
      <c r="D585" s="41" t="str">
        <f t="shared" si="27"/>
        <v>LBL004HCPB</v>
      </c>
      <c r="E585" s="41" t="str">
        <f t="shared" si="28"/>
        <v>LBL004Adolecentes 10-19</v>
      </c>
      <c r="F585" s="41" t="str">
        <f t="shared" si="29"/>
        <v>LBL004HCPBAdolecentes 10-19</v>
      </c>
      <c r="G585" s="41" t="s">
        <v>456</v>
      </c>
      <c r="H585" s="41" t="s">
        <v>81</v>
      </c>
    </row>
    <row r="586" spans="1:8">
      <c r="A586" s="41" t="s">
        <v>457</v>
      </c>
      <c r="B586" s="39" t="s">
        <v>232</v>
      </c>
      <c r="C586" s="39" t="s">
        <v>238</v>
      </c>
      <c r="D586" s="41" t="str">
        <f t="shared" si="27"/>
        <v>LBL005HCPB</v>
      </c>
      <c r="E586" s="41" t="str">
        <f t="shared" si="28"/>
        <v>LBL005Adolecentes 10-19</v>
      </c>
      <c r="F586" s="41" t="str">
        <f t="shared" si="29"/>
        <v>LBL005HCPBAdolecentes 10-19</v>
      </c>
      <c r="G586" s="41" t="s">
        <v>458</v>
      </c>
      <c r="H586" s="41" t="s">
        <v>81</v>
      </c>
    </row>
    <row r="587" spans="1:8">
      <c r="A587" s="41" t="s">
        <v>459</v>
      </c>
      <c r="B587" s="39" t="s">
        <v>232</v>
      </c>
      <c r="C587" s="39" t="s">
        <v>238</v>
      </c>
      <c r="D587" s="41" t="str">
        <f t="shared" si="27"/>
        <v>LBL006HCPB</v>
      </c>
      <c r="E587" s="41" t="str">
        <f t="shared" si="28"/>
        <v>LBL006Adolecentes 10-19</v>
      </c>
      <c r="F587" s="41" t="str">
        <f t="shared" si="29"/>
        <v>LBL006HCPBAdolecentes 10-19</v>
      </c>
      <c r="G587" s="41" t="s">
        <v>460</v>
      </c>
      <c r="H587" s="41" t="s">
        <v>81</v>
      </c>
    </row>
    <row r="588" spans="1:8">
      <c r="A588" s="41" t="s">
        <v>461</v>
      </c>
      <c r="B588" s="39" t="s">
        <v>232</v>
      </c>
      <c r="C588" s="39" t="s">
        <v>238</v>
      </c>
      <c r="D588" s="41" t="str">
        <f t="shared" si="27"/>
        <v>LBL008HCPB</v>
      </c>
      <c r="E588" s="41" t="str">
        <f t="shared" si="28"/>
        <v>LBL008Adolecentes 10-19</v>
      </c>
      <c r="F588" s="41" t="str">
        <f t="shared" si="29"/>
        <v>LBL008HCPBAdolecentes 10-19</v>
      </c>
      <c r="G588" s="41" t="s">
        <v>462</v>
      </c>
      <c r="H588" s="41" t="s">
        <v>81</v>
      </c>
    </row>
    <row r="589" spans="1:8">
      <c r="A589" s="41" t="s">
        <v>463</v>
      </c>
      <c r="B589" s="39" t="s">
        <v>232</v>
      </c>
      <c r="C589" s="39" t="s">
        <v>238</v>
      </c>
      <c r="D589" s="41" t="str">
        <f t="shared" si="27"/>
        <v>LBL009HCPB</v>
      </c>
      <c r="E589" s="41" t="str">
        <f t="shared" si="28"/>
        <v>LBL009Adolecentes 10-19</v>
      </c>
      <c r="F589" s="41" t="str">
        <f t="shared" si="29"/>
        <v>LBL009HCPBAdolecentes 10-19</v>
      </c>
      <c r="G589" s="41" t="s">
        <v>464</v>
      </c>
      <c r="H589" s="41" t="s">
        <v>81</v>
      </c>
    </row>
    <row r="590" spans="1:8">
      <c r="A590" s="41" t="s">
        <v>465</v>
      </c>
      <c r="B590" s="39" t="s">
        <v>232</v>
      </c>
      <c r="C590" s="39" t="s">
        <v>238</v>
      </c>
      <c r="D590" s="41" t="str">
        <f t="shared" si="27"/>
        <v>LBL010HCPB</v>
      </c>
      <c r="E590" s="41" t="str">
        <f t="shared" si="28"/>
        <v>LBL010Adolecentes 10-19</v>
      </c>
      <c r="F590" s="41" t="str">
        <f t="shared" si="29"/>
        <v>LBL010HCPBAdolecentes 10-19</v>
      </c>
      <c r="G590" s="41" t="s">
        <v>466</v>
      </c>
      <c r="H590" s="41" t="s">
        <v>81</v>
      </c>
    </row>
    <row r="591" spans="1:8">
      <c r="A591" s="41" t="s">
        <v>467</v>
      </c>
      <c r="B591" s="39" t="s">
        <v>232</v>
      </c>
      <c r="C591" s="39" t="s">
        <v>238</v>
      </c>
      <c r="D591" s="41" t="str">
        <f t="shared" si="27"/>
        <v>LBL011HCPB</v>
      </c>
      <c r="E591" s="41" t="str">
        <f t="shared" si="28"/>
        <v>LBL011Adolecentes 10-19</v>
      </c>
      <c r="F591" s="41" t="str">
        <f t="shared" si="29"/>
        <v>LBL011HCPBAdolecentes 10-19</v>
      </c>
      <c r="G591" s="41" t="s">
        <v>468</v>
      </c>
      <c r="H591" s="41" t="s">
        <v>81</v>
      </c>
    </row>
    <row r="592" spans="1:8">
      <c r="A592" s="41" t="s">
        <v>469</v>
      </c>
      <c r="B592" s="39" t="s">
        <v>232</v>
      </c>
      <c r="C592" s="39" t="s">
        <v>238</v>
      </c>
      <c r="D592" s="41" t="str">
        <f t="shared" si="27"/>
        <v>LBL014HCPB</v>
      </c>
      <c r="E592" s="41" t="str">
        <f t="shared" si="28"/>
        <v>LBL014Adolecentes 10-19</v>
      </c>
      <c r="F592" s="41" t="str">
        <f t="shared" si="29"/>
        <v>LBL014HCPBAdolecentes 10-19</v>
      </c>
      <c r="G592" s="41" t="s">
        <v>470</v>
      </c>
      <c r="H592" s="41" t="s">
        <v>81</v>
      </c>
    </row>
    <row r="593" spans="1:8">
      <c r="A593" s="41" t="s">
        <v>471</v>
      </c>
      <c r="B593" s="39" t="s">
        <v>232</v>
      </c>
      <c r="C593" s="39" t="s">
        <v>238</v>
      </c>
      <c r="D593" s="41" t="str">
        <f t="shared" si="27"/>
        <v>LBL015HCPB</v>
      </c>
      <c r="E593" s="41" t="str">
        <f t="shared" si="28"/>
        <v>LBL015Adolecentes 10-19</v>
      </c>
      <c r="F593" s="41" t="str">
        <f t="shared" si="29"/>
        <v>LBL015HCPBAdolecentes 10-19</v>
      </c>
      <c r="G593" s="41" t="s">
        <v>472</v>
      </c>
      <c r="H593" s="41" t="s">
        <v>81</v>
      </c>
    </row>
    <row r="594" spans="1:8">
      <c r="A594" s="41" t="s">
        <v>473</v>
      </c>
      <c r="B594" s="39" t="s">
        <v>232</v>
      </c>
      <c r="C594" s="39" t="s">
        <v>238</v>
      </c>
      <c r="D594" s="41" t="str">
        <f t="shared" si="27"/>
        <v>LBL016HCPB</v>
      </c>
      <c r="E594" s="41" t="str">
        <f t="shared" si="28"/>
        <v>LBL016Adolecentes 10-19</v>
      </c>
      <c r="F594" s="41" t="str">
        <f t="shared" si="29"/>
        <v>LBL016HCPBAdolecentes 10-19</v>
      </c>
      <c r="G594" s="41" t="s">
        <v>474</v>
      </c>
      <c r="H594" s="41" t="s">
        <v>81</v>
      </c>
    </row>
    <row r="595" spans="1:8">
      <c r="A595" s="41" t="s">
        <v>475</v>
      </c>
      <c r="B595" s="39" t="s">
        <v>232</v>
      </c>
      <c r="C595" s="39" t="s">
        <v>238</v>
      </c>
      <c r="D595" s="41" t="str">
        <f t="shared" si="27"/>
        <v>LBL018HCPB</v>
      </c>
      <c r="E595" s="41" t="str">
        <f t="shared" si="28"/>
        <v>LBL018Adolecentes 10-19</v>
      </c>
      <c r="F595" s="41" t="str">
        <f t="shared" si="29"/>
        <v>LBL018HCPBAdolecentes 10-19</v>
      </c>
      <c r="G595" s="41" t="s">
        <v>476</v>
      </c>
      <c r="H595" s="41" t="s">
        <v>81</v>
      </c>
    </row>
    <row r="596" spans="1:8">
      <c r="A596" s="41" t="s">
        <v>477</v>
      </c>
      <c r="B596" s="39" t="s">
        <v>232</v>
      </c>
      <c r="C596" s="39" t="s">
        <v>238</v>
      </c>
      <c r="D596" s="41" t="str">
        <f t="shared" si="27"/>
        <v>LBL021HCPB</v>
      </c>
      <c r="E596" s="41" t="str">
        <f t="shared" si="28"/>
        <v>LBL021Adolecentes 10-19</v>
      </c>
      <c r="F596" s="41" t="str">
        <f t="shared" si="29"/>
        <v>LBL021HCPBAdolecentes 10-19</v>
      </c>
      <c r="G596" s="41" t="s">
        <v>478</v>
      </c>
      <c r="H596" s="41" t="s">
        <v>81</v>
      </c>
    </row>
    <row r="597" spans="1:8">
      <c r="A597" s="41" t="s">
        <v>479</v>
      </c>
      <c r="B597" s="39" t="s">
        <v>232</v>
      </c>
      <c r="C597" s="39" t="s">
        <v>238</v>
      </c>
      <c r="D597" s="41" t="str">
        <f t="shared" si="27"/>
        <v>LBL022HCPB</v>
      </c>
      <c r="E597" s="41" t="str">
        <f t="shared" si="28"/>
        <v>LBL022Adolecentes 10-19</v>
      </c>
      <c r="F597" s="41" t="str">
        <f t="shared" si="29"/>
        <v>LBL022HCPBAdolecentes 10-19</v>
      </c>
      <c r="G597" s="41" t="s">
        <v>480</v>
      </c>
      <c r="H597" s="41" t="s">
        <v>81</v>
      </c>
    </row>
    <row r="598" spans="1:8">
      <c r="A598" s="41" t="s">
        <v>481</v>
      </c>
      <c r="B598" s="39" t="s">
        <v>232</v>
      </c>
      <c r="C598" s="39" t="s">
        <v>238</v>
      </c>
      <c r="D598" s="41" t="str">
        <f t="shared" si="27"/>
        <v>LBL025HCPB</v>
      </c>
      <c r="E598" s="41" t="str">
        <f t="shared" si="28"/>
        <v>LBL025Adolecentes 10-19</v>
      </c>
      <c r="F598" s="41" t="str">
        <f t="shared" si="29"/>
        <v>LBL025HCPBAdolecentes 10-19</v>
      </c>
      <c r="G598" s="41" t="s">
        <v>482</v>
      </c>
      <c r="H598" s="41" t="s">
        <v>81</v>
      </c>
    </row>
    <row r="599" spans="1:8">
      <c r="A599" s="41" t="s">
        <v>483</v>
      </c>
      <c r="B599" s="39" t="s">
        <v>232</v>
      </c>
      <c r="C599" s="39" t="s">
        <v>238</v>
      </c>
      <c r="D599" s="41" t="str">
        <f t="shared" si="27"/>
        <v>LBL026HCPB</v>
      </c>
      <c r="E599" s="41" t="str">
        <f t="shared" si="28"/>
        <v>LBL026Adolecentes 10-19</v>
      </c>
      <c r="F599" s="41" t="str">
        <f t="shared" si="29"/>
        <v>LBL026HCPBAdolecentes 10-19</v>
      </c>
      <c r="G599" s="41" t="s">
        <v>484</v>
      </c>
      <c r="H599" s="41" t="s">
        <v>81</v>
      </c>
    </row>
    <row r="600" spans="1:8">
      <c r="A600" s="41" t="s">
        <v>485</v>
      </c>
      <c r="B600" s="39" t="s">
        <v>232</v>
      </c>
      <c r="C600" s="39" t="s">
        <v>238</v>
      </c>
      <c r="D600" s="41" t="str">
        <f t="shared" si="27"/>
        <v>LBL027HCPB</v>
      </c>
      <c r="E600" s="41" t="str">
        <f t="shared" si="28"/>
        <v>LBL027Adolecentes 10-19</v>
      </c>
      <c r="F600" s="41" t="str">
        <f t="shared" si="29"/>
        <v>LBL027HCPBAdolecentes 10-19</v>
      </c>
      <c r="G600" s="41" t="s">
        <v>486</v>
      </c>
      <c r="H600" s="41" t="s">
        <v>81</v>
      </c>
    </row>
    <row r="601" spans="1:8">
      <c r="A601" s="41" t="s">
        <v>487</v>
      </c>
      <c r="B601" s="39" t="s">
        <v>232</v>
      </c>
      <c r="C601" s="39" t="s">
        <v>238</v>
      </c>
      <c r="D601" s="41" t="str">
        <f t="shared" si="27"/>
        <v>LBL028HCPB</v>
      </c>
      <c r="E601" s="41" t="str">
        <f t="shared" si="28"/>
        <v>LBL028Adolecentes 10-19</v>
      </c>
      <c r="F601" s="41" t="str">
        <f t="shared" si="29"/>
        <v>LBL028HCPBAdolecentes 10-19</v>
      </c>
      <c r="G601" s="41" t="s">
        <v>488</v>
      </c>
      <c r="H601" s="41" t="s">
        <v>81</v>
      </c>
    </row>
    <row r="602" spans="1:8">
      <c r="A602" s="41" t="s">
        <v>489</v>
      </c>
      <c r="B602" s="39" t="s">
        <v>232</v>
      </c>
      <c r="C602" s="39" t="s">
        <v>238</v>
      </c>
      <c r="D602" s="41" t="str">
        <f t="shared" si="27"/>
        <v>LBL029HCPB</v>
      </c>
      <c r="E602" s="41" t="str">
        <f t="shared" si="28"/>
        <v>LBL029Adolecentes 10-19</v>
      </c>
      <c r="F602" s="41" t="str">
        <f t="shared" si="29"/>
        <v>LBL029HCPBAdolecentes 10-19</v>
      </c>
      <c r="G602" s="41" t="s">
        <v>490</v>
      </c>
      <c r="H602" s="41" t="s">
        <v>81</v>
      </c>
    </row>
    <row r="603" spans="1:8">
      <c r="A603" s="41" t="s">
        <v>491</v>
      </c>
      <c r="B603" s="39" t="s">
        <v>232</v>
      </c>
      <c r="C603" s="39" t="s">
        <v>238</v>
      </c>
      <c r="D603" s="41" t="str">
        <f t="shared" si="27"/>
        <v>LBL030HCPB</v>
      </c>
      <c r="E603" s="41" t="str">
        <f t="shared" si="28"/>
        <v>LBL030Adolecentes 10-19</v>
      </c>
      <c r="F603" s="41" t="str">
        <f t="shared" si="29"/>
        <v>LBL030HCPBAdolecentes 10-19</v>
      </c>
      <c r="G603" s="41" t="s">
        <v>492</v>
      </c>
      <c r="H603" s="41" t="s">
        <v>81</v>
      </c>
    </row>
    <row r="604" spans="1:8">
      <c r="A604" s="41" t="s">
        <v>493</v>
      </c>
      <c r="B604" s="39" t="s">
        <v>232</v>
      </c>
      <c r="C604" s="39" t="s">
        <v>238</v>
      </c>
      <c r="D604" s="41" t="str">
        <f t="shared" si="27"/>
        <v>LBL031HCPB</v>
      </c>
      <c r="E604" s="41" t="str">
        <f t="shared" si="28"/>
        <v>LBL031Adolecentes 10-19</v>
      </c>
      <c r="F604" s="41" t="str">
        <f t="shared" si="29"/>
        <v>LBL031HCPBAdolecentes 10-19</v>
      </c>
      <c r="G604" s="41" t="s">
        <v>494</v>
      </c>
      <c r="H604" s="41" t="s">
        <v>81</v>
      </c>
    </row>
    <row r="605" spans="1:8">
      <c r="A605" s="41" t="s">
        <v>495</v>
      </c>
      <c r="B605" s="39" t="s">
        <v>232</v>
      </c>
      <c r="C605" s="39" t="s">
        <v>238</v>
      </c>
      <c r="D605" s="41" t="str">
        <f t="shared" si="27"/>
        <v>LBL032HCPB</v>
      </c>
      <c r="E605" s="41" t="str">
        <f t="shared" si="28"/>
        <v>LBL032Adolecentes 10-19</v>
      </c>
      <c r="F605" s="41" t="str">
        <f t="shared" si="29"/>
        <v>LBL032HCPBAdolecentes 10-19</v>
      </c>
      <c r="G605" s="41" t="s">
        <v>496</v>
      </c>
      <c r="H605" s="41" t="s">
        <v>81</v>
      </c>
    </row>
    <row r="606" spans="1:8">
      <c r="A606" s="41" t="s">
        <v>497</v>
      </c>
      <c r="B606" s="39" t="s">
        <v>232</v>
      </c>
      <c r="C606" s="39" t="s">
        <v>238</v>
      </c>
      <c r="D606" s="41" t="str">
        <f t="shared" si="27"/>
        <v>LBL033HCPB</v>
      </c>
      <c r="E606" s="41" t="str">
        <f t="shared" si="28"/>
        <v>LBL033Adolecentes 10-19</v>
      </c>
      <c r="F606" s="41" t="str">
        <f t="shared" si="29"/>
        <v>LBL033HCPBAdolecentes 10-19</v>
      </c>
      <c r="G606" s="41" t="s">
        <v>498</v>
      </c>
      <c r="H606" s="41" t="s">
        <v>81</v>
      </c>
    </row>
    <row r="607" spans="1:8">
      <c r="A607" s="41" t="s">
        <v>499</v>
      </c>
      <c r="B607" s="39" t="s">
        <v>232</v>
      </c>
      <c r="C607" s="39" t="s">
        <v>238</v>
      </c>
      <c r="D607" s="41" t="str">
        <f t="shared" si="27"/>
        <v>LBL037HCPB</v>
      </c>
      <c r="E607" s="41" t="str">
        <f t="shared" si="28"/>
        <v>LBL037Adolecentes 10-19</v>
      </c>
      <c r="F607" s="41" t="str">
        <f t="shared" si="29"/>
        <v>LBL037HCPBAdolecentes 10-19</v>
      </c>
      <c r="G607" s="41" t="s">
        <v>500</v>
      </c>
      <c r="H607" s="41" t="s">
        <v>81</v>
      </c>
    </row>
    <row r="608" spans="1:8">
      <c r="A608" s="41" t="s">
        <v>501</v>
      </c>
      <c r="B608" s="39" t="s">
        <v>232</v>
      </c>
      <c r="C608" s="39" t="s">
        <v>238</v>
      </c>
      <c r="D608" s="41" t="str">
        <f t="shared" si="27"/>
        <v>LBL038HCPB</v>
      </c>
      <c r="E608" s="41" t="str">
        <f t="shared" si="28"/>
        <v>LBL038Adolecentes 10-19</v>
      </c>
      <c r="F608" s="41" t="str">
        <f t="shared" si="29"/>
        <v>LBL038HCPBAdolecentes 10-19</v>
      </c>
      <c r="G608" s="41" t="s">
        <v>502</v>
      </c>
      <c r="H608" s="41" t="s">
        <v>81</v>
      </c>
    </row>
    <row r="609" spans="1:8">
      <c r="A609" s="41" t="s">
        <v>503</v>
      </c>
      <c r="B609" s="39" t="s">
        <v>232</v>
      </c>
      <c r="C609" s="39" t="s">
        <v>238</v>
      </c>
      <c r="D609" s="41" t="str">
        <f t="shared" si="27"/>
        <v>LBL040HCPB</v>
      </c>
      <c r="E609" s="41" t="str">
        <f t="shared" si="28"/>
        <v>LBL040Adolecentes 10-19</v>
      </c>
      <c r="F609" s="41" t="str">
        <f t="shared" si="29"/>
        <v>LBL040HCPBAdolecentes 10-19</v>
      </c>
      <c r="G609" s="41" t="s">
        <v>504</v>
      </c>
      <c r="H609" s="41" t="s">
        <v>81</v>
      </c>
    </row>
    <row r="610" spans="1:8">
      <c r="A610" s="41" t="s">
        <v>505</v>
      </c>
      <c r="B610" s="39" t="s">
        <v>232</v>
      </c>
      <c r="C610" s="39" t="s">
        <v>238</v>
      </c>
      <c r="D610" s="41" t="str">
        <f t="shared" si="27"/>
        <v>LBL041HCPB</v>
      </c>
      <c r="E610" s="41" t="str">
        <f t="shared" si="28"/>
        <v>LBL041Adolecentes 10-19</v>
      </c>
      <c r="F610" s="41" t="str">
        <f t="shared" si="29"/>
        <v>LBL041HCPBAdolecentes 10-19</v>
      </c>
      <c r="G610" s="41" t="s">
        <v>506</v>
      </c>
      <c r="H610" s="41" t="s">
        <v>81</v>
      </c>
    </row>
    <row r="611" spans="1:8">
      <c r="A611" s="41" t="s">
        <v>507</v>
      </c>
      <c r="B611" s="39" t="s">
        <v>232</v>
      </c>
      <c r="C611" s="39" t="s">
        <v>238</v>
      </c>
      <c r="D611" s="41" t="str">
        <f t="shared" si="27"/>
        <v>LBL042HCPB</v>
      </c>
      <c r="E611" s="41" t="str">
        <f t="shared" si="28"/>
        <v>LBL042Adolecentes 10-19</v>
      </c>
      <c r="F611" s="41" t="str">
        <f t="shared" si="29"/>
        <v>LBL042HCPBAdolecentes 10-19</v>
      </c>
      <c r="G611" s="41" t="s">
        <v>508</v>
      </c>
      <c r="H611" s="41" t="s">
        <v>81</v>
      </c>
    </row>
    <row r="612" spans="1:8">
      <c r="A612" s="41" t="s">
        <v>509</v>
      </c>
      <c r="B612" s="39" t="s">
        <v>232</v>
      </c>
      <c r="C612" s="39" t="s">
        <v>238</v>
      </c>
      <c r="D612" s="41" t="str">
        <f t="shared" si="27"/>
        <v>LBL044HCPB</v>
      </c>
      <c r="E612" s="41" t="str">
        <f t="shared" si="28"/>
        <v>LBL044Adolecentes 10-19</v>
      </c>
      <c r="F612" s="41" t="str">
        <f t="shared" si="29"/>
        <v>LBL044HCPBAdolecentes 10-19</v>
      </c>
      <c r="G612" s="41" t="s">
        <v>510</v>
      </c>
      <c r="H612" s="41" t="s">
        <v>81</v>
      </c>
    </row>
    <row r="613" spans="1:8">
      <c r="A613" s="41" t="s">
        <v>511</v>
      </c>
      <c r="B613" s="39" t="s">
        <v>232</v>
      </c>
      <c r="C613" s="39" t="s">
        <v>238</v>
      </c>
      <c r="D613" s="41" t="str">
        <f t="shared" si="27"/>
        <v>LBL045HCPB</v>
      </c>
      <c r="E613" s="41" t="str">
        <f t="shared" si="28"/>
        <v>LBL045Adolecentes 10-19</v>
      </c>
      <c r="F613" s="41" t="str">
        <f t="shared" si="29"/>
        <v>LBL045HCPBAdolecentes 10-19</v>
      </c>
      <c r="G613" s="41" t="s">
        <v>512</v>
      </c>
      <c r="H613" s="41" t="s">
        <v>81</v>
      </c>
    </row>
    <row r="614" spans="1:8">
      <c r="A614" s="41" t="s">
        <v>513</v>
      </c>
      <c r="B614" s="39" t="s">
        <v>232</v>
      </c>
      <c r="C614" s="39" t="s">
        <v>238</v>
      </c>
      <c r="D614" s="41" t="str">
        <f t="shared" si="27"/>
        <v>LBL047HCPB</v>
      </c>
      <c r="E614" s="41" t="str">
        <f t="shared" si="28"/>
        <v>LBL047Adolecentes 10-19</v>
      </c>
      <c r="F614" s="41" t="str">
        <f t="shared" si="29"/>
        <v>LBL047HCPBAdolecentes 10-19</v>
      </c>
      <c r="G614" s="41" t="s">
        <v>514</v>
      </c>
      <c r="H614" s="41" t="s">
        <v>81</v>
      </c>
    </row>
    <row r="615" spans="1:8">
      <c r="A615" s="41" t="s">
        <v>515</v>
      </c>
      <c r="B615" s="39" t="s">
        <v>232</v>
      </c>
      <c r="C615" s="39" t="s">
        <v>238</v>
      </c>
      <c r="D615" s="41" t="str">
        <f t="shared" si="27"/>
        <v>LBL048HCPB</v>
      </c>
      <c r="E615" s="41" t="str">
        <f t="shared" si="28"/>
        <v>LBL048Adolecentes 10-19</v>
      </c>
      <c r="F615" s="41" t="str">
        <f t="shared" si="29"/>
        <v>LBL048HCPBAdolecentes 10-19</v>
      </c>
      <c r="G615" s="41" t="s">
        <v>516</v>
      </c>
      <c r="H615" s="41" t="s">
        <v>81</v>
      </c>
    </row>
    <row r="616" spans="1:8">
      <c r="A616" s="41" t="s">
        <v>517</v>
      </c>
      <c r="B616" s="39" t="s">
        <v>232</v>
      </c>
      <c r="C616" s="39" t="s">
        <v>238</v>
      </c>
      <c r="D616" s="41" t="str">
        <f t="shared" si="27"/>
        <v>LBL050HCPB</v>
      </c>
      <c r="E616" s="41" t="str">
        <f t="shared" si="28"/>
        <v>LBL050Adolecentes 10-19</v>
      </c>
      <c r="F616" s="41" t="str">
        <f t="shared" si="29"/>
        <v>LBL050HCPBAdolecentes 10-19</v>
      </c>
      <c r="G616" s="41" t="s">
        <v>518</v>
      </c>
      <c r="H616" s="41" t="s">
        <v>81</v>
      </c>
    </row>
    <row r="617" spans="1:8">
      <c r="A617" s="41" t="s">
        <v>519</v>
      </c>
      <c r="B617" s="39" t="s">
        <v>232</v>
      </c>
      <c r="C617" s="39" t="s">
        <v>238</v>
      </c>
      <c r="D617" s="41" t="str">
        <f t="shared" si="27"/>
        <v>LBL051HCPB</v>
      </c>
      <c r="E617" s="41" t="str">
        <f t="shared" si="28"/>
        <v>LBL051Adolecentes 10-19</v>
      </c>
      <c r="F617" s="41" t="str">
        <f t="shared" si="29"/>
        <v>LBL051HCPBAdolecentes 10-19</v>
      </c>
      <c r="G617" s="41" t="s">
        <v>520</v>
      </c>
      <c r="H617" s="41" t="s">
        <v>81</v>
      </c>
    </row>
    <row r="618" spans="1:8">
      <c r="A618" s="41" t="s">
        <v>521</v>
      </c>
      <c r="B618" s="39" t="s">
        <v>232</v>
      </c>
      <c r="C618" s="39" t="s">
        <v>238</v>
      </c>
      <c r="D618" s="41" t="str">
        <f t="shared" si="27"/>
        <v>LBL052HCPB</v>
      </c>
      <c r="E618" s="41" t="str">
        <f t="shared" si="28"/>
        <v>LBL052Adolecentes 10-19</v>
      </c>
      <c r="F618" s="41" t="str">
        <f t="shared" si="29"/>
        <v>LBL052HCPBAdolecentes 10-19</v>
      </c>
      <c r="G618" s="41" t="s">
        <v>522</v>
      </c>
      <c r="H618" s="41" t="s">
        <v>81</v>
      </c>
    </row>
    <row r="619" spans="1:8">
      <c r="A619" s="41" t="s">
        <v>523</v>
      </c>
      <c r="B619" s="39" t="s">
        <v>232</v>
      </c>
      <c r="C619" s="39" t="s">
        <v>238</v>
      </c>
      <c r="D619" s="41" t="str">
        <f t="shared" ref="D619:D682" si="30">+CONCATENATE(A619,C619)</f>
        <v>LBL053HCPB</v>
      </c>
      <c r="E619" s="41" t="str">
        <f t="shared" ref="E619:E682" si="31">+CONCATENATE(A619,B619)</f>
        <v>LBL053Adolecentes 10-19</v>
      </c>
      <c r="F619" s="41" t="str">
        <f t="shared" ref="F619:F682" si="32">CONCATENATE(A619,C619,B619)</f>
        <v>LBL053HCPBAdolecentes 10-19</v>
      </c>
      <c r="G619" s="41" t="s">
        <v>524</v>
      </c>
      <c r="H619" s="41" t="s">
        <v>81</v>
      </c>
    </row>
    <row r="620" spans="1:8">
      <c r="A620" s="41" t="s">
        <v>525</v>
      </c>
      <c r="B620" s="39" t="s">
        <v>232</v>
      </c>
      <c r="C620" s="39" t="s">
        <v>238</v>
      </c>
      <c r="D620" s="41" t="str">
        <f t="shared" si="30"/>
        <v>LBL055HCPB</v>
      </c>
      <c r="E620" s="41" t="str">
        <f t="shared" si="31"/>
        <v>LBL055Adolecentes 10-19</v>
      </c>
      <c r="F620" s="41" t="str">
        <f t="shared" si="32"/>
        <v>LBL055HCPBAdolecentes 10-19</v>
      </c>
      <c r="G620" s="41" t="s">
        <v>526</v>
      </c>
      <c r="H620" s="41" t="s">
        <v>81</v>
      </c>
    </row>
    <row r="621" spans="1:8">
      <c r="A621" s="41" t="s">
        <v>527</v>
      </c>
      <c r="B621" s="39" t="s">
        <v>232</v>
      </c>
      <c r="C621" s="39" t="s">
        <v>238</v>
      </c>
      <c r="D621" s="41" t="str">
        <f t="shared" si="30"/>
        <v>LBL057HCPB</v>
      </c>
      <c r="E621" s="41" t="str">
        <f t="shared" si="31"/>
        <v>LBL057Adolecentes 10-19</v>
      </c>
      <c r="F621" s="41" t="str">
        <f t="shared" si="32"/>
        <v>LBL057HCPBAdolecentes 10-19</v>
      </c>
      <c r="G621" s="41" t="s">
        <v>528</v>
      </c>
      <c r="H621" s="41" t="s">
        <v>81</v>
      </c>
    </row>
    <row r="622" spans="1:8">
      <c r="A622" s="41" t="s">
        <v>529</v>
      </c>
      <c r="B622" s="39" t="s">
        <v>232</v>
      </c>
      <c r="C622" s="39" t="s">
        <v>238</v>
      </c>
      <c r="D622" s="41" t="str">
        <f t="shared" si="30"/>
        <v>LBL058HCPB</v>
      </c>
      <c r="E622" s="41" t="str">
        <f t="shared" si="31"/>
        <v>LBL058Adolecentes 10-19</v>
      </c>
      <c r="F622" s="41" t="str">
        <f t="shared" si="32"/>
        <v>LBL058HCPBAdolecentes 10-19</v>
      </c>
      <c r="G622" s="41" t="s">
        <v>530</v>
      </c>
      <c r="H622" s="41" t="s">
        <v>81</v>
      </c>
    </row>
    <row r="623" spans="1:8">
      <c r="A623" s="41" t="s">
        <v>531</v>
      </c>
      <c r="B623" s="39" t="s">
        <v>232</v>
      </c>
      <c r="C623" s="39" t="s">
        <v>238</v>
      </c>
      <c r="D623" s="41" t="str">
        <f t="shared" si="30"/>
        <v>LBL059HCPB</v>
      </c>
      <c r="E623" s="41" t="str">
        <f t="shared" si="31"/>
        <v>LBL059Adolecentes 10-19</v>
      </c>
      <c r="F623" s="41" t="str">
        <f t="shared" si="32"/>
        <v>LBL059HCPBAdolecentes 10-19</v>
      </c>
      <c r="G623" s="41" t="s">
        <v>532</v>
      </c>
      <c r="H623" s="41" t="s">
        <v>81</v>
      </c>
    </row>
    <row r="624" spans="1:8">
      <c r="A624" s="41" t="s">
        <v>533</v>
      </c>
      <c r="B624" s="39" t="s">
        <v>232</v>
      </c>
      <c r="C624" s="39" t="s">
        <v>238</v>
      </c>
      <c r="D624" s="41" t="str">
        <f t="shared" si="30"/>
        <v>LBL060HCPB</v>
      </c>
      <c r="E624" s="41" t="str">
        <f t="shared" si="31"/>
        <v>LBL060Adolecentes 10-19</v>
      </c>
      <c r="F624" s="41" t="str">
        <f t="shared" si="32"/>
        <v>LBL060HCPBAdolecentes 10-19</v>
      </c>
      <c r="G624" s="41" t="s">
        <v>534</v>
      </c>
      <c r="H624" s="41" t="s">
        <v>81</v>
      </c>
    </row>
    <row r="625" spans="1:8">
      <c r="A625" s="41" t="s">
        <v>535</v>
      </c>
      <c r="B625" s="39" t="s">
        <v>232</v>
      </c>
      <c r="C625" s="39" t="s">
        <v>238</v>
      </c>
      <c r="D625" s="41" t="str">
        <f t="shared" si="30"/>
        <v>LBL061HCPB</v>
      </c>
      <c r="E625" s="41" t="str">
        <f t="shared" si="31"/>
        <v>LBL061Adolecentes 10-19</v>
      </c>
      <c r="F625" s="41" t="str">
        <f t="shared" si="32"/>
        <v>LBL061HCPBAdolecentes 10-19</v>
      </c>
      <c r="G625" s="41" t="s">
        <v>536</v>
      </c>
      <c r="H625" s="41" t="s">
        <v>81</v>
      </c>
    </row>
    <row r="626" spans="1:8">
      <c r="A626" s="41" t="s">
        <v>537</v>
      </c>
      <c r="B626" s="39" t="s">
        <v>232</v>
      </c>
      <c r="C626" s="39" t="s">
        <v>238</v>
      </c>
      <c r="D626" s="41" t="str">
        <f t="shared" si="30"/>
        <v>LBL062HCPB</v>
      </c>
      <c r="E626" s="41" t="str">
        <f t="shared" si="31"/>
        <v>LBL062Adolecentes 10-19</v>
      </c>
      <c r="F626" s="41" t="str">
        <f t="shared" si="32"/>
        <v>LBL062HCPBAdolecentes 10-19</v>
      </c>
      <c r="G626" s="41" t="s">
        <v>538</v>
      </c>
      <c r="H626" s="41" t="s">
        <v>81</v>
      </c>
    </row>
    <row r="627" spans="1:8">
      <c r="A627" s="41" t="s">
        <v>539</v>
      </c>
      <c r="B627" s="39" t="s">
        <v>232</v>
      </c>
      <c r="C627" s="39" t="s">
        <v>238</v>
      </c>
      <c r="D627" s="41" t="str">
        <f t="shared" si="30"/>
        <v>LBL065HCPB</v>
      </c>
      <c r="E627" s="41" t="str">
        <f t="shared" si="31"/>
        <v>LBL065Adolecentes 10-19</v>
      </c>
      <c r="F627" s="41" t="str">
        <f t="shared" si="32"/>
        <v>LBL065HCPBAdolecentes 10-19</v>
      </c>
      <c r="G627" s="41" t="s">
        <v>540</v>
      </c>
      <c r="H627" s="41" t="s">
        <v>81</v>
      </c>
    </row>
    <row r="628" spans="1:8">
      <c r="A628" s="41" t="s">
        <v>541</v>
      </c>
      <c r="B628" s="39" t="s">
        <v>232</v>
      </c>
      <c r="C628" s="39" t="s">
        <v>238</v>
      </c>
      <c r="D628" s="41" t="str">
        <f t="shared" si="30"/>
        <v>LBL066HCPB</v>
      </c>
      <c r="E628" s="41" t="str">
        <f t="shared" si="31"/>
        <v>LBL066Adolecentes 10-19</v>
      </c>
      <c r="F628" s="41" t="str">
        <f t="shared" si="32"/>
        <v>LBL066HCPBAdolecentes 10-19</v>
      </c>
      <c r="G628" s="41" t="s">
        <v>542</v>
      </c>
      <c r="H628" s="41" t="s">
        <v>81</v>
      </c>
    </row>
    <row r="629" spans="1:8">
      <c r="A629" s="41" t="s">
        <v>543</v>
      </c>
      <c r="B629" s="39" t="s">
        <v>232</v>
      </c>
      <c r="C629" s="39" t="s">
        <v>238</v>
      </c>
      <c r="D629" s="41" t="str">
        <f t="shared" si="30"/>
        <v>LBL067HCPB</v>
      </c>
      <c r="E629" s="41" t="str">
        <f t="shared" si="31"/>
        <v>LBL067Adolecentes 10-19</v>
      </c>
      <c r="F629" s="41" t="str">
        <f t="shared" si="32"/>
        <v>LBL067HCPBAdolecentes 10-19</v>
      </c>
      <c r="G629" s="41" t="s">
        <v>544</v>
      </c>
      <c r="H629" s="41" t="s">
        <v>81</v>
      </c>
    </row>
    <row r="630" spans="1:8">
      <c r="A630" s="41" t="s">
        <v>545</v>
      </c>
      <c r="B630" s="39" t="s">
        <v>232</v>
      </c>
      <c r="C630" s="39" t="s">
        <v>238</v>
      </c>
      <c r="D630" s="41" t="str">
        <f t="shared" si="30"/>
        <v>LBL068HCPB</v>
      </c>
      <c r="E630" s="41" t="str">
        <f t="shared" si="31"/>
        <v>LBL068Adolecentes 10-19</v>
      </c>
      <c r="F630" s="41" t="str">
        <f t="shared" si="32"/>
        <v>LBL068HCPBAdolecentes 10-19</v>
      </c>
      <c r="G630" s="41" t="s">
        <v>546</v>
      </c>
      <c r="H630" s="41" t="s">
        <v>81</v>
      </c>
    </row>
    <row r="631" spans="1:8">
      <c r="A631" s="41" t="s">
        <v>547</v>
      </c>
      <c r="B631" s="39" t="s">
        <v>232</v>
      </c>
      <c r="C631" s="39" t="s">
        <v>238</v>
      </c>
      <c r="D631" s="41" t="str">
        <f t="shared" si="30"/>
        <v>LBL069HCPB</v>
      </c>
      <c r="E631" s="41" t="str">
        <f t="shared" si="31"/>
        <v>LBL069Adolecentes 10-19</v>
      </c>
      <c r="F631" s="41" t="str">
        <f t="shared" si="32"/>
        <v>LBL069HCPBAdolecentes 10-19</v>
      </c>
      <c r="G631" s="41" t="s">
        <v>548</v>
      </c>
      <c r="H631" s="41" t="s">
        <v>81</v>
      </c>
    </row>
    <row r="632" spans="1:8">
      <c r="A632" s="41" t="s">
        <v>549</v>
      </c>
      <c r="B632" s="39" t="s">
        <v>232</v>
      </c>
      <c r="C632" s="39" t="s">
        <v>238</v>
      </c>
      <c r="D632" s="41" t="str">
        <f t="shared" si="30"/>
        <v>LBL070HCPB</v>
      </c>
      <c r="E632" s="41" t="str">
        <f t="shared" si="31"/>
        <v>LBL070Adolecentes 10-19</v>
      </c>
      <c r="F632" s="41" t="str">
        <f t="shared" si="32"/>
        <v>LBL070HCPBAdolecentes 10-19</v>
      </c>
      <c r="G632" s="41" t="s">
        <v>550</v>
      </c>
      <c r="H632" s="41" t="s">
        <v>81</v>
      </c>
    </row>
    <row r="633" spans="1:8">
      <c r="A633" s="41" t="s">
        <v>551</v>
      </c>
      <c r="B633" s="39" t="s">
        <v>232</v>
      </c>
      <c r="C633" s="39" t="s">
        <v>238</v>
      </c>
      <c r="D633" s="41" t="str">
        <f t="shared" si="30"/>
        <v>LBL072HCPB</v>
      </c>
      <c r="E633" s="41" t="str">
        <f t="shared" si="31"/>
        <v>LBL072Adolecentes 10-19</v>
      </c>
      <c r="F633" s="41" t="str">
        <f t="shared" si="32"/>
        <v>LBL072HCPBAdolecentes 10-19</v>
      </c>
      <c r="G633" s="41" t="s">
        <v>552</v>
      </c>
      <c r="H633" s="41" t="s">
        <v>81</v>
      </c>
    </row>
    <row r="634" spans="1:8">
      <c r="A634" s="41" t="s">
        <v>553</v>
      </c>
      <c r="B634" s="39" t="s">
        <v>232</v>
      </c>
      <c r="C634" s="39" t="s">
        <v>238</v>
      </c>
      <c r="D634" s="41" t="str">
        <f t="shared" si="30"/>
        <v>LBL073HCPB</v>
      </c>
      <c r="E634" s="41" t="str">
        <f t="shared" si="31"/>
        <v>LBL073Adolecentes 10-19</v>
      </c>
      <c r="F634" s="41" t="str">
        <f t="shared" si="32"/>
        <v>LBL073HCPBAdolecentes 10-19</v>
      </c>
      <c r="G634" s="41" t="s">
        <v>554</v>
      </c>
      <c r="H634" s="41" t="s">
        <v>81</v>
      </c>
    </row>
    <row r="635" spans="1:8">
      <c r="A635" s="41" t="s">
        <v>555</v>
      </c>
      <c r="B635" s="39" t="s">
        <v>232</v>
      </c>
      <c r="C635" s="39" t="s">
        <v>238</v>
      </c>
      <c r="D635" s="41" t="str">
        <f t="shared" si="30"/>
        <v>LBL075HCPB</v>
      </c>
      <c r="E635" s="41" t="str">
        <f t="shared" si="31"/>
        <v>LBL075Adolecentes 10-19</v>
      </c>
      <c r="F635" s="41" t="str">
        <f t="shared" si="32"/>
        <v>LBL075HCPBAdolecentes 10-19</v>
      </c>
      <c r="G635" s="41" t="s">
        <v>706</v>
      </c>
      <c r="H635" s="41" t="s">
        <v>81</v>
      </c>
    </row>
    <row r="636" spans="1:8">
      <c r="A636" s="41" t="s">
        <v>556</v>
      </c>
      <c r="B636" s="39" t="s">
        <v>232</v>
      </c>
      <c r="C636" s="39" t="s">
        <v>238</v>
      </c>
      <c r="D636" s="41" t="str">
        <f t="shared" si="30"/>
        <v>LBL076HCPB</v>
      </c>
      <c r="E636" s="41" t="str">
        <f t="shared" si="31"/>
        <v>LBL076Adolecentes 10-19</v>
      </c>
      <c r="F636" s="41" t="str">
        <f t="shared" si="32"/>
        <v>LBL076HCPBAdolecentes 10-19</v>
      </c>
      <c r="G636" s="41" t="s">
        <v>557</v>
      </c>
      <c r="H636" s="41" t="s">
        <v>81</v>
      </c>
    </row>
    <row r="637" spans="1:8">
      <c r="A637" s="41" t="s">
        <v>558</v>
      </c>
      <c r="B637" s="39" t="s">
        <v>232</v>
      </c>
      <c r="C637" s="39" t="s">
        <v>238</v>
      </c>
      <c r="D637" s="41" t="str">
        <f t="shared" si="30"/>
        <v>LBL078HCPB</v>
      </c>
      <c r="E637" s="41" t="str">
        <f t="shared" si="31"/>
        <v>LBL078Adolecentes 10-19</v>
      </c>
      <c r="F637" s="41" t="str">
        <f t="shared" si="32"/>
        <v>LBL078HCPBAdolecentes 10-19</v>
      </c>
      <c r="G637" s="41" t="s">
        <v>559</v>
      </c>
      <c r="H637" s="41" t="s">
        <v>81</v>
      </c>
    </row>
    <row r="638" spans="1:8">
      <c r="A638" s="41" t="s">
        <v>560</v>
      </c>
      <c r="B638" s="39" t="s">
        <v>232</v>
      </c>
      <c r="C638" s="39" t="s">
        <v>238</v>
      </c>
      <c r="D638" s="41" t="str">
        <f t="shared" si="30"/>
        <v>LBL079HCPB</v>
      </c>
      <c r="E638" s="41" t="str">
        <f t="shared" si="31"/>
        <v>LBL079Adolecentes 10-19</v>
      </c>
      <c r="F638" s="41" t="str">
        <f t="shared" si="32"/>
        <v>LBL079HCPBAdolecentes 10-19</v>
      </c>
      <c r="G638" s="41" t="s">
        <v>561</v>
      </c>
      <c r="H638" s="41" t="s">
        <v>81</v>
      </c>
    </row>
    <row r="639" spans="1:8">
      <c r="A639" s="41" t="s">
        <v>562</v>
      </c>
      <c r="B639" s="39" t="s">
        <v>232</v>
      </c>
      <c r="C639" s="39" t="s">
        <v>238</v>
      </c>
      <c r="D639" s="41" t="str">
        <f t="shared" si="30"/>
        <v>LBL081HCPB</v>
      </c>
      <c r="E639" s="41" t="str">
        <f t="shared" si="31"/>
        <v>LBL081Adolecentes 10-19</v>
      </c>
      <c r="F639" s="41" t="str">
        <f t="shared" si="32"/>
        <v>LBL081HCPBAdolecentes 10-19</v>
      </c>
      <c r="G639" s="41" t="s">
        <v>707</v>
      </c>
      <c r="H639" s="41" t="s">
        <v>81</v>
      </c>
    </row>
    <row r="640" spans="1:8">
      <c r="A640" s="41" t="s">
        <v>563</v>
      </c>
      <c r="B640" s="39" t="s">
        <v>232</v>
      </c>
      <c r="C640" s="39" t="s">
        <v>238</v>
      </c>
      <c r="D640" s="41" t="str">
        <f t="shared" si="30"/>
        <v>LBL083HCPB</v>
      </c>
      <c r="E640" s="41" t="str">
        <f t="shared" si="31"/>
        <v>LBL083Adolecentes 10-19</v>
      </c>
      <c r="F640" s="41" t="str">
        <f t="shared" si="32"/>
        <v>LBL083HCPBAdolecentes 10-19</v>
      </c>
      <c r="G640" s="41" t="s">
        <v>564</v>
      </c>
      <c r="H640" s="41" t="s">
        <v>81</v>
      </c>
    </row>
    <row r="641" spans="1:8">
      <c r="A641" s="41" t="s">
        <v>565</v>
      </c>
      <c r="B641" s="39" t="s">
        <v>232</v>
      </c>
      <c r="C641" s="39" t="s">
        <v>238</v>
      </c>
      <c r="D641" s="41" t="str">
        <f t="shared" si="30"/>
        <v>LBL084HCPB</v>
      </c>
      <c r="E641" s="41" t="str">
        <f t="shared" si="31"/>
        <v>LBL084Adolecentes 10-19</v>
      </c>
      <c r="F641" s="41" t="str">
        <f t="shared" si="32"/>
        <v>LBL084HCPBAdolecentes 10-19</v>
      </c>
      <c r="G641" s="41" t="s">
        <v>566</v>
      </c>
      <c r="H641" s="41" t="s">
        <v>81</v>
      </c>
    </row>
    <row r="642" spans="1:8">
      <c r="A642" s="41" t="s">
        <v>567</v>
      </c>
      <c r="B642" s="39" t="s">
        <v>232</v>
      </c>
      <c r="C642" s="39" t="s">
        <v>238</v>
      </c>
      <c r="D642" s="41" t="str">
        <f t="shared" si="30"/>
        <v>LBL086HCPB</v>
      </c>
      <c r="E642" s="41" t="str">
        <f t="shared" si="31"/>
        <v>LBL086Adolecentes 10-19</v>
      </c>
      <c r="F642" s="41" t="str">
        <f t="shared" si="32"/>
        <v>LBL086HCPBAdolecentes 10-19</v>
      </c>
      <c r="G642" s="41" t="s">
        <v>568</v>
      </c>
      <c r="H642" s="41" t="s">
        <v>81</v>
      </c>
    </row>
    <row r="643" spans="1:8">
      <c r="A643" s="41" t="s">
        <v>569</v>
      </c>
      <c r="B643" s="39" t="s">
        <v>232</v>
      </c>
      <c r="C643" s="39" t="s">
        <v>238</v>
      </c>
      <c r="D643" s="41" t="str">
        <f t="shared" si="30"/>
        <v>LBL087HCPB</v>
      </c>
      <c r="E643" s="41" t="str">
        <f t="shared" si="31"/>
        <v>LBL087Adolecentes 10-19</v>
      </c>
      <c r="F643" s="41" t="str">
        <f t="shared" si="32"/>
        <v>LBL087HCPBAdolecentes 10-19</v>
      </c>
      <c r="G643" s="41" t="s">
        <v>570</v>
      </c>
      <c r="H643" s="41" t="s">
        <v>81</v>
      </c>
    </row>
    <row r="644" spans="1:8">
      <c r="A644" s="41" t="s">
        <v>571</v>
      </c>
      <c r="B644" s="39" t="s">
        <v>232</v>
      </c>
      <c r="C644" s="39" t="s">
        <v>238</v>
      </c>
      <c r="D644" s="41" t="str">
        <f t="shared" si="30"/>
        <v>LBL088HCPB</v>
      </c>
      <c r="E644" s="41" t="str">
        <f t="shared" si="31"/>
        <v>LBL088Adolecentes 10-19</v>
      </c>
      <c r="F644" s="41" t="str">
        <f t="shared" si="32"/>
        <v>LBL088HCPBAdolecentes 10-19</v>
      </c>
      <c r="G644" s="41" t="s">
        <v>708</v>
      </c>
      <c r="H644" s="41" t="s">
        <v>81</v>
      </c>
    </row>
    <row r="645" spans="1:8">
      <c r="A645" s="41" t="s">
        <v>572</v>
      </c>
      <c r="B645" s="39" t="s">
        <v>232</v>
      </c>
      <c r="C645" s="39" t="s">
        <v>238</v>
      </c>
      <c r="D645" s="41" t="str">
        <f t="shared" si="30"/>
        <v>LBL089HCPB</v>
      </c>
      <c r="E645" s="41" t="str">
        <f t="shared" si="31"/>
        <v>LBL089Adolecentes 10-19</v>
      </c>
      <c r="F645" s="41" t="str">
        <f t="shared" si="32"/>
        <v>LBL089HCPBAdolecentes 10-19</v>
      </c>
      <c r="G645" s="41" t="s">
        <v>573</v>
      </c>
      <c r="H645" s="41" t="s">
        <v>81</v>
      </c>
    </row>
    <row r="646" spans="1:8">
      <c r="A646" s="41" t="s">
        <v>574</v>
      </c>
      <c r="B646" s="39" t="s">
        <v>232</v>
      </c>
      <c r="C646" s="39" t="s">
        <v>238</v>
      </c>
      <c r="D646" s="41" t="str">
        <f t="shared" si="30"/>
        <v>LBL091HCPB</v>
      </c>
      <c r="E646" s="41" t="str">
        <f t="shared" si="31"/>
        <v>LBL091Adolecentes 10-19</v>
      </c>
      <c r="F646" s="41" t="str">
        <f t="shared" si="32"/>
        <v>LBL091HCPBAdolecentes 10-19</v>
      </c>
      <c r="G646" s="41" t="s">
        <v>575</v>
      </c>
      <c r="H646" s="41" t="s">
        <v>81</v>
      </c>
    </row>
    <row r="647" spans="1:8">
      <c r="A647" s="41" t="s">
        <v>576</v>
      </c>
      <c r="B647" s="39" t="s">
        <v>232</v>
      </c>
      <c r="C647" s="39" t="s">
        <v>238</v>
      </c>
      <c r="D647" s="41" t="str">
        <f t="shared" si="30"/>
        <v>LBL092HCPB</v>
      </c>
      <c r="E647" s="41" t="str">
        <f t="shared" si="31"/>
        <v>LBL092Adolecentes 10-19</v>
      </c>
      <c r="F647" s="41" t="str">
        <f t="shared" si="32"/>
        <v>LBL092HCPBAdolecentes 10-19</v>
      </c>
      <c r="G647" s="41" t="s">
        <v>577</v>
      </c>
      <c r="H647" s="41" t="s">
        <v>81</v>
      </c>
    </row>
    <row r="648" spans="1:8">
      <c r="A648" s="41" t="s">
        <v>578</v>
      </c>
      <c r="B648" s="39" t="s">
        <v>232</v>
      </c>
      <c r="C648" s="39" t="s">
        <v>238</v>
      </c>
      <c r="D648" s="41" t="str">
        <f t="shared" si="30"/>
        <v>LBL094HCPB</v>
      </c>
      <c r="E648" s="41" t="str">
        <f t="shared" si="31"/>
        <v>LBL094Adolecentes 10-19</v>
      </c>
      <c r="F648" s="41" t="str">
        <f t="shared" si="32"/>
        <v>LBL094HCPBAdolecentes 10-19</v>
      </c>
      <c r="G648" s="41" t="s">
        <v>579</v>
      </c>
      <c r="H648" s="41" t="s">
        <v>81</v>
      </c>
    </row>
    <row r="649" spans="1:8">
      <c r="A649" s="41" t="s">
        <v>580</v>
      </c>
      <c r="B649" s="39" t="s">
        <v>232</v>
      </c>
      <c r="C649" s="39" t="s">
        <v>238</v>
      </c>
      <c r="D649" s="41" t="str">
        <f t="shared" si="30"/>
        <v>LBL095HCPB</v>
      </c>
      <c r="E649" s="41" t="str">
        <f t="shared" si="31"/>
        <v>LBL095Adolecentes 10-19</v>
      </c>
      <c r="F649" s="41" t="str">
        <f t="shared" si="32"/>
        <v>LBL095HCPBAdolecentes 10-19</v>
      </c>
      <c r="G649" s="41" t="s">
        <v>581</v>
      </c>
      <c r="H649" s="41" t="s">
        <v>81</v>
      </c>
    </row>
    <row r="650" spans="1:8">
      <c r="A650" s="41" t="s">
        <v>582</v>
      </c>
      <c r="B650" s="39" t="s">
        <v>232</v>
      </c>
      <c r="C650" s="39" t="s">
        <v>238</v>
      </c>
      <c r="D650" s="41" t="str">
        <f t="shared" si="30"/>
        <v>LBL097HCPB</v>
      </c>
      <c r="E650" s="41" t="str">
        <f t="shared" si="31"/>
        <v>LBL097Adolecentes 10-19</v>
      </c>
      <c r="F650" s="41" t="str">
        <f t="shared" si="32"/>
        <v>LBL097HCPBAdolecentes 10-19</v>
      </c>
      <c r="G650" s="41" t="s">
        <v>583</v>
      </c>
      <c r="H650" s="41" t="s">
        <v>81</v>
      </c>
    </row>
    <row r="651" spans="1:8">
      <c r="A651" s="41" t="s">
        <v>584</v>
      </c>
      <c r="B651" s="39" t="s">
        <v>232</v>
      </c>
      <c r="C651" s="39" t="s">
        <v>238</v>
      </c>
      <c r="D651" s="41" t="str">
        <f t="shared" si="30"/>
        <v>LBL099HCPB</v>
      </c>
      <c r="E651" s="41" t="str">
        <f t="shared" si="31"/>
        <v>LBL099Adolecentes 10-19</v>
      </c>
      <c r="F651" s="41" t="str">
        <f t="shared" si="32"/>
        <v>LBL099HCPBAdolecentes 10-19</v>
      </c>
      <c r="G651" s="41" t="s">
        <v>417</v>
      </c>
      <c r="H651" s="41" t="s">
        <v>81</v>
      </c>
    </row>
    <row r="652" spans="1:8">
      <c r="A652" s="41" t="s">
        <v>585</v>
      </c>
      <c r="B652" s="39" t="s">
        <v>232</v>
      </c>
      <c r="C652" s="39" t="s">
        <v>238</v>
      </c>
      <c r="D652" s="41" t="str">
        <f t="shared" si="30"/>
        <v>LBL100HCPB</v>
      </c>
      <c r="E652" s="41" t="str">
        <f t="shared" si="31"/>
        <v>LBL100Adolecentes 10-19</v>
      </c>
      <c r="F652" s="41" t="str">
        <f t="shared" si="32"/>
        <v>LBL100HCPBAdolecentes 10-19</v>
      </c>
      <c r="G652" s="41" t="s">
        <v>709</v>
      </c>
      <c r="H652" s="41" t="s">
        <v>81</v>
      </c>
    </row>
    <row r="653" spans="1:8">
      <c r="A653" s="41" t="s">
        <v>586</v>
      </c>
      <c r="B653" s="39" t="s">
        <v>232</v>
      </c>
      <c r="C653" s="39" t="s">
        <v>238</v>
      </c>
      <c r="D653" s="41" t="str">
        <f t="shared" si="30"/>
        <v>LBL101HCPB</v>
      </c>
      <c r="E653" s="41" t="str">
        <f t="shared" si="31"/>
        <v>LBL101Adolecentes 10-19</v>
      </c>
      <c r="F653" s="41" t="str">
        <f t="shared" si="32"/>
        <v>LBL101HCPBAdolecentes 10-19</v>
      </c>
      <c r="G653" s="41" t="s">
        <v>587</v>
      </c>
      <c r="H653" s="41" t="s">
        <v>81</v>
      </c>
    </row>
    <row r="654" spans="1:8">
      <c r="A654" s="41" t="s">
        <v>588</v>
      </c>
      <c r="B654" s="39" t="s">
        <v>232</v>
      </c>
      <c r="C654" s="39" t="s">
        <v>238</v>
      </c>
      <c r="D654" s="41" t="str">
        <f t="shared" si="30"/>
        <v>LBL103HCPB</v>
      </c>
      <c r="E654" s="41" t="str">
        <f t="shared" si="31"/>
        <v>LBL103Adolecentes 10-19</v>
      </c>
      <c r="F654" s="41" t="str">
        <f t="shared" si="32"/>
        <v>LBL103HCPBAdolecentes 10-19</v>
      </c>
      <c r="G654" s="41" t="s">
        <v>589</v>
      </c>
      <c r="H654" s="41" t="s">
        <v>81</v>
      </c>
    </row>
    <row r="655" spans="1:8">
      <c r="A655" s="41" t="s">
        <v>590</v>
      </c>
      <c r="B655" s="39" t="s">
        <v>232</v>
      </c>
      <c r="C655" s="39" t="s">
        <v>238</v>
      </c>
      <c r="D655" s="41" t="str">
        <f t="shared" si="30"/>
        <v>LBL104HCPB</v>
      </c>
      <c r="E655" s="41" t="str">
        <f t="shared" si="31"/>
        <v>LBL104Adolecentes 10-19</v>
      </c>
      <c r="F655" s="41" t="str">
        <f t="shared" si="32"/>
        <v>LBL104HCPBAdolecentes 10-19</v>
      </c>
      <c r="G655" s="41" t="s">
        <v>591</v>
      </c>
      <c r="H655" s="41" t="s">
        <v>81</v>
      </c>
    </row>
    <row r="656" spans="1:8">
      <c r="A656" s="41" t="s">
        <v>592</v>
      </c>
      <c r="B656" s="39" t="s">
        <v>232</v>
      </c>
      <c r="C656" s="39" t="s">
        <v>238</v>
      </c>
      <c r="D656" s="41" t="str">
        <f t="shared" si="30"/>
        <v>LBL105HCPB</v>
      </c>
      <c r="E656" s="41" t="str">
        <f t="shared" si="31"/>
        <v>LBL105Adolecentes 10-19</v>
      </c>
      <c r="F656" s="41" t="str">
        <f t="shared" si="32"/>
        <v>LBL105HCPBAdolecentes 10-19</v>
      </c>
      <c r="G656" s="41" t="s">
        <v>593</v>
      </c>
      <c r="H656" s="41" t="s">
        <v>81</v>
      </c>
    </row>
    <row r="657" spans="1:8">
      <c r="A657" s="41" t="s">
        <v>594</v>
      </c>
      <c r="B657" s="39" t="s">
        <v>232</v>
      </c>
      <c r="C657" s="39" t="s">
        <v>238</v>
      </c>
      <c r="D657" s="41" t="str">
        <f t="shared" si="30"/>
        <v>LBL108HCPB</v>
      </c>
      <c r="E657" s="41" t="str">
        <f t="shared" si="31"/>
        <v>LBL108Adolecentes 10-19</v>
      </c>
      <c r="F657" s="41" t="str">
        <f t="shared" si="32"/>
        <v>LBL108HCPBAdolecentes 10-19</v>
      </c>
      <c r="G657" s="41" t="s">
        <v>595</v>
      </c>
      <c r="H657" s="41" t="s">
        <v>81</v>
      </c>
    </row>
    <row r="658" spans="1:8">
      <c r="A658" s="41" t="s">
        <v>596</v>
      </c>
      <c r="B658" s="39" t="s">
        <v>232</v>
      </c>
      <c r="C658" s="39" t="s">
        <v>238</v>
      </c>
      <c r="D658" s="41" t="str">
        <f t="shared" si="30"/>
        <v>LBL112HCPB</v>
      </c>
      <c r="E658" s="41" t="str">
        <f t="shared" si="31"/>
        <v>LBL112Adolecentes 10-19</v>
      </c>
      <c r="F658" s="41" t="str">
        <f t="shared" si="32"/>
        <v>LBL112HCPBAdolecentes 10-19</v>
      </c>
      <c r="G658" s="41" t="s">
        <v>597</v>
      </c>
      <c r="H658" s="41" t="s">
        <v>81</v>
      </c>
    </row>
    <row r="659" spans="1:8">
      <c r="A659" s="41" t="s">
        <v>598</v>
      </c>
      <c r="B659" s="39" t="s">
        <v>232</v>
      </c>
      <c r="C659" s="39" t="s">
        <v>238</v>
      </c>
      <c r="D659" s="41" t="str">
        <f t="shared" si="30"/>
        <v>LBL113HCPB</v>
      </c>
      <c r="E659" s="41" t="str">
        <f t="shared" si="31"/>
        <v>LBL113Adolecentes 10-19</v>
      </c>
      <c r="F659" s="41" t="str">
        <f t="shared" si="32"/>
        <v>LBL113HCPBAdolecentes 10-19</v>
      </c>
      <c r="G659" s="41" t="s">
        <v>599</v>
      </c>
      <c r="H659" s="41" t="s">
        <v>81</v>
      </c>
    </row>
    <row r="660" spans="1:8">
      <c r="A660" s="41" t="s">
        <v>600</v>
      </c>
      <c r="B660" s="39" t="s">
        <v>232</v>
      </c>
      <c r="C660" s="39" t="s">
        <v>238</v>
      </c>
      <c r="D660" s="41" t="str">
        <f t="shared" si="30"/>
        <v>LBL114HCPB</v>
      </c>
      <c r="E660" s="41" t="str">
        <f t="shared" si="31"/>
        <v>LBL114Adolecentes 10-19</v>
      </c>
      <c r="F660" s="41" t="str">
        <f t="shared" si="32"/>
        <v>LBL114HCPBAdolecentes 10-19</v>
      </c>
      <c r="G660" s="41" t="s">
        <v>601</v>
      </c>
      <c r="H660" s="41" t="s">
        <v>81</v>
      </c>
    </row>
    <row r="661" spans="1:8">
      <c r="A661" s="41" t="s">
        <v>602</v>
      </c>
      <c r="B661" s="39" t="s">
        <v>232</v>
      </c>
      <c r="C661" s="39" t="s">
        <v>238</v>
      </c>
      <c r="D661" s="41" t="str">
        <f t="shared" si="30"/>
        <v>LBL116HCPB</v>
      </c>
      <c r="E661" s="41" t="str">
        <f t="shared" si="31"/>
        <v>LBL116Adolecentes 10-19</v>
      </c>
      <c r="F661" s="41" t="str">
        <f t="shared" si="32"/>
        <v>LBL116HCPBAdolecentes 10-19</v>
      </c>
      <c r="G661" s="41" t="s">
        <v>270</v>
      </c>
      <c r="H661" s="41" t="s">
        <v>81</v>
      </c>
    </row>
    <row r="662" spans="1:8">
      <c r="A662" s="41" t="s">
        <v>603</v>
      </c>
      <c r="B662" s="39" t="s">
        <v>232</v>
      </c>
      <c r="C662" s="39" t="s">
        <v>238</v>
      </c>
      <c r="D662" s="41" t="str">
        <f t="shared" si="30"/>
        <v>LBL117HCPB</v>
      </c>
      <c r="E662" s="41" t="str">
        <f t="shared" si="31"/>
        <v>LBL117Adolecentes 10-19</v>
      </c>
      <c r="F662" s="41" t="str">
        <f t="shared" si="32"/>
        <v>LBL117HCPBAdolecentes 10-19</v>
      </c>
      <c r="G662" s="41" t="s">
        <v>604</v>
      </c>
      <c r="H662" s="41" t="s">
        <v>81</v>
      </c>
    </row>
    <row r="663" spans="1:8">
      <c r="A663" s="41" t="s">
        <v>605</v>
      </c>
      <c r="B663" s="39" t="s">
        <v>232</v>
      </c>
      <c r="C663" s="39" t="s">
        <v>238</v>
      </c>
      <c r="D663" s="41" t="str">
        <f t="shared" si="30"/>
        <v>LBL118HCPB</v>
      </c>
      <c r="E663" s="41" t="str">
        <f t="shared" si="31"/>
        <v>LBL118Adolecentes 10-19</v>
      </c>
      <c r="F663" s="41" t="str">
        <f t="shared" si="32"/>
        <v>LBL118HCPBAdolecentes 10-19</v>
      </c>
      <c r="G663" s="41" t="s">
        <v>606</v>
      </c>
      <c r="H663" s="41" t="s">
        <v>81</v>
      </c>
    </row>
    <row r="664" spans="1:8">
      <c r="A664" s="41" t="s">
        <v>607</v>
      </c>
      <c r="B664" s="39" t="s">
        <v>232</v>
      </c>
      <c r="C664" s="39" t="s">
        <v>238</v>
      </c>
      <c r="D664" s="41" t="str">
        <f t="shared" si="30"/>
        <v>LBL119HCPB</v>
      </c>
      <c r="E664" s="41" t="str">
        <f t="shared" si="31"/>
        <v>LBL119Adolecentes 10-19</v>
      </c>
      <c r="F664" s="41" t="str">
        <f t="shared" si="32"/>
        <v>LBL119HCPBAdolecentes 10-19</v>
      </c>
      <c r="G664" s="41" t="s">
        <v>420</v>
      </c>
      <c r="H664" s="41" t="s">
        <v>81</v>
      </c>
    </row>
    <row r="665" spans="1:8">
      <c r="A665" s="41" t="s">
        <v>608</v>
      </c>
      <c r="B665" s="39" t="s">
        <v>232</v>
      </c>
      <c r="C665" s="39" t="s">
        <v>238</v>
      </c>
      <c r="D665" s="41" t="str">
        <f t="shared" si="30"/>
        <v>LBL121HCPB</v>
      </c>
      <c r="E665" s="41" t="str">
        <f t="shared" si="31"/>
        <v>LBL121Adolecentes 10-19</v>
      </c>
      <c r="F665" s="41" t="str">
        <f t="shared" si="32"/>
        <v>LBL121HCPBAdolecentes 10-19</v>
      </c>
      <c r="G665" s="41" t="s">
        <v>609</v>
      </c>
      <c r="H665" s="41" t="s">
        <v>81</v>
      </c>
    </row>
    <row r="666" spans="1:8">
      <c r="A666" s="41" t="s">
        <v>610</v>
      </c>
      <c r="B666" s="39" t="s">
        <v>232</v>
      </c>
      <c r="C666" s="39" t="s">
        <v>238</v>
      </c>
      <c r="D666" s="41" t="str">
        <f t="shared" si="30"/>
        <v>LBL122HCPB</v>
      </c>
      <c r="E666" s="41" t="str">
        <f t="shared" si="31"/>
        <v>LBL122Adolecentes 10-19</v>
      </c>
      <c r="F666" s="41" t="str">
        <f t="shared" si="32"/>
        <v>LBL122HCPBAdolecentes 10-19</v>
      </c>
      <c r="G666" s="41" t="s">
        <v>611</v>
      </c>
      <c r="H666" s="41" t="s">
        <v>81</v>
      </c>
    </row>
    <row r="667" spans="1:8">
      <c r="A667" s="41" t="s">
        <v>612</v>
      </c>
      <c r="B667" s="39" t="s">
        <v>232</v>
      </c>
      <c r="C667" s="39" t="s">
        <v>238</v>
      </c>
      <c r="D667" s="41" t="str">
        <f t="shared" si="30"/>
        <v>LBL123HCPB</v>
      </c>
      <c r="E667" s="41" t="str">
        <f t="shared" si="31"/>
        <v>LBL123Adolecentes 10-19</v>
      </c>
      <c r="F667" s="41" t="str">
        <f t="shared" si="32"/>
        <v>LBL123HCPBAdolecentes 10-19</v>
      </c>
      <c r="G667" s="41" t="s">
        <v>613</v>
      </c>
      <c r="H667" s="41" t="s">
        <v>81</v>
      </c>
    </row>
    <row r="668" spans="1:8">
      <c r="A668" s="41" t="s">
        <v>614</v>
      </c>
      <c r="B668" s="39" t="s">
        <v>232</v>
      </c>
      <c r="C668" s="39" t="s">
        <v>238</v>
      </c>
      <c r="D668" s="41" t="str">
        <f t="shared" si="30"/>
        <v>LBL124HCPB</v>
      </c>
      <c r="E668" s="41" t="str">
        <f t="shared" si="31"/>
        <v>LBL124Adolecentes 10-19</v>
      </c>
      <c r="F668" s="41" t="str">
        <f t="shared" si="32"/>
        <v>LBL124HCPBAdolecentes 10-19</v>
      </c>
      <c r="G668" s="41" t="s">
        <v>615</v>
      </c>
      <c r="H668" s="41" t="s">
        <v>81</v>
      </c>
    </row>
    <row r="669" spans="1:8">
      <c r="A669" s="41" t="s">
        <v>616</v>
      </c>
      <c r="B669" s="39" t="s">
        <v>232</v>
      </c>
      <c r="C669" s="39" t="s">
        <v>238</v>
      </c>
      <c r="D669" s="41" t="str">
        <f t="shared" si="30"/>
        <v>LBL127HCPB</v>
      </c>
      <c r="E669" s="41" t="str">
        <f t="shared" si="31"/>
        <v>LBL127Adolecentes 10-19</v>
      </c>
      <c r="F669" s="41" t="str">
        <f t="shared" si="32"/>
        <v>LBL127HCPBAdolecentes 10-19</v>
      </c>
      <c r="G669" s="41" t="s">
        <v>617</v>
      </c>
      <c r="H669" s="41" t="s">
        <v>81</v>
      </c>
    </row>
    <row r="670" spans="1:8">
      <c r="A670" s="41" t="s">
        <v>618</v>
      </c>
      <c r="B670" s="39" t="s">
        <v>232</v>
      </c>
      <c r="C670" s="39" t="s">
        <v>238</v>
      </c>
      <c r="D670" s="41" t="str">
        <f t="shared" si="30"/>
        <v>LBL128HCPB</v>
      </c>
      <c r="E670" s="41" t="str">
        <f t="shared" si="31"/>
        <v>LBL128Adolecentes 10-19</v>
      </c>
      <c r="F670" s="41" t="str">
        <f t="shared" si="32"/>
        <v>LBL128HCPBAdolecentes 10-19</v>
      </c>
      <c r="G670" s="41" t="s">
        <v>418</v>
      </c>
      <c r="H670" s="41" t="s">
        <v>81</v>
      </c>
    </row>
    <row r="671" spans="1:8">
      <c r="A671" s="41" t="s">
        <v>619</v>
      </c>
      <c r="B671" s="39" t="s">
        <v>232</v>
      </c>
      <c r="C671" s="39" t="s">
        <v>238</v>
      </c>
      <c r="D671" s="41" t="str">
        <f t="shared" si="30"/>
        <v>LBL129HCPB</v>
      </c>
      <c r="E671" s="41" t="str">
        <f t="shared" si="31"/>
        <v>LBL129Adolecentes 10-19</v>
      </c>
      <c r="F671" s="41" t="str">
        <f t="shared" si="32"/>
        <v>LBL129HCPBAdolecentes 10-19</v>
      </c>
      <c r="G671" s="41" t="s">
        <v>620</v>
      </c>
      <c r="H671" s="41" t="s">
        <v>81</v>
      </c>
    </row>
    <row r="672" spans="1:8">
      <c r="A672" s="41" t="s">
        <v>621</v>
      </c>
      <c r="B672" s="39" t="s">
        <v>232</v>
      </c>
      <c r="C672" s="39" t="s">
        <v>238</v>
      </c>
      <c r="D672" s="41" t="str">
        <f t="shared" si="30"/>
        <v>LBL130HCPB</v>
      </c>
      <c r="E672" s="41" t="str">
        <f t="shared" si="31"/>
        <v>LBL130Adolecentes 10-19</v>
      </c>
      <c r="F672" s="41" t="str">
        <f t="shared" si="32"/>
        <v>LBL130HCPBAdolecentes 10-19</v>
      </c>
      <c r="G672" s="41" t="s">
        <v>622</v>
      </c>
      <c r="H672" s="41" t="s">
        <v>81</v>
      </c>
    </row>
    <row r="673" spans="1:8">
      <c r="A673" s="41" t="s">
        <v>623</v>
      </c>
      <c r="B673" s="39" t="s">
        <v>232</v>
      </c>
      <c r="C673" s="39" t="s">
        <v>238</v>
      </c>
      <c r="D673" s="41" t="str">
        <f t="shared" si="30"/>
        <v>LBL131HCPB</v>
      </c>
      <c r="E673" s="41" t="str">
        <f t="shared" si="31"/>
        <v>LBL131Adolecentes 10-19</v>
      </c>
      <c r="F673" s="41" t="str">
        <f t="shared" si="32"/>
        <v>LBL131HCPBAdolecentes 10-19</v>
      </c>
      <c r="G673" s="41" t="s">
        <v>624</v>
      </c>
      <c r="H673" s="41" t="s">
        <v>81</v>
      </c>
    </row>
    <row r="674" spans="1:8">
      <c r="A674" s="41" t="s">
        <v>625</v>
      </c>
      <c r="B674" s="39" t="s">
        <v>232</v>
      </c>
      <c r="C674" s="39" t="s">
        <v>238</v>
      </c>
      <c r="D674" s="41" t="str">
        <f t="shared" si="30"/>
        <v>LBL132HCPB</v>
      </c>
      <c r="E674" s="41" t="str">
        <f t="shared" si="31"/>
        <v>LBL132Adolecentes 10-19</v>
      </c>
      <c r="F674" s="41" t="str">
        <f t="shared" si="32"/>
        <v>LBL132HCPBAdolecentes 10-19</v>
      </c>
      <c r="G674" s="41" t="s">
        <v>626</v>
      </c>
      <c r="H674" s="41" t="s">
        <v>81</v>
      </c>
    </row>
    <row r="675" spans="1:8">
      <c r="A675" s="41" t="s">
        <v>627</v>
      </c>
      <c r="B675" s="39" t="s">
        <v>232</v>
      </c>
      <c r="C675" s="39" t="s">
        <v>238</v>
      </c>
      <c r="D675" s="41" t="str">
        <f t="shared" si="30"/>
        <v>LBL133HCPB</v>
      </c>
      <c r="E675" s="41" t="str">
        <f t="shared" si="31"/>
        <v>LBL133Adolecentes 10-19</v>
      </c>
      <c r="F675" s="41" t="str">
        <f t="shared" si="32"/>
        <v>LBL133HCPBAdolecentes 10-19</v>
      </c>
      <c r="G675" s="41" t="s">
        <v>628</v>
      </c>
      <c r="H675" s="41" t="s">
        <v>81</v>
      </c>
    </row>
    <row r="676" spans="1:8">
      <c r="A676" s="41" t="s">
        <v>629</v>
      </c>
      <c r="B676" s="39" t="s">
        <v>232</v>
      </c>
      <c r="C676" s="39" t="s">
        <v>238</v>
      </c>
      <c r="D676" s="41" t="str">
        <f t="shared" si="30"/>
        <v>LBL134HCPB</v>
      </c>
      <c r="E676" s="41" t="str">
        <f t="shared" si="31"/>
        <v>LBL134Adolecentes 10-19</v>
      </c>
      <c r="F676" s="41" t="str">
        <f t="shared" si="32"/>
        <v>LBL134HCPBAdolecentes 10-19</v>
      </c>
      <c r="G676" s="41" t="s">
        <v>630</v>
      </c>
      <c r="H676" s="41" t="s">
        <v>81</v>
      </c>
    </row>
    <row r="677" spans="1:8">
      <c r="A677" s="41" t="s">
        <v>453</v>
      </c>
      <c r="B677" s="39" t="s">
        <v>232</v>
      </c>
      <c r="C677" s="39" t="s">
        <v>239</v>
      </c>
      <c r="D677" s="41" t="str">
        <f t="shared" si="30"/>
        <v>LBL002LL</v>
      </c>
      <c r="E677" s="41" t="str">
        <f t="shared" si="31"/>
        <v>LBL002Adolecentes 10-19</v>
      </c>
      <c r="F677" s="41" t="str">
        <f t="shared" si="32"/>
        <v>LBL002LLAdolecentes 10-19</v>
      </c>
      <c r="G677" s="41" t="s">
        <v>454</v>
      </c>
      <c r="H677" s="41" t="s">
        <v>81</v>
      </c>
    </row>
    <row r="678" spans="1:8">
      <c r="A678" s="41" t="s">
        <v>455</v>
      </c>
      <c r="B678" s="39" t="s">
        <v>232</v>
      </c>
      <c r="C678" s="39" t="s">
        <v>239</v>
      </c>
      <c r="D678" s="41" t="str">
        <f t="shared" si="30"/>
        <v>LBL004LL</v>
      </c>
      <c r="E678" s="41" t="str">
        <f t="shared" si="31"/>
        <v>LBL004Adolecentes 10-19</v>
      </c>
      <c r="F678" s="41" t="str">
        <f t="shared" si="32"/>
        <v>LBL004LLAdolecentes 10-19</v>
      </c>
      <c r="G678" s="41" t="s">
        <v>456</v>
      </c>
      <c r="H678" s="41" t="s">
        <v>81</v>
      </c>
    </row>
    <row r="679" spans="1:8">
      <c r="A679" s="41" t="s">
        <v>457</v>
      </c>
      <c r="B679" s="39" t="s">
        <v>232</v>
      </c>
      <c r="C679" s="39" t="s">
        <v>239</v>
      </c>
      <c r="D679" s="41" t="str">
        <f t="shared" si="30"/>
        <v>LBL005LL</v>
      </c>
      <c r="E679" s="41" t="str">
        <f t="shared" si="31"/>
        <v>LBL005Adolecentes 10-19</v>
      </c>
      <c r="F679" s="41" t="str">
        <f t="shared" si="32"/>
        <v>LBL005LLAdolecentes 10-19</v>
      </c>
      <c r="G679" s="41" t="s">
        <v>458</v>
      </c>
      <c r="H679" s="41" t="s">
        <v>81</v>
      </c>
    </row>
    <row r="680" spans="1:8">
      <c r="A680" s="41" t="s">
        <v>459</v>
      </c>
      <c r="B680" s="39" t="s">
        <v>232</v>
      </c>
      <c r="C680" s="39" t="s">
        <v>239</v>
      </c>
      <c r="D680" s="41" t="str">
        <f t="shared" si="30"/>
        <v>LBL006LL</v>
      </c>
      <c r="E680" s="41" t="str">
        <f t="shared" si="31"/>
        <v>LBL006Adolecentes 10-19</v>
      </c>
      <c r="F680" s="41" t="str">
        <f t="shared" si="32"/>
        <v>LBL006LLAdolecentes 10-19</v>
      </c>
      <c r="G680" s="41" t="s">
        <v>460</v>
      </c>
      <c r="H680" s="41" t="s">
        <v>81</v>
      </c>
    </row>
    <row r="681" spans="1:8">
      <c r="A681" s="41" t="s">
        <v>461</v>
      </c>
      <c r="B681" s="39" t="s">
        <v>232</v>
      </c>
      <c r="C681" s="39" t="s">
        <v>239</v>
      </c>
      <c r="D681" s="41" t="str">
        <f t="shared" si="30"/>
        <v>LBL008LL</v>
      </c>
      <c r="E681" s="41" t="str">
        <f t="shared" si="31"/>
        <v>LBL008Adolecentes 10-19</v>
      </c>
      <c r="F681" s="41" t="str">
        <f t="shared" si="32"/>
        <v>LBL008LLAdolecentes 10-19</v>
      </c>
      <c r="G681" s="41" t="s">
        <v>462</v>
      </c>
      <c r="H681" s="41" t="s">
        <v>81</v>
      </c>
    </row>
    <row r="682" spans="1:8">
      <c r="A682" s="41" t="s">
        <v>463</v>
      </c>
      <c r="B682" s="39" t="s">
        <v>232</v>
      </c>
      <c r="C682" s="39" t="s">
        <v>239</v>
      </c>
      <c r="D682" s="41" t="str">
        <f t="shared" si="30"/>
        <v>LBL009LL</v>
      </c>
      <c r="E682" s="41" t="str">
        <f t="shared" si="31"/>
        <v>LBL009Adolecentes 10-19</v>
      </c>
      <c r="F682" s="41" t="str">
        <f t="shared" si="32"/>
        <v>LBL009LLAdolecentes 10-19</v>
      </c>
      <c r="G682" s="41" t="s">
        <v>464</v>
      </c>
      <c r="H682" s="41" t="s">
        <v>81</v>
      </c>
    </row>
    <row r="683" spans="1:8">
      <c r="A683" s="41" t="s">
        <v>465</v>
      </c>
      <c r="B683" s="39" t="s">
        <v>232</v>
      </c>
      <c r="C683" s="39" t="s">
        <v>239</v>
      </c>
      <c r="D683" s="41" t="str">
        <f t="shared" ref="D683:D746" si="33">+CONCATENATE(A683,C683)</f>
        <v>LBL010LL</v>
      </c>
      <c r="E683" s="41" t="str">
        <f t="shared" ref="E683:E746" si="34">+CONCATENATE(A683,B683)</f>
        <v>LBL010Adolecentes 10-19</v>
      </c>
      <c r="F683" s="41" t="str">
        <f t="shared" ref="F683:F746" si="35">CONCATENATE(A683,C683,B683)</f>
        <v>LBL010LLAdolecentes 10-19</v>
      </c>
      <c r="G683" s="41" t="s">
        <v>466</v>
      </c>
      <c r="H683" s="41" t="s">
        <v>81</v>
      </c>
    </row>
    <row r="684" spans="1:8">
      <c r="A684" s="41" t="s">
        <v>467</v>
      </c>
      <c r="B684" s="39" t="s">
        <v>232</v>
      </c>
      <c r="C684" s="39" t="s">
        <v>239</v>
      </c>
      <c r="D684" s="41" t="str">
        <f t="shared" si="33"/>
        <v>LBL011LL</v>
      </c>
      <c r="E684" s="41" t="str">
        <f t="shared" si="34"/>
        <v>LBL011Adolecentes 10-19</v>
      </c>
      <c r="F684" s="41" t="str">
        <f t="shared" si="35"/>
        <v>LBL011LLAdolecentes 10-19</v>
      </c>
      <c r="G684" s="41" t="s">
        <v>468</v>
      </c>
      <c r="H684" s="41" t="s">
        <v>81</v>
      </c>
    </row>
    <row r="685" spans="1:8">
      <c r="A685" s="41" t="s">
        <v>469</v>
      </c>
      <c r="B685" s="39" t="s">
        <v>232</v>
      </c>
      <c r="C685" s="39" t="s">
        <v>239</v>
      </c>
      <c r="D685" s="41" t="str">
        <f t="shared" si="33"/>
        <v>LBL014LL</v>
      </c>
      <c r="E685" s="41" t="str">
        <f t="shared" si="34"/>
        <v>LBL014Adolecentes 10-19</v>
      </c>
      <c r="F685" s="41" t="str">
        <f t="shared" si="35"/>
        <v>LBL014LLAdolecentes 10-19</v>
      </c>
      <c r="G685" s="41" t="s">
        <v>470</v>
      </c>
      <c r="H685" s="41" t="s">
        <v>81</v>
      </c>
    </row>
    <row r="686" spans="1:8">
      <c r="A686" s="41" t="s">
        <v>471</v>
      </c>
      <c r="B686" s="39" t="s">
        <v>232</v>
      </c>
      <c r="C686" s="39" t="s">
        <v>239</v>
      </c>
      <c r="D686" s="41" t="str">
        <f t="shared" si="33"/>
        <v>LBL015LL</v>
      </c>
      <c r="E686" s="41" t="str">
        <f t="shared" si="34"/>
        <v>LBL015Adolecentes 10-19</v>
      </c>
      <c r="F686" s="41" t="str">
        <f t="shared" si="35"/>
        <v>LBL015LLAdolecentes 10-19</v>
      </c>
      <c r="G686" s="41" t="s">
        <v>472</v>
      </c>
      <c r="H686" s="41" t="s">
        <v>81</v>
      </c>
    </row>
    <row r="687" spans="1:8">
      <c r="A687" s="41" t="s">
        <v>473</v>
      </c>
      <c r="B687" s="39" t="s">
        <v>232</v>
      </c>
      <c r="C687" s="39" t="s">
        <v>239</v>
      </c>
      <c r="D687" s="41" t="str">
        <f t="shared" si="33"/>
        <v>LBL016LL</v>
      </c>
      <c r="E687" s="41" t="str">
        <f t="shared" si="34"/>
        <v>LBL016Adolecentes 10-19</v>
      </c>
      <c r="F687" s="41" t="str">
        <f t="shared" si="35"/>
        <v>LBL016LLAdolecentes 10-19</v>
      </c>
      <c r="G687" s="41" t="s">
        <v>474</v>
      </c>
      <c r="H687" s="41" t="s">
        <v>81</v>
      </c>
    </row>
    <row r="688" spans="1:8">
      <c r="A688" s="41" t="s">
        <v>475</v>
      </c>
      <c r="B688" s="39" t="s">
        <v>232</v>
      </c>
      <c r="C688" s="39" t="s">
        <v>239</v>
      </c>
      <c r="D688" s="41" t="str">
        <f t="shared" si="33"/>
        <v>LBL018LL</v>
      </c>
      <c r="E688" s="41" t="str">
        <f t="shared" si="34"/>
        <v>LBL018Adolecentes 10-19</v>
      </c>
      <c r="F688" s="41" t="str">
        <f t="shared" si="35"/>
        <v>LBL018LLAdolecentes 10-19</v>
      </c>
      <c r="G688" s="41" t="s">
        <v>476</v>
      </c>
      <c r="H688" s="41" t="s">
        <v>81</v>
      </c>
    </row>
    <row r="689" spans="1:8">
      <c r="A689" s="41" t="s">
        <v>477</v>
      </c>
      <c r="B689" s="39" t="s">
        <v>232</v>
      </c>
      <c r="C689" s="39" t="s">
        <v>239</v>
      </c>
      <c r="D689" s="41" t="str">
        <f t="shared" si="33"/>
        <v>LBL021LL</v>
      </c>
      <c r="E689" s="41" t="str">
        <f t="shared" si="34"/>
        <v>LBL021Adolecentes 10-19</v>
      </c>
      <c r="F689" s="41" t="str">
        <f t="shared" si="35"/>
        <v>LBL021LLAdolecentes 10-19</v>
      </c>
      <c r="G689" s="41" t="s">
        <v>478</v>
      </c>
      <c r="H689" s="41" t="s">
        <v>81</v>
      </c>
    </row>
    <row r="690" spans="1:8">
      <c r="A690" s="41" t="s">
        <v>479</v>
      </c>
      <c r="B690" s="39" t="s">
        <v>232</v>
      </c>
      <c r="C690" s="39" t="s">
        <v>239</v>
      </c>
      <c r="D690" s="41" t="str">
        <f t="shared" si="33"/>
        <v>LBL022LL</v>
      </c>
      <c r="E690" s="41" t="str">
        <f t="shared" si="34"/>
        <v>LBL022Adolecentes 10-19</v>
      </c>
      <c r="F690" s="41" t="str">
        <f t="shared" si="35"/>
        <v>LBL022LLAdolecentes 10-19</v>
      </c>
      <c r="G690" s="41" t="s">
        <v>480</v>
      </c>
      <c r="H690" s="41" t="s">
        <v>81</v>
      </c>
    </row>
    <row r="691" spans="1:8">
      <c r="A691" s="41" t="s">
        <v>481</v>
      </c>
      <c r="B691" s="39" t="s">
        <v>232</v>
      </c>
      <c r="C691" s="39" t="s">
        <v>239</v>
      </c>
      <c r="D691" s="41" t="str">
        <f t="shared" si="33"/>
        <v>LBL025LL</v>
      </c>
      <c r="E691" s="41" t="str">
        <f t="shared" si="34"/>
        <v>LBL025Adolecentes 10-19</v>
      </c>
      <c r="F691" s="41" t="str">
        <f t="shared" si="35"/>
        <v>LBL025LLAdolecentes 10-19</v>
      </c>
      <c r="G691" s="41" t="s">
        <v>482</v>
      </c>
      <c r="H691" s="41" t="s">
        <v>81</v>
      </c>
    </row>
    <row r="692" spans="1:8">
      <c r="A692" s="41" t="s">
        <v>483</v>
      </c>
      <c r="B692" s="39" t="s">
        <v>232</v>
      </c>
      <c r="C692" s="39" t="s">
        <v>239</v>
      </c>
      <c r="D692" s="41" t="str">
        <f t="shared" si="33"/>
        <v>LBL026LL</v>
      </c>
      <c r="E692" s="41" t="str">
        <f t="shared" si="34"/>
        <v>LBL026Adolecentes 10-19</v>
      </c>
      <c r="F692" s="41" t="str">
        <f t="shared" si="35"/>
        <v>LBL026LLAdolecentes 10-19</v>
      </c>
      <c r="G692" s="41" t="s">
        <v>484</v>
      </c>
      <c r="H692" s="41" t="s">
        <v>81</v>
      </c>
    </row>
    <row r="693" spans="1:8">
      <c r="A693" s="41" t="s">
        <v>485</v>
      </c>
      <c r="B693" s="39" t="s">
        <v>232</v>
      </c>
      <c r="C693" s="39" t="s">
        <v>239</v>
      </c>
      <c r="D693" s="41" t="str">
        <f t="shared" si="33"/>
        <v>LBL027LL</v>
      </c>
      <c r="E693" s="41" t="str">
        <f t="shared" si="34"/>
        <v>LBL027Adolecentes 10-19</v>
      </c>
      <c r="F693" s="41" t="str">
        <f t="shared" si="35"/>
        <v>LBL027LLAdolecentes 10-19</v>
      </c>
      <c r="G693" s="41" t="s">
        <v>486</v>
      </c>
      <c r="H693" s="41" t="s">
        <v>81</v>
      </c>
    </row>
    <row r="694" spans="1:8">
      <c r="A694" s="41" t="s">
        <v>487</v>
      </c>
      <c r="B694" s="39" t="s">
        <v>232</v>
      </c>
      <c r="C694" s="39" t="s">
        <v>239</v>
      </c>
      <c r="D694" s="41" t="str">
        <f t="shared" si="33"/>
        <v>LBL028LL</v>
      </c>
      <c r="E694" s="41" t="str">
        <f t="shared" si="34"/>
        <v>LBL028Adolecentes 10-19</v>
      </c>
      <c r="F694" s="41" t="str">
        <f t="shared" si="35"/>
        <v>LBL028LLAdolecentes 10-19</v>
      </c>
      <c r="G694" s="41" t="s">
        <v>488</v>
      </c>
      <c r="H694" s="41" t="s">
        <v>81</v>
      </c>
    </row>
    <row r="695" spans="1:8">
      <c r="A695" s="41" t="s">
        <v>489</v>
      </c>
      <c r="B695" s="39" t="s">
        <v>232</v>
      </c>
      <c r="C695" s="39" t="s">
        <v>239</v>
      </c>
      <c r="D695" s="41" t="str">
        <f t="shared" si="33"/>
        <v>LBL029LL</v>
      </c>
      <c r="E695" s="41" t="str">
        <f t="shared" si="34"/>
        <v>LBL029Adolecentes 10-19</v>
      </c>
      <c r="F695" s="41" t="str">
        <f t="shared" si="35"/>
        <v>LBL029LLAdolecentes 10-19</v>
      </c>
      <c r="G695" s="41" t="s">
        <v>490</v>
      </c>
      <c r="H695" s="41" t="s">
        <v>81</v>
      </c>
    </row>
    <row r="696" spans="1:8">
      <c r="A696" s="41" t="s">
        <v>491</v>
      </c>
      <c r="B696" s="39" t="s">
        <v>232</v>
      </c>
      <c r="C696" s="39" t="s">
        <v>239</v>
      </c>
      <c r="D696" s="41" t="str">
        <f t="shared" si="33"/>
        <v>LBL030LL</v>
      </c>
      <c r="E696" s="41" t="str">
        <f t="shared" si="34"/>
        <v>LBL030Adolecentes 10-19</v>
      </c>
      <c r="F696" s="41" t="str">
        <f t="shared" si="35"/>
        <v>LBL030LLAdolecentes 10-19</v>
      </c>
      <c r="G696" s="41" t="s">
        <v>492</v>
      </c>
      <c r="H696" s="41" t="s">
        <v>81</v>
      </c>
    </row>
    <row r="697" spans="1:8">
      <c r="A697" s="41" t="s">
        <v>493</v>
      </c>
      <c r="B697" s="39" t="s">
        <v>232</v>
      </c>
      <c r="C697" s="39" t="s">
        <v>239</v>
      </c>
      <c r="D697" s="41" t="str">
        <f t="shared" si="33"/>
        <v>LBL031LL</v>
      </c>
      <c r="E697" s="41" t="str">
        <f t="shared" si="34"/>
        <v>LBL031Adolecentes 10-19</v>
      </c>
      <c r="F697" s="41" t="str">
        <f t="shared" si="35"/>
        <v>LBL031LLAdolecentes 10-19</v>
      </c>
      <c r="G697" s="41" t="s">
        <v>494</v>
      </c>
      <c r="H697" s="41" t="s">
        <v>81</v>
      </c>
    </row>
    <row r="698" spans="1:8">
      <c r="A698" s="41" t="s">
        <v>495</v>
      </c>
      <c r="B698" s="39" t="s">
        <v>232</v>
      </c>
      <c r="C698" s="39" t="s">
        <v>239</v>
      </c>
      <c r="D698" s="41" t="str">
        <f t="shared" si="33"/>
        <v>LBL032LL</v>
      </c>
      <c r="E698" s="41" t="str">
        <f t="shared" si="34"/>
        <v>LBL032Adolecentes 10-19</v>
      </c>
      <c r="F698" s="41" t="str">
        <f t="shared" si="35"/>
        <v>LBL032LLAdolecentes 10-19</v>
      </c>
      <c r="G698" s="41" t="s">
        <v>496</v>
      </c>
      <c r="H698" s="41" t="s">
        <v>81</v>
      </c>
    </row>
    <row r="699" spans="1:8">
      <c r="A699" s="41" t="s">
        <v>497</v>
      </c>
      <c r="B699" s="39" t="s">
        <v>232</v>
      </c>
      <c r="C699" s="39" t="s">
        <v>239</v>
      </c>
      <c r="D699" s="41" t="str">
        <f t="shared" si="33"/>
        <v>LBL033LL</v>
      </c>
      <c r="E699" s="41" t="str">
        <f t="shared" si="34"/>
        <v>LBL033Adolecentes 10-19</v>
      </c>
      <c r="F699" s="41" t="str">
        <f t="shared" si="35"/>
        <v>LBL033LLAdolecentes 10-19</v>
      </c>
      <c r="G699" s="41" t="s">
        <v>498</v>
      </c>
      <c r="H699" s="41" t="s">
        <v>81</v>
      </c>
    </row>
    <row r="700" spans="1:8">
      <c r="A700" s="41" t="s">
        <v>499</v>
      </c>
      <c r="B700" s="39" t="s">
        <v>232</v>
      </c>
      <c r="C700" s="39" t="s">
        <v>239</v>
      </c>
      <c r="D700" s="41" t="str">
        <f t="shared" si="33"/>
        <v>LBL037LL</v>
      </c>
      <c r="E700" s="41" t="str">
        <f t="shared" si="34"/>
        <v>LBL037Adolecentes 10-19</v>
      </c>
      <c r="F700" s="41" t="str">
        <f t="shared" si="35"/>
        <v>LBL037LLAdolecentes 10-19</v>
      </c>
      <c r="G700" s="41" t="s">
        <v>500</v>
      </c>
      <c r="H700" s="41" t="s">
        <v>81</v>
      </c>
    </row>
    <row r="701" spans="1:8">
      <c r="A701" s="41" t="s">
        <v>501</v>
      </c>
      <c r="B701" s="39" t="s">
        <v>232</v>
      </c>
      <c r="C701" s="39" t="s">
        <v>239</v>
      </c>
      <c r="D701" s="41" t="str">
        <f t="shared" si="33"/>
        <v>LBL038LL</v>
      </c>
      <c r="E701" s="41" t="str">
        <f t="shared" si="34"/>
        <v>LBL038Adolecentes 10-19</v>
      </c>
      <c r="F701" s="41" t="str">
        <f t="shared" si="35"/>
        <v>LBL038LLAdolecentes 10-19</v>
      </c>
      <c r="G701" s="41" t="s">
        <v>502</v>
      </c>
      <c r="H701" s="41" t="s">
        <v>81</v>
      </c>
    </row>
    <row r="702" spans="1:8">
      <c r="A702" s="41" t="s">
        <v>503</v>
      </c>
      <c r="B702" s="39" t="s">
        <v>232</v>
      </c>
      <c r="C702" s="39" t="s">
        <v>239</v>
      </c>
      <c r="D702" s="41" t="str">
        <f t="shared" si="33"/>
        <v>LBL040LL</v>
      </c>
      <c r="E702" s="41" t="str">
        <f t="shared" si="34"/>
        <v>LBL040Adolecentes 10-19</v>
      </c>
      <c r="F702" s="41" t="str">
        <f t="shared" si="35"/>
        <v>LBL040LLAdolecentes 10-19</v>
      </c>
      <c r="G702" s="41" t="s">
        <v>504</v>
      </c>
      <c r="H702" s="41" t="s">
        <v>81</v>
      </c>
    </row>
    <row r="703" spans="1:8">
      <c r="A703" s="41" t="s">
        <v>505</v>
      </c>
      <c r="B703" s="39" t="s">
        <v>232</v>
      </c>
      <c r="C703" s="39" t="s">
        <v>239</v>
      </c>
      <c r="D703" s="41" t="str">
        <f t="shared" si="33"/>
        <v>LBL041LL</v>
      </c>
      <c r="E703" s="41" t="str">
        <f t="shared" si="34"/>
        <v>LBL041Adolecentes 10-19</v>
      </c>
      <c r="F703" s="41" t="str">
        <f t="shared" si="35"/>
        <v>LBL041LLAdolecentes 10-19</v>
      </c>
      <c r="G703" s="41" t="s">
        <v>506</v>
      </c>
      <c r="H703" s="41" t="s">
        <v>81</v>
      </c>
    </row>
    <row r="704" spans="1:8">
      <c r="A704" s="41" t="s">
        <v>507</v>
      </c>
      <c r="B704" s="39" t="s">
        <v>232</v>
      </c>
      <c r="C704" s="39" t="s">
        <v>239</v>
      </c>
      <c r="D704" s="41" t="str">
        <f t="shared" si="33"/>
        <v>LBL042LL</v>
      </c>
      <c r="E704" s="41" t="str">
        <f t="shared" si="34"/>
        <v>LBL042Adolecentes 10-19</v>
      </c>
      <c r="F704" s="41" t="str">
        <f t="shared" si="35"/>
        <v>LBL042LLAdolecentes 10-19</v>
      </c>
      <c r="G704" s="41" t="s">
        <v>508</v>
      </c>
      <c r="H704" s="41" t="s">
        <v>81</v>
      </c>
    </row>
    <row r="705" spans="1:8">
      <c r="A705" s="41" t="s">
        <v>509</v>
      </c>
      <c r="B705" s="39" t="s">
        <v>232</v>
      </c>
      <c r="C705" s="39" t="s">
        <v>239</v>
      </c>
      <c r="D705" s="41" t="str">
        <f t="shared" si="33"/>
        <v>LBL044LL</v>
      </c>
      <c r="E705" s="41" t="str">
        <f t="shared" si="34"/>
        <v>LBL044Adolecentes 10-19</v>
      </c>
      <c r="F705" s="41" t="str">
        <f t="shared" si="35"/>
        <v>LBL044LLAdolecentes 10-19</v>
      </c>
      <c r="G705" s="41" t="s">
        <v>510</v>
      </c>
      <c r="H705" s="41" t="s">
        <v>81</v>
      </c>
    </row>
    <row r="706" spans="1:8">
      <c r="A706" s="41" t="s">
        <v>511</v>
      </c>
      <c r="B706" s="39" t="s">
        <v>232</v>
      </c>
      <c r="C706" s="39" t="s">
        <v>239</v>
      </c>
      <c r="D706" s="41" t="str">
        <f t="shared" si="33"/>
        <v>LBL045LL</v>
      </c>
      <c r="E706" s="41" t="str">
        <f t="shared" si="34"/>
        <v>LBL045Adolecentes 10-19</v>
      </c>
      <c r="F706" s="41" t="str">
        <f t="shared" si="35"/>
        <v>LBL045LLAdolecentes 10-19</v>
      </c>
      <c r="G706" s="41" t="s">
        <v>512</v>
      </c>
      <c r="H706" s="41" t="s">
        <v>81</v>
      </c>
    </row>
    <row r="707" spans="1:8">
      <c r="A707" s="41" t="s">
        <v>513</v>
      </c>
      <c r="B707" s="39" t="s">
        <v>232</v>
      </c>
      <c r="C707" s="39" t="s">
        <v>239</v>
      </c>
      <c r="D707" s="41" t="str">
        <f t="shared" si="33"/>
        <v>LBL047LL</v>
      </c>
      <c r="E707" s="41" t="str">
        <f t="shared" si="34"/>
        <v>LBL047Adolecentes 10-19</v>
      </c>
      <c r="F707" s="41" t="str">
        <f t="shared" si="35"/>
        <v>LBL047LLAdolecentes 10-19</v>
      </c>
      <c r="G707" s="41" t="s">
        <v>514</v>
      </c>
      <c r="H707" s="41" t="s">
        <v>81</v>
      </c>
    </row>
    <row r="708" spans="1:8">
      <c r="A708" s="41" t="s">
        <v>515</v>
      </c>
      <c r="B708" s="39" t="s">
        <v>232</v>
      </c>
      <c r="C708" s="39" t="s">
        <v>239</v>
      </c>
      <c r="D708" s="41" t="str">
        <f t="shared" si="33"/>
        <v>LBL048LL</v>
      </c>
      <c r="E708" s="41" t="str">
        <f t="shared" si="34"/>
        <v>LBL048Adolecentes 10-19</v>
      </c>
      <c r="F708" s="41" t="str">
        <f t="shared" si="35"/>
        <v>LBL048LLAdolecentes 10-19</v>
      </c>
      <c r="G708" s="41" t="s">
        <v>516</v>
      </c>
      <c r="H708" s="41" t="s">
        <v>81</v>
      </c>
    </row>
    <row r="709" spans="1:8">
      <c r="A709" s="41" t="s">
        <v>517</v>
      </c>
      <c r="B709" s="39" t="s">
        <v>232</v>
      </c>
      <c r="C709" s="39" t="s">
        <v>239</v>
      </c>
      <c r="D709" s="41" t="str">
        <f t="shared" si="33"/>
        <v>LBL050LL</v>
      </c>
      <c r="E709" s="41" t="str">
        <f t="shared" si="34"/>
        <v>LBL050Adolecentes 10-19</v>
      </c>
      <c r="F709" s="41" t="str">
        <f t="shared" si="35"/>
        <v>LBL050LLAdolecentes 10-19</v>
      </c>
      <c r="G709" s="41" t="s">
        <v>518</v>
      </c>
      <c r="H709" s="41" t="s">
        <v>81</v>
      </c>
    </row>
    <row r="710" spans="1:8">
      <c r="A710" s="41" t="s">
        <v>519</v>
      </c>
      <c r="B710" s="39" t="s">
        <v>232</v>
      </c>
      <c r="C710" s="39" t="s">
        <v>239</v>
      </c>
      <c r="D710" s="41" t="str">
        <f t="shared" si="33"/>
        <v>LBL051LL</v>
      </c>
      <c r="E710" s="41" t="str">
        <f t="shared" si="34"/>
        <v>LBL051Adolecentes 10-19</v>
      </c>
      <c r="F710" s="41" t="str">
        <f t="shared" si="35"/>
        <v>LBL051LLAdolecentes 10-19</v>
      </c>
      <c r="G710" s="41" t="s">
        <v>520</v>
      </c>
      <c r="H710" s="41" t="s">
        <v>81</v>
      </c>
    </row>
    <row r="711" spans="1:8">
      <c r="A711" s="41" t="s">
        <v>521</v>
      </c>
      <c r="B711" s="39" t="s">
        <v>232</v>
      </c>
      <c r="C711" s="39" t="s">
        <v>239</v>
      </c>
      <c r="D711" s="41" t="str">
        <f t="shared" si="33"/>
        <v>LBL052LL</v>
      </c>
      <c r="E711" s="41" t="str">
        <f t="shared" si="34"/>
        <v>LBL052Adolecentes 10-19</v>
      </c>
      <c r="F711" s="41" t="str">
        <f t="shared" si="35"/>
        <v>LBL052LLAdolecentes 10-19</v>
      </c>
      <c r="G711" s="41" t="s">
        <v>522</v>
      </c>
      <c r="H711" s="41" t="s">
        <v>81</v>
      </c>
    </row>
    <row r="712" spans="1:8">
      <c r="A712" s="41" t="s">
        <v>523</v>
      </c>
      <c r="B712" s="39" t="s">
        <v>232</v>
      </c>
      <c r="C712" s="39" t="s">
        <v>239</v>
      </c>
      <c r="D712" s="41" t="str">
        <f t="shared" si="33"/>
        <v>LBL053LL</v>
      </c>
      <c r="E712" s="41" t="str">
        <f t="shared" si="34"/>
        <v>LBL053Adolecentes 10-19</v>
      </c>
      <c r="F712" s="41" t="str">
        <f t="shared" si="35"/>
        <v>LBL053LLAdolecentes 10-19</v>
      </c>
      <c r="G712" s="41" t="s">
        <v>524</v>
      </c>
      <c r="H712" s="41" t="s">
        <v>81</v>
      </c>
    </row>
    <row r="713" spans="1:8">
      <c r="A713" s="41" t="s">
        <v>525</v>
      </c>
      <c r="B713" s="39" t="s">
        <v>232</v>
      </c>
      <c r="C713" s="39" t="s">
        <v>239</v>
      </c>
      <c r="D713" s="41" t="str">
        <f t="shared" si="33"/>
        <v>LBL055LL</v>
      </c>
      <c r="E713" s="41" t="str">
        <f t="shared" si="34"/>
        <v>LBL055Adolecentes 10-19</v>
      </c>
      <c r="F713" s="41" t="str">
        <f t="shared" si="35"/>
        <v>LBL055LLAdolecentes 10-19</v>
      </c>
      <c r="G713" s="41" t="s">
        <v>526</v>
      </c>
      <c r="H713" s="41" t="s">
        <v>81</v>
      </c>
    </row>
    <row r="714" spans="1:8">
      <c r="A714" s="41" t="s">
        <v>527</v>
      </c>
      <c r="B714" s="39" t="s">
        <v>232</v>
      </c>
      <c r="C714" s="39" t="s">
        <v>239</v>
      </c>
      <c r="D714" s="41" t="str">
        <f t="shared" si="33"/>
        <v>LBL057LL</v>
      </c>
      <c r="E714" s="41" t="str">
        <f t="shared" si="34"/>
        <v>LBL057Adolecentes 10-19</v>
      </c>
      <c r="F714" s="41" t="str">
        <f t="shared" si="35"/>
        <v>LBL057LLAdolecentes 10-19</v>
      </c>
      <c r="G714" s="41" t="s">
        <v>528</v>
      </c>
      <c r="H714" s="41" t="s">
        <v>81</v>
      </c>
    </row>
    <row r="715" spans="1:8">
      <c r="A715" s="41" t="s">
        <v>529</v>
      </c>
      <c r="B715" s="39" t="s">
        <v>232</v>
      </c>
      <c r="C715" s="39" t="s">
        <v>239</v>
      </c>
      <c r="D715" s="41" t="str">
        <f t="shared" si="33"/>
        <v>LBL058LL</v>
      </c>
      <c r="E715" s="41" t="str">
        <f t="shared" si="34"/>
        <v>LBL058Adolecentes 10-19</v>
      </c>
      <c r="F715" s="41" t="str">
        <f t="shared" si="35"/>
        <v>LBL058LLAdolecentes 10-19</v>
      </c>
      <c r="G715" s="41" t="s">
        <v>530</v>
      </c>
      <c r="H715" s="41" t="s">
        <v>81</v>
      </c>
    </row>
    <row r="716" spans="1:8">
      <c r="A716" s="41" t="s">
        <v>531</v>
      </c>
      <c r="B716" s="39" t="s">
        <v>232</v>
      </c>
      <c r="C716" s="39" t="s">
        <v>239</v>
      </c>
      <c r="D716" s="41" t="str">
        <f t="shared" si="33"/>
        <v>LBL059LL</v>
      </c>
      <c r="E716" s="41" t="str">
        <f t="shared" si="34"/>
        <v>LBL059Adolecentes 10-19</v>
      </c>
      <c r="F716" s="41" t="str">
        <f t="shared" si="35"/>
        <v>LBL059LLAdolecentes 10-19</v>
      </c>
      <c r="G716" s="41" t="s">
        <v>532</v>
      </c>
      <c r="H716" s="41" t="s">
        <v>81</v>
      </c>
    </row>
    <row r="717" spans="1:8">
      <c r="A717" s="41" t="s">
        <v>533</v>
      </c>
      <c r="B717" s="39" t="s">
        <v>232</v>
      </c>
      <c r="C717" s="39" t="s">
        <v>239</v>
      </c>
      <c r="D717" s="41" t="str">
        <f t="shared" si="33"/>
        <v>LBL060LL</v>
      </c>
      <c r="E717" s="41" t="str">
        <f t="shared" si="34"/>
        <v>LBL060Adolecentes 10-19</v>
      </c>
      <c r="F717" s="41" t="str">
        <f t="shared" si="35"/>
        <v>LBL060LLAdolecentes 10-19</v>
      </c>
      <c r="G717" s="41" t="s">
        <v>534</v>
      </c>
      <c r="H717" s="41" t="s">
        <v>81</v>
      </c>
    </row>
    <row r="718" spans="1:8">
      <c r="A718" s="41" t="s">
        <v>535</v>
      </c>
      <c r="B718" s="39" t="s">
        <v>232</v>
      </c>
      <c r="C718" s="39" t="s">
        <v>239</v>
      </c>
      <c r="D718" s="41" t="str">
        <f t="shared" si="33"/>
        <v>LBL061LL</v>
      </c>
      <c r="E718" s="41" t="str">
        <f t="shared" si="34"/>
        <v>LBL061Adolecentes 10-19</v>
      </c>
      <c r="F718" s="41" t="str">
        <f t="shared" si="35"/>
        <v>LBL061LLAdolecentes 10-19</v>
      </c>
      <c r="G718" s="41" t="s">
        <v>536</v>
      </c>
      <c r="H718" s="41" t="s">
        <v>81</v>
      </c>
    </row>
    <row r="719" spans="1:8">
      <c r="A719" s="41" t="s">
        <v>537</v>
      </c>
      <c r="B719" s="39" t="s">
        <v>232</v>
      </c>
      <c r="C719" s="39" t="s">
        <v>239</v>
      </c>
      <c r="D719" s="41" t="str">
        <f t="shared" si="33"/>
        <v>LBL062LL</v>
      </c>
      <c r="E719" s="41" t="str">
        <f t="shared" si="34"/>
        <v>LBL062Adolecentes 10-19</v>
      </c>
      <c r="F719" s="41" t="str">
        <f t="shared" si="35"/>
        <v>LBL062LLAdolecentes 10-19</v>
      </c>
      <c r="G719" s="41" t="s">
        <v>538</v>
      </c>
      <c r="H719" s="41" t="s">
        <v>81</v>
      </c>
    </row>
    <row r="720" spans="1:8">
      <c r="A720" s="41" t="s">
        <v>539</v>
      </c>
      <c r="B720" s="39" t="s">
        <v>232</v>
      </c>
      <c r="C720" s="39" t="s">
        <v>239</v>
      </c>
      <c r="D720" s="41" t="str">
        <f t="shared" si="33"/>
        <v>LBL065LL</v>
      </c>
      <c r="E720" s="41" t="str">
        <f t="shared" si="34"/>
        <v>LBL065Adolecentes 10-19</v>
      </c>
      <c r="F720" s="41" t="str">
        <f t="shared" si="35"/>
        <v>LBL065LLAdolecentes 10-19</v>
      </c>
      <c r="G720" s="41" t="s">
        <v>540</v>
      </c>
      <c r="H720" s="41" t="s">
        <v>81</v>
      </c>
    </row>
    <row r="721" spans="1:8">
      <c r="A721" s="41" t="s">
        <v>541</v>
      </c>
      <c r="B721" s="39" t="s">
        <v>232</v>
      </c>
      <c r="C721" s="39" t="s">
        <v>239</v>
      </c>
      <c r="D721" s="41" t="str">
        <f t="shared" si="33"/>
        <v>LBL066LL</v>
      </c>
      <c r="E721" s="41" t="str">
        <f t="shared" si="34"/>
        <v>LBL066Adolecentes 10-19</v>
      </c>
      <c r="F721" s="41" t="str">
        <f t="shared" si="35"/>
        <v>LBL066LLAdolecentes 10-19</v>
      </c>
      <c r="G721" s="41" t="s">
        <v>542</v>
      </c>
      <c r="H721" s="41" t="s">
        <v>81</v>
      </c>
    </row>
    <row r="722" spans="1:8">
      <c r="A722" s="41" t="s">
        <v>543</v>
      </c>
      <c r="B722" s="39" t="s">
        <v>232</v>
      </c>
      <c r="C722" s="39" t="s">
        <v>239</v>
      </c>
      <c r="D722" s="41" t="str">
        <f t="shared" si="33"/>
        <v>LBL067LL</v>
      </c>
      <c r="E722" s="41" t="str">
        <f t="shared" si="34"/>
        <v>LBL067Adolecentes 10-19</v>
      </c>
      <c r="F722" s="41" t="str">
        <f t="shared" si="35"/>
        <v>LBL067LLAdolecentes 10-19</v>
      </c>
      <c r="G722" s="41" t="s">
        <v>544</v>
      </c>
      <c r="H722" s="41" t="s">
        <v>81</v>
      </c>
    </row>
    <row r="723" spans="1:8">
      <c r="A723" s="41" t="s">
        <v>545</v>
      </c>
      <c r="B723" s="39" t="s">
        <v>232</v>
      </c>
      <c r="C723" s="39" t="s">
        <v>239</v>
      </c>
      <c r="D723" s="41" t="str">
        <f t="shared" si="33"/>
        <v>LBL068LL</v>
      </c>
      <c r="E723" s="41" t="str">
        <f t="shared" si="34"/>
        <v>LBL068Adolecentes 10-19</v>
      </c>
      <c r="F723" s="41" t="str">
        <f t="shared" si="35"/>
        <v>LBL068LLAdolecentes 10-19</v>
      </c>
      <c r="G723" s="41" t="s">
        <v>546</v>
      </c>
      <c r="H723" s="41" t="s">
        <v>81</v>
      </c>
    </row>
    <row r="724" spans="1:8">
      <c r="A724" s="41" t="s">
        <v>547</v>
      </c>
      <c r="B724" s="39" t="s">
        <v>232</v>
      </c>
      <c r="C724" s="39" t="s">
        <v>239</v>
      </c>
      <c r="D724" s="41" t="str">
        <f t="shared" si="33"/>
        <v>LBL069LL</v>
      </c>
      <c r="E724" s="41" t="str">
        <f t="shared" si="34"/>
        <v>LBL069Adolecentes 10-19</v>
      </c>
      <c r="F724" s="41" t="str">
        <f t="shared" si="35"/>
        <v>LBL069LLAdolecentes 10-19</v>
      </c>
      <c r="G724" s="41" t="s">
        <v>548</v>
      </c>
      <c r="H724" s="41" t="s">
        <v>81</v>
      </c>
    </row>
    <row r="725" spans="1:8">
      <c r="A725" s="41" t="s">
        <v>549</v>
      </c>
      <c r="B725" s="39" t="s">
        <v>232</v>
      </c>
      <c r="C725" s="39" t="s">
        <v>239</v>
      </c>
      <c r="D725" s="41" t="str">
        <f t="shared" si="33"/>
        <v>LBL070LL</v>
      </c>
      <c r="E725" s="41" t="str">
        <f t="shared" si="34"/>
        <v>LBL070Adolecentes 10-19</v>
      </c>
      <c r="F725" s="41" t="str">
        <f t="shared" si="35"/>
        <v>LBL070LLAdolecentes 10-19</v>
      </c>
      <c r="G725" s="41" t="s">
        <v>550</v>
      </c>
      <c r="H725" s="41" t="s">
        <v>81</v>
      </c>
    </row>
    <row r="726" spans="1:8">
      <c r="A726" s="41" t="s">
        <v>551</v>
      </c>
      <c r="B726" s="39" t="s">
        <v>232</v>
      </c>
      <c r="C726" s="39" t="s">
        <v>239</v>
      </c>
      <c r="D726" s="41" t="str">
        <f t="shared" si="33"/>
        <v>LBL072LL</v>
      </c>
      <c r="E726" s="41" t="str">
        <f t="shared" si="34"/>
        <v>LBL072Adolecentes 10-19</v>
      </c>
      <c r="F726" s="41" t="str">
        <f t="shared" si="35"/>
        <v>LBL072LLAdolecentes 10-19</v>
      </c>
      <c r="G726" s="41" t="s">
        <v>552</v>
      </c>
      <c r="H726" s="41" t="s">
        <v>81</v>
      </c>
    </row>
    <row r="727" spans="1:8">
      <c r="A727" s="41" t="s">
        <v>553</v>
      </c>
      <c r="B727" s="39" t="s">
        <v>232</v>
      </c>
      <c r="C727" s="39" t="s">
        <v>239</v>
      </c>
      <c r="D727" s="41" t="str">
        <f t="shared" si="33"/>
        <v>LBL073LL</v>
      </c>
      <c r="E727" s="41" t="str">
        <f t="shared" si="34"/>
        <v>LBL073Adolecentes 10-19</v>
      </c>
      <c r="F727" s="41" t="str">
        <f t="shared" si="35"/>
        <v>LBL073LLAdolecentes 10-19</v>
      </c>
      <c r="G727" s="41" t="s">
        <v>554</v>
      </c>
      <c r="H727" s="41" t="s">
        <v>81</v>
      </c>
    </row>
    <row r="728" spans="1:8">
      <c r="A728" s="41" t="s">
        <v>555</v>
      </c>
      <c r="B728" s="39" t="s">
        <v>232</v>
      </c>
      <c r="C728" s="39" t="s">
        <v>239</v>
      </c>
      <c r="D728" s="41" t="str">
        <f t="shared" si="33"/>
        <v>LBL075LL</v>
      </c>
      <c r="E728" s="41" t="str">
        <f t="shared" si="34"/>
        <v>LBL075Adolecentes 10-19</v>
      </c>
      <c r="F728" s="41" t="str">
        <f t="shared" si="35"/>
        <v>LBL075LLAdolecentes 10-19</v>
      </c>
      <c r="G728" s="41" t="s">
        <v>706</v>
      </c>
      <c r="H728" s="41" t="s">
        <v>81</v>
      </c>
    </row>
    <row r="729" spans="1:8">
      <c r="A729" s="41" t="s">
        <v>556</v>
      </c>
      <c r="B729" s="39" t="s">
        <v>232</v>
      </c>
      <c r="C729" s="39" t="s">
        <v>239</v>
      </c>
      <c r="D729" s="41" t="str">
        <f t="shared" si="33"/>
        <v>LBL076LL</v>
      </c>
      <c r="E729" s="41" t="str">
        <f t="shared" si="34"/>
        <v>LBL076Adolecentes 10-19</v>
      </c>
      <c r="F729" s="41" t="str">
        <f t="shared" si="35"/>
        <v>LBL076LLAdolecentes 10-19</v>
      </c>
      <c r="G729" s="41" t="s">
        <v>557</v>
      </c>
      <c r="H729" s="41" t="s">
        <v>81</v>
      </c>
    </row>
    <row r="730" spans="1:8">
      <c r="A730" s="41" t="s">
        <v>558</v>
      </c>
      <c r="B730" s="39" t="s">
        <v>232</v>
      </c>
      <c r="C730" s="39" t="s">
        <v>239</v>
      </c>
      <c r="D730" s="41" t="str">
        <f t="shared" si="33"/>
        <v>LBL078LL</v>
      </c>
      <c r="E730" s="41" t="str">
        <f t="shared" si="34"/>
        <v>LBL078Adolecentes 10-19</v>
      </c>
      <c r="F730" s="41" t="str">
        <f t="shared" si="35"/>
        <v>LBL078LLAdolecentes 10-19</v>
      </c>
      <c r="G730" s="41" t="s">
        <v>559</v>
      </c>
      <c r="H730" s="41" t="s">
        <v>81</v>
      </c>
    </row>
    <row r="731" spans="1:8">
      <c r="A731" s="41" t="s">
        <v>560</v>
      </c>
      <c r="B731" s="39" t="s">
        <v>232</v>
      </c>
      <c r="C731" s="39" t="s">
        <v>239</v>
      </c>
      <c r="D731" s="41" t="str">
        <f t="shared" si="33"/>
        <v>LBL079LL</v>
      </c>
      <c r="E731" s="41" t="str">
        <f t="shared" si="34"/>
        <v>LBL079Adolecentes 10-19</v>
      </c>
      <c r="F731" s="41" t="str">
        <f t="shared" si="35"/>
        <v>LBL079LLAdolecentes 10-19</v>
      </c>
      <c r="G731" s="41" t="s">
        <v>561</v>
      </c>
      <c r="H731" s="41" t="s">
        <v>81</v>
      </c>
    </row>
    <row r="732" spans="1:8">
      <c r="A732" s="41" t="s">
        <v>562</v>
      </c>
      <c r="B732" s="39" t="s">
        <v>232</v>
      </c>
      <c r="C732" s="39" t="s">
        <v>239</v>
      </c>
      <c r="D732" s="41" t="str">
        <f t="shared" si="33"/>
        <v>LBL081LL</v>
      </c>
      <c r="E732" s="41" t="str">
        <f t="shared" si="34"/>
        <v>LBL081Adolecentes 10-19</v>
      </c>
      <c r="F732" s="41" t="str">
        <f t="shared" si="35"/>
        <v>LBL081LLAdolecentes 10-19</v>
      </c>
      <c r="G732" s="41" t="s">
        <v>707</v>
      </c>
      <c r="H732" s="41" t="s">
        <v>81</v>
      </c>
    </row>
    <row r="733" spans="1:8">
      <c r="A733" s="41" t="s">
        <v>563</v>
      </c>
      <c r="B733" s="39" t="s">
        <v>232</v>
      </c>
      <c r="C733" s="39" t="s">
        <v>239</v>
      </c>
      <c r="D733" s="41" t="str">
        <f t="shared" si="33"/>
        <v>LBL083LL</v>
      </c>
      <c r="E733" s="41" t="str">
        <f t="shared" si="34"/>
        <v>LBL083Adolecentes 10-19</v>
      </c>
      <c r="F733" s="41" t="str">
        <f t="shared" si="35"/>
        <v>LBL083LLAdolecentes 10-19</v>
      </c>
      <c r="G733" s="41" t="s">
        <v>564</v>
      </c>
      <c r="H733" s="41" t="s">
        <v>81</v>
      </c>
    </row>
    <row r="734" spans="1:8">
      <c r="A734" s="41" t="s">
        <v>565</v>
      </c>
      <c r="B734" s="39" t="s">
        <v>232</v>
      </c>
      <c r="C734" s="39" t="s">
        <v>239</v>
      </c>
      <c r="D734" s="41" t="str">
        <f t="shared" si="33"/>
        <v>LBL084LL</v>
      </c>
      <c r="E734" s="41" t="str">
        <f t="shared" si="34"/>
        <v>LBL084Adolecentes 10-19</v>
      </c>
      <c r="F734" s="41" t="str">
        <f t="shared" si="35"/>
        <v>LBL084LLAdolecentes 10-19</v>
      </c>
      <c r="G734" s="41" t="s">
        <v>566</v>
      </c>
      <c r="H734" s="41" t="s">
        <v>81</v>
      </c>
    </row>
    <row r="735" spans="1:8">
      <c r="A735" s="41" t="s">
        <v>567</v>
      </c>
      <c r="B735" s="39" t="s">
        <v>232</v>
      </c>
      <c r="C735" s="39" t="s">
        <v>239</v>
      </c>
      <c r="D735" s="41" t="str">
        <f t="shared" si="33"/>
        <v>LBL086LL</v>
      </c>
      <c r="E735" s="41" t="str">
        <f t="shared" si="34"/>
        <v>LBL086Adolecentes 10-19</v>
      </c>
      <c r="F735" s="41" t="str">
        <f t="shared" si="35"/>
        <v>LBL086LLAdolecentes 10-19</v>
      </c>
      <c r="G735" s="41" t="s">
        <v>568</v>
      </c>
      <c r="H735" s="41" t="s">
        <v>81</v>
      </c>
    </row>
    <row r="736" spans="1:8">
      <c r="A736" s="41" t="s">
        <v>569</v>
      </c>
      <c r="B736" s="39" t="s">
        <v>232</v>
      </c>
      <c r="C736" s="39" t="s">
        <v>239</v>
      </c>
      <c r="D736" s="41" t="str">
        <f t="shared" si="33"/>
        <v>LBL087LL</v>
      </c>
      <c r="E736" s="41" t="str">
        <f t="shared" si="34"/>
        <v>LBL087Adolecentes 10-19</v>
      </c>
      <c r="F736" s="41" t="str">
        <f t="shared" si="35"/>
        <v>LBL087LLAdolecentes 10-19</v>
      </c>
      <c r="G736" s="41" t="s">
        <v>570</v>
      </c>
      <c r="H736" s="41" t="s">
        <v>81</v>
      </c>
    </row>
    <row r="737" spans="1:8">
      <c r="A737" s="41" t="s">
        <v>571</v>
      </c>
      <c r="B737" s="39" t="s">
        <v>232</v>
      </c>
      <c r="C737" s="39" t="s">
        <v>239</v>
      </c>
      <c r="D737" s="41" t="str">
        <f t="shared" si="33"/>
        <v>LBL088LL</v>
      </c>
      <c r="E737" s="41" t="str">
        <f t="shared" si="34"/>
        <v>LBL088Adolecentes 10-19</v>
      </c>
      <c r="F737" s="41" t="str">
        <f t="shared" si="35"/>
        <v>LBL088LLAdolecentes 10-19</v>
      </c>
      <c r="G737" s="41" t="s">
        <v>708</v>
      </c>
      <c r="H737" s="41" t="s">
        <v>81</v>
      </c>
    </row>
    <row r="738" spans="1:8">
      <c r="A738" s="41" t="s">
        <v>572</v>
      </c>
      <c r="B738" s="39" t="s">
        <v>232</v>
      </c>
      <c r="C738" s="39" t="s">
        <v>239</v>
      </c>
      <c r="D738" s="41" t="str">
        <f t="shared" si="33"/>
        <v>LBL089LL</v>
      </c>
      <c r="E738" s="41" t="str">
        <f t="shared" si="34"/>
        <v>LBL089Adolecentes 10-19</v>
      </c>
      <c r="F738" s="41" t="str">
        <f t="shared" si="35"/>
        <v>LBL089LLAdolecentes 10-19</v>
      </c>
      <c r="G738" s="41" t="s">
        <v>573</v>
      </c>
      <c r="H738" s="41" t="s">
        <v>81</v>
      </c>
    </row>
    <row r="739" spans="1:8">
      <c r="A739" s="41" t="s">
        <v>574</v>
      </c>
      <c r="B739" s="39" t="s">
        <v>232</v>
      </c>
      <c r="C739" s="39" t="s">
        <v>239</v>
      </c>
      <c r="D739" s="41" t="str">
        <f t="shared" si="33"/>
        <v>LBL091LL</v>
      </c>
      <c r="E739" s="41" t="str">
        <f t="shared" si="34"/>
        <v>LBL091Adolecentes 10-19</v>
      </c>
      <c r="F739" s="41" t="str">
        <f t="shared" si="35"/>
        <v>LBL091LLAdolecentes 10-19</v>
      </c>
      <c r="G739" s="41" t="s">
        <v>575</v>
      </c>
      <c r="H739" s="41" t="s">
        <v>81</v>
      </c>
    </row>
    <row r="740" spans="1:8">
      <c r="A740" s="41" t="s">
        <v>576</v>
      </c>
      <c r="B740" s="39" t="s">
        <v>232</v>
      </c>
      <c r="C740" s="39" t="s">
        <v>239</v>
      </c>
      <c r="D740" s="41" t="str">
        <f t="shared" si="33"/>
        <v>LBL092LL</v>
      </c>
      <c r="E740" s="41" t="str">
        <f t="shared" si="34"/>
        <v>LBL092Adolecentes 10-19</v>
      </c>
      <c r="F740" s="41" t="str">
        <f t="shared" si="35"/>
        <v>LBL092LLAdolecentes 10-19</v>
      </c>
      <c r="G740" s="41" t="s">
        <v>577</v>
      </c>
      <c r="H740" s="41" t="s">
        <v>81</v>
      </c>
    </row>
    <row r="741" spans="1:8">
      <c r="A741" s="41" t="s">
        <v>578</v>
      </c>
      <c r="B741" s="39" t="s">
        <v>232</v>
      </c>
      <c r="C741" s="39" t="s">
        <v>239</v>
      </c>
      <c r="D741" s="41" t="str">
        <f t="shared" si="33"/>
        <v>LBL094LL</v>
      </c>
      <c r="E741" s="41" t="str">
        <f t="shared" si="34"/>
        <v>LBL094Adolecentes 10-19</v>
      </c>
      <c r="F741" s="41" t="str">
        <f t="shared" si="35"/>
        <v>LBL094LLAdolecentes 10-19</v>
      </c>
      <c r="G741" s="41" t="s">
        <v>579</v>
      </c>
      <c r="H741" s="41" t="s">
        <v>81</v>
      </c>
    </row>
    <row r="742" spans="1:8">
      <c r="A742" s="41" t="s">
        <v>580</v>
      </c>
      <c r="B742" s="39" t="s">
        <v>232</v>
      </c>
      <c r="C742" s="39" t="s">
        <v>239</v>
      </c>
      <c r="D742" s="41" t="str">
        <f t="shared" si="33"/>
        <v>LBL095LL</v>
      </c>
      <c r="E742" s="41" t="str">
        <f t="shared" si="34"/>
        <v>LBL095Adolecentes 10-19</v>
      </c>
      <c r="F742" s="41" t="str">
        <f t="shared" si="35"/>
        <v>LBL095LLAdolecentes 10-19</v>
      </c>
      <c r="G742" s="41" t="s">
        <v>581</v>
      </c>
      <c r="H742" s="41" t="s">
        <v>81</v>
      </c>
    </row>
    <row r="743" spans="1:8">
      <c r="A743" s="41" t="s">
        <v>582</v>
      </c>
      <c r="B743" s="39" t="s">
        <v>232</v>
      </c>
      <c r="C743" s="39" t="s">
        <v>239</v>
      </c>
      <c r="D743" s="41" t="str">
        <f t="shared" si="33"/>
        <v>LBL097LL</v>
      </c>
      <c r="E743" s="41" t="str">
        <f t="shared" si="34"/>
        <v>LBL097Adolecentes 10-19</v>
      </c>
      <c r="F743" s="41" t="str">
        <f t="shared" si="35"/>
        <v>LBL097LLAdolecentes 10-19</v>
      </c>
      <c r="G743" s="41" t="s">
        <v>583</v>
      </c>
      <c r="H743" s="41" t="s">
        <v>81</v>
      </c>
    </row>
    <row r="744" spans="1:8">
      <c r="A744" s="41" t="s">
        <v>584</v>
      </c>
      <c r="B744" s="39" t="s">
        <v>232</v>
      </c>
      <c r="C744" s="39" t="s">
        <v>239</v>
      </c>
      <c r="D744" s="41" t="str">
        <f t="shared" si="33"/>
        <v>LBL099LL</v>
      </c>
      <c r="E744" s="41" t="str">
        <f t="shared" si="34"/>
        <v>LBL099Adolecentes 10-19</v>
      </c>
      <c r="F744" s="41" t="str">
        <f t="shared" si="35"/>
        <v>LBL099LLAdolecentes 10-19</v>
      </c>
      <c r="G744" s="41" t="s">
        <v>417</v>
      </c>
      <c r="H744" s="41" t="s">
        <v>81</v>
      </c>
    </row>
    <row r="745" spans="1:8">
      <c r="A745" s="41" t="s">
        <v>585</v>
      </c>
      <c r="B745" s="39" t="s">
        <v>232</v>
      </c>
      <c r="C745" s="39" t="s">
        <v>239</v>
      </c>
      <c r="D745" s="41" t="str">
        <f t="shared" si="33"/>
        <v>LBL100LL</v>
      </c>
      <c r="E745" s="41" t="str">
        <f t="shared" si="34"/>
        <v>LBL100Adolecentes 10-19</v>
      </c>
      <c r="F745" s="41" t="str">
        <f t="shared" si="35"/>
        <v>LBL100LLAdolecentes 10-19</v>
      </c>
      <c r="G745" s="41" t="s">
        <v>709</v>
      </c>
      <c r="H745" s="41" t="s">
        <v>81</v>
      </c>
    </row>
    <row r="746" spans="1:8">
      <c r="A746" s="41" t="s">
        <v>586</v>
      </c>
      <c r="B746" s="39" t="s">
        <v>232</v>
      </c>
      <c r="C746" s="39" t="s">
        <v>239</v>
      </c>
      <c r="D746" s="41" t="str">
        <f t="shared" si="33"/>
        <v>LBL101LL</v>
      </c>
      <c r="E746" s="41" t="str">
        <f t="shared" si="34"/>
        <v>LBL101Adolecentes 10-19</v>
      </c>
      <c r="F746" s="41" t="str">
        <f t="shared" si="35"/>
        <v>LBL101LLAdolecentes 10-19</v>
      </c>
      <c r="G746" s="41" t="s">
        <v>587</v>
      </c>
      <c r="H746" s="41" t="s">
        <v>81</v>
      </c>
    </row>
    <row r="747" spans="1:8">
      <c r="A747" s="41" t="s">
        <v>588</v>
      </c>
      <c r="B747" s="39" t="s">
        <v>232</v>
      </c>
      <c r="C747" s="39" t="s">
        <v>239</v>
      </c>
      <c r="D747" s="41" t="str">
        <f t="shared" ref="D747:D810" si="36">+CONCATENATE(A747,C747)</f>
        <v>LBL103LL</v>
      </c>
      <c r="E747" s="41" t="str">
        <f t="shared" ref="E747:E810" si="37">+CONCATENATE(A747,B747)</f>
        <v>LBL103Adolecentes 10-19</v>
      </c>
      <c r="F747" s="41" t="str">
        <f t="shared" ref="F747:F810" si="38">CONCATENATE(A747,C747,B747)</f>
        <v>LBL103LLAdolecentes 10-19</v>
      </c>
      <c r="G747" s="41" t="s">
        <v>589</v>
      </c>
      <c r="H747" s="41" t="s">
        <v>81</v>
      </c>
    </row>
    <row r="748" spans="1:8">
      <c r="A748" s="41" t="s">
        <v>590</v>
      </c>
      <c r="B748" s="39" t="s">
        <v>232</v>
      </c>
      <c r="C748" s="39" t="s">
        <v>239</v>
      </c>
      <c r="D748" s="41" t="str">
        <f t="shared" si="36"/>
        <v>LBL104LL</v>
      </c>
      <c r="E748" s="41" t="str">
        <f t="shared" si="37"/>
        <v>LBL104Adolecentes 10-19</v>
      </c>
      <c r="F748" s="41" t="str">
        <f t="shared" si="38"/>
        <v>LBL104LLAdolecentes 10-19</v>
      </c>
      <c r="G748" s="41" t="s">
        <v>591</v>
      </c>
      <c r="H748" s="41" t="s">
        <v>81</v>
      </c>
    </row>
    <row r="749" spans="1:8">
      <c r="A749" s="41" t="s">
        <v>592</v>
      </c>
      <c r="B749" s="39" t="s">
        <v>232</v>
      </c>
      <c r="C749" s="39" t="s">
        <v>239</v>
      </c>
      <c r="D749" s="41" t="str">
        <f t="shared" si="36"/>
        <v>LBL105LL</v>
      </c>
      <c r="E749" s="41" t="str">
        <f t="shared" si="37"/>
        <v>LBL105Adolecentes 10-19</v>
      </c>
      <c r="F749" s="41" t="str">
        <f t="shared" si="38"/>
        <v>LBL105LLAdolecentes 10-19</v>
      </c>
      <c r="G749" s="41" t="s">
        <v>593</v>
      </c>
      <c r="H749" s="41" t="s">
        <v>81</v>
      </c>
    </row>
    <row r="750" spans="1:8">
      <c r="A750" s="41" t="s">
        <v>594</v>
      </c>
      <c r="B750" s="39" t="s">
        <v>232</v>
      </c>
      <c r="C750" s="39" t="s">
        <v>239</v>
      </c>
      <c r="D750" s="41" t="str">
        <f t="shared" si="36"/>
        <v>LBL108LL</v>
      </c>
      <c r="E750" s="41" t="str">
        <f t="shared" si="37"/>
        <v>LBL108Adolecentes 10-19</v>
      </c>
      <c r="F750" s="41" t="str">
        <f t="shared" si="38"/>
        <v>LBL108LLAdolecentes 10-19</v>
      </c>
      <c r="G750" s="41" t="s">
        <v>595</v>
      </c>
      <c r="H750" s="41" t="s">
        <v>81</v>
      </c>
    </row>
    <row r="751" spans="1:8">
      <c r="A751" s="41" t="s">
        <v>596</v>
      </c>
      <c r="B751" s="39" t="s">
        <v>232</v>
      </c>
      <c r="C751" s="39" t="s">
        <v>239</v>
      </c>
      <c r="D751" s="41" t="str">
        <f t="shared" si="36"/>
        <v>LBL112LL</v>
      </c>
      <c r="E751" s="41" t="str">
        <f t="shared" si="37"/>
        <v>LBL112Adolecentes 10-19</v>
      </c>
      <c r="F751" s="41" t="str">
        <f t="shared" si="38"/>
        <v>LBL112LLAdolecentes 10-19</v>
      </c>
      <c r="G751" s="41" t="s">
        <v>597</v>
      </c>
      <c r="H751" s="41" t="s">
        <v>81</v>
      </c>
    </row>
    <row r="752" spans="1:8">
      <c r="A752" s="41" t="s">
        <v>598</v>
      </c>
      <c r="B752" s="39" t="s">
        <v>232</v>
      </c>
      <c r="C752" s="39" t="s">
        <v>239</v>
      </c>
      <c r="D752" s="41" t="str">
        <f t="shared" si="36"/>
        <v>LBL113LL</v>
      </c>
      <c r="E752" s="41" t="str">
        <f t="shared" si="37"/>
        <v>LBL113Adolecentes 10-19</v>
      </c>
      <c r="F752" s="41" t="str">
        <f t="shared" si="38"/>
        <v>LBL113LLAdolecentes 10-19</v>
      </c>
      <c r="G752" s="41" t="s">
        <v>599</v>
      </c>
      <c r="H752" s="41" t="s">
        <v>81</v>
      </c>
    </row>
    <row r="753" spans="1:8">
      <c r="A753" s="41" t="s">
        <v>600</v>
      </c>
      <c r="B753" s="39" t="s">
        <v>232</v>
      </c>
      <c r="C753" s="39" t="s">
        <v>239</v>
      </c>
      <c r="D753" s="41" t="str">
        <f t="shared" si="36"/>
        <v>LBL114LL</v>
      </c>
      <c r="E753" s="41" t="str">
        <f t="shared" si="37"/>
        <v>LBL114Adolecentes 10-19</v>
      </c>
      <c r="F753" s="41" t="str">
        <f t="shared" si="38"/>
        <v>LBL114LLAdolecentes 10-19</v>
      </c>
      <c r="G753" s="41" t="s">
        <v>601</v>
      </c>
      <c r="H753" s="41" t="s">
        <v>81</v>
      </c>
    </row>
    <row r="754" spans="1:8">
      <c r="A754" s="41" t="s">
        <v>602</v>
      </c>
      <c r="B754" s="39" t="s">
        <v>232</v>
      </c>
      <c r="C754" s="39" t="s">
        <v>239</v>
      </c>
      <c r="D754" s="41" t="str">
        <f t="shared" si="36"/>
        <v>LBL116LL</v>
      </c>
      <c r="E754" s="41" t="str">
        <f t="shared" si="37"/>
        <v>LBL116Adolecentes 10-19</v>
      </c>
      <c r="F754" s="41" t="str">
        <f t="shared" si="38"/>
        <v>LBL116LLAdolecentes 10-19</v>
      </c>
      <c r="G754" s="41" t="s">
        <v>270</v>
      </c>
      <c r="H754" s="41" t="s">
        <v>81</v>
      </c>
    </row>
    <row r="755" spans="1:8">
      <c r="A755" s="41" t="s">
        <v>603</v>
      </c>
      <c r="B755" s="39" t="s">
        <v>232</v>
      </c>
      <c r="C755" s="39" t="s">
        <v>239</v>
      </c>
      <c r="D755" s="41" t="str">
        <f t="shared" si="36"/>
        <v>LBL117LL</v>
      </c>
      <c r="E755" s="41" t="str">
        <f t="shared" si="37"/>
        <v>LBL117Adolecentes 10-19</v>
      </c>
      <c r="F755" s="41" t="str">
        <f t="shared" si="38"/>
        <v>LBL117LLAdolecentes 10-19</v>
      </c>
      <c r="G755" s="41" t="s">
        <v>604</v>
      </c>
      <c r="H755" s="41" t="s">
        <v>81</v>
      </c>
    </row>
    <row r="756" spans="1:8">
      <c r="A756" s="41" t="s">
        <v>605</v>
      </c>
      <c r="B756" s="39" t="s">
        <v>232</v>
      </c>
      <c r="C756" s="39" t="s">
        <v>239</v>
      </c>
      <c r="D756" s="41" t="str">
        <f t="shared" si="36"/>
        <v>LBL118LL</v>
      </c>
      <c r="E756" s="41" t="str">
        <f t="shared" si="37"/>
        <v>LBL118Adolecentes 10-19</v>
      </c>
      <c r="F756" s="41" t="str">
        <f t="shared" si="38"/>
        <v>LBL118LLAdolecentes 10-19</v>
      </c>
      <c r="G756" s="41" t="s">
        <v>606</v>
      </c>
      <c r="H756" s="41" t="s">
        <v>81</v>
      </c>
    </row>
    <row r="757" spans="1:8">
      <c r="A757" s="41" t="s">
        <v>607</v>
      </c>
      <c r="B757" s="39" t="s">
        <v>232</v>
      </c>
      <c r="C757" s="39" t="s">
        <v>239</v>
      </c>
      <c r="D757" s="41" t="str">
        <f t="shared" si="36"/>
        <v>LBL119LL</v>
      </c>
      <c r="E757" s="41" t="str">
        <f t="shared" si="37"/>
        <v>LBL119Adolecentes 10-19</v>
      </c>
      <c r="F757" s="41" t="str">
        <f t="shared" si="38"/>
        <v>LBL119LLAdolecentes 10-19</v>
      </c>
      <c r="G757" s="41" t="s">
        <v>420</v>
      </c>
      <c r="H757" s="41" t="s">
        <v>81</v>
      </c>
    </row>
    <row r="758" spans="1:8">
      <c r="A758" s="41" t="s">
        <v>608</v>
      </c>
      <c r="B758" s="39" t="s">
        <v>232</v>
      </c>
      <c r="C758" s="39" t="s">
        <v>239</v>
      </c>
      <c r="D758" s="41" t="str">
        <f t="shared" si="36"/>
        <v>LBL121LL</v>
      </c>
      <c r="E758" s="41" t="str">
        <f t="shared" si="37"/>
        <v>LBL121Adolecentes 10-19</v>
      </c>
      <c r="F758" s="41" t="str">
        <f t="shared" si="38"/>
        <v>LBL121LLAdolecentes 10-19</v>
      </c>
      <c r="G758" s="41" t="s">
        <v>609</v>
      </c>
      <c r="H758" s="41" t="s">
        <v>81</v>
      </c>
    </row>
    <row r="759" spans="1:8">
      <c r="A759" s="41" t="s">
        <v>610</v>
      </c>
      <c r="B759" s="39" t="s">
        <v>232</v>
      </c>
      <c r="C759" s="39" t="s">
        <v>239</v>
      </c>
      <c r="D759" s="41" t="str">
        <f t="shared" si="36"/>
        <v>LBL122LL</v>
      </c>
      <c r="E759" s="41" t="str">
        <f t="shared" si="37"/>
        <v>LBL122Adolecentes 10-19</v>
      </c>
      <c r="F759" s="41" t="str">
        <f t="shared" si="38"/>
        <v>LBL122LLAdolecentes 10-19</v>
      </c>
      <c r="G759" s="41" t="s">
        <v>611</v>
      </c>
      <c r="H759" s="41" t="s">
        <v>81</v>
      </c>
    </row>
    <row r="760" spans="1:8">
      <c r="A760" s="41" t="s">
        <v>612</v>
      </c>
      <c r="B760" s="39" t="s">
        <v>232</v>
      </c>
      <c r="C760" s="39" t="s">
        <v>239</v>
      </c>
      <c r="D760" s="41" t="str">
        <f t="shared" si="36"/>
        <v>LBL123LL</v>
      </c>
      <c r="E760" s="41" t="str">
        <f t="shared" si="37"/>
        <v>LBL123Adolecentes 10-19</v>
      </c>
      <c r="F760" s="41" t="str">
        <f t="shared" si="38"/>
        <v>LBL123LLAdolecentes 10-19</v>
      </c>
      <c r="G760" s="41" t="s">
        <v>613</v>
      </c>
      <c r="H760" s="41" t="s">
        <v>81</v>
      </c>
    </row>
    <row r="761" spans="1:8">
      <c r="A761" s="41" t="s">
        <v>614</v>
      </c>
      <c r="B761" s="39" t="s">
        <v>232</v>
      </c>
      <c r="C761" s="39" t="s">
        <v>239</v>
      </c>
      <c r="D761" s="41" t="str">
        <f t="shared" si="36"/>
        <v>LBL124LL</v>
      </c>
      <c r="E761" s="41" t="str">
        <f t="shared" si="37"/>
        <v>LBL124Adolecentes 10-19</v>
      </c>
      <c r="F761" s="41" t="str">
        <f t="shared" si="38"/>
        <v>LBL124LLAdolecentes 10-19</v>
      </c>
      <c r="G761" s="41" t="s">
        <v>615</v>
      </c>
      <c r="H761" s="41" t="s">
        <v>81</v>
      </c>
    </row>
    <row r="762" spans="1:8">
      <c r="A762" s="41" t="s">
        <v>616</v>
      </c>
      <c r="B762" s="39" t="s">
        <v>232</v>
      </c>
      <c r="C762" s="39" t="s">
        <v>239</v>
      </c>
      <c r="D762" s="41" t="str">
        <f t="shared" si="36"/>
        <v>LBL127LL</v>
      </c>
      <c r="E762" s="41" t="str">
        <f t="shared" si="37"/>
        <v>LBL127Adolecentes 10-19</v>
      </c>
      <c r="F762" s="41" t="str">
        <f t="shared" si="38"/>
        <v>LBL127LLAdolecentes 10-19</v>
      </c>
      <c r="G762" s="41" t="s">
        <v>617</v>
      </c>
      <c r="H762" s="41" t="s">
        <v>81</v>
      </c>
    </row>
    <row r="763" spans="1:8">
      <c r="A763" s="41" t="s">
        <v>618</v>
      </c>
      <c r="B763" s="39" t="s">
        <v>232</v>
      </c>
      <c r="C763" s="39" t="s">
        <v>239</v>
      </c>
      <c r="D763" s="41" t="str">
        <f t="shared" si="36"/>
        <v>LBL128LL</v>
      </c>
      <c r="E763" s="41" t="str">
        <f t="shared" si="37"/>
        <v>LBL128Adolecentes 10-19</v>
      </c>
      <c r="F763" s="41" t="str">
        <f t="shared" si="38"/>
        <v>LBL128LLAdolecentes 10-19</v>
      </c>
      <c r="G763" s="41" t="s">
        <v>418</v>
      </c>
      <c r="H763" s="41" t="s">
        <v>81</v>
      </c>
    </row>
    <row r="764" spans="1:8">
      <c r="A764" s="41" t="s">
        <v>619</v>
      </c>
      <c r="B764" s="39" t="s">
        <v>232</v>
      </c>
      <c r="C764" s="39" t="s">
        <v>239</v>
      </c>
      <c r="D764" s="41" t="str">
        <f t="shared" si="36"/>
        <v>LBL129LL</v>
      </c>
      <c r="E764" s="41" t="str">
        <f t="shared" si="37"/>
        <v>LBL129Adolecentes 10-19</v>
      </c>
      <c r="F764" s="41" t="str">
        <f t="shared" si="38"/>
        <v>LBL129LLAdolecentes 10-19</v>
      </c>
      <c r="G764" s="41" t="s">
        <v>620</v>
      </c>
      <c r="H764" s="41" t="s">
        <v>81</v>
      </c>
    </row>
    <row r="765" spans="1:8">
      <c r="A765" s="41" t="s">
        <v>621</v>
      </c>
      <c r="B765" s="39" t="s">
        <v>232</v>
      </c>
      <c r="C765" s="39" t="s">
        <v>239</v>
      </c>
      <c r="D765" s="41" t="str">
        <f t="shared" si="36"/>
        <v>LBL130LL</v>
      </c>
      <c r="E765" s="41" t="str">
        <f t="shared" si="37"/>
        <v>LBL130Adolecentes 10-19</v>
      </c>
      <c r="F765" s="41" t="str">
        <f t="shared" si="38"/>
        <v>LBL130LLAdolecentes 10-19</v>
      </c>
      <c r="G765" s="41" t="s">
        <v>622</v>
      </c>
      <c r="H765" s="41" t="s">
        <v>81</v>
      </c>
    </row>
    <row r="766" spans="1:8">
      <c r="A766" s="41" t="s">
        <v>623</v>
      </c>
      <c r="B766" s="39" t="s">
        <v>232</v>
      </c>
      <c r="C766" s="39" t="s">
        <v>239</v>
      </c>
      <c r="D766" s="41" t="str">
        <f t="shared" si="36"/>
        <v>LBL131LL</v>
      </c>
      <c r="E766" s="41" t="str">
        <f t="shared" si="37"/>
        <v>LBL131Adolecentes 10-19</v>
      </c>
      <c r="F766" s="41" t="str">
        <f t="shared" si="38"/>
        <v>LBL131LLAdolecentes 10-19</v>
      </c>
      <c r="G766" s="41" t="s">
        <v>624</v>
      </c>
      <c r="H766" s="41" t="s">
        <v>81</v>
      </c>
    </row>
    <row r="767" spans="1:8">
      <c r="A767" s="41" t="s">
        <v>625</v>
      </c>
      <c r="B767" s="39" t="s">
        <v>232</v>
      </c>
      <c r="C767" s="39" t="s">
        <v>239</v>
      </c>
      <c r="D767" s="41" t="str">
        <f t="shared" si="36"/>
        <v>LBL132LL</v>
      </c>
      <c r="E767" s="41" t="str">
        <f t="shared" si="37"/>
        <v>LBL132Adolecentes 10-19</v>
      </c>
      <c r="F767" s="41" t="str">
        <f t="shared" si="38"/>
        <v>LBL132LLAdolecentes 10-19</v>
      </c>
      <c r="G767" s="41" t="s">
        <v>626</v>
      </c>
      <c r="H767" s="41" t="s">
        <v>81</v>
      </c>
    </row>
    <row r="768" spans="1:8">
      <c r="A768" s="41" t="s">
        <v>627</v>
      </c>
      <c r="B768" s="39" t="s">
        <v>232</v>
      </c>
      <c r="C768" s="39" t="s">
        <v>239</v>
      </c>
      <c r="D768" s="41" t="str">
        <f t="shared" si="36"/>
        <v>LBL133LL</v>
      </c>
      <c r="E768" s="41" t="str">
        <f t="shared" si="37"/>
        <v>LBL133Adolecentes 10-19</v>
      </c>
      <c r="F768" s="41" t="str">
        <f t="shared" si="38"/>
        <v>LBL133LLAdolecentes 10-19</v>
      </c>
      <c r="G768" s="41" t="s">
        <v>628</v>
      </c>
      <c r="H768" s="41" t="s">
        <v>81</v>
      </c>
    </row>
    <row r="769" spans="1:8">
      <c r="A769" s="41" t="s">
        <v>629</v>
      </c>
      <c r="B769" s="39" t="s">
        <v>232</v>
      </c>
      <c r="C769" s="39" t="s">
        <v>239</v>
      </c>
      <c r="D769" s="41" t="str">
        <f t="shared" si="36"/>
        <v>LBL134LL</v>
      </c>
      <c r="E769" s="41" t="str">
        <f t="shared" si="37"/>
        <v>LBL134Adolecentes 10-19</v>
      </c>
      <c r="F769" s="41" t="str">
        <f t="shared" si="38"/>
        <v>LBL134LLAdolecentes 10-19</v>
      </c>
      <c r="G769" s="41" t="s">
        <v>630</v>
      </c>
      <c r="H769" s="41" t="s">
        <v>81</v>
      </c>
    </row>
    <row r="770" spans="1:8">
      <c r="A770" s="41" t="s">
        <v>631</v>
      </c>
      <c r="B770" s="39" t="s">
        <v>232</v>
      </c>
      <c r="C770" s="39" t="s">
        <v>226</v>
      </c>
      <c r="D770" s="41" t="str">
        <f t="shared" si="36"/>
        <v>PRP001HC</v>
      </c>
      <c r="E770" s="41" t="str">
        <f t="shared" si="37"/>
        <v>PRP001Adolecentes 10-19</v>
      </c>
      <c r="F770" s="41" t="str">
        <f t="shared" si="38"/>
        <v>PRP001HCAdolecentes 10-19</v>
      </c>
      <c r="G770" s="41" t="s">
        <v>632</v>
      </c>
      <c r="H770" s="41" t="s">
        <v>710</v>
      </c>
    </row>
    <row r="771" spans="1:8">
      <c r="A771" s="41" t="s">
        <v>633</v>
      </c>
      <c r="B771" s="39" t="s">
        <v>232</v>
      </c>
      <c r="C771" s="39" t="s">
        <v>226</v>
      </c>
      <c r="D771" s="41" t="str">
        <f t="shared" si="36"/>
        <v>PRP003HC</v>
      </c>
      <c r="E771" s="41" t="str">
        <f t="shared" si="37"/>
        <v>PRP003Adolecentes 10-19</v>
      </c>
      <c r="F771" s="41" t="str">
        <f t="shared" si="38"/>
        <v>PRP003HCAdolecentes 10-19</v>
      </c>
      <c r="G771" s="41" t="s">
        <v>28</v>
      </c>
      <c r="H771" s="41" t="s">
        <v>710</v>
      </c>
    </row>
    <row r="772" spans="1:8">
      <c r="A772" s="41" t="s">
        <v>634</v>
      </c>
      <c r="B772" s="39" t="s">
        <v>232</v>
      </c>
      <c r="C772" s="39" t="s">
        <v>226</v>
      </c>
      <c r="D772" s="41" t="str">
        <f t="shared" si="36"/>
        <v>PRP004HC</v>
      </c>
      <c r="E772" s="41" t="str">
        <f t="shared" si="37"/>
        <v>PRP004Adolecentes 10-19</v>
      </c>
      <c r="F772" s="41" t="str">
        <f t="shared" si="38"/>
        <v>PRP004HCAdolecentes 10-19</v>
      </c>
      <c r="G772" s="41" t="s">
        <v>635</v>
      </c>
      <c r="H772" s="41" t="s">
        <v>710</v>
      </c>
    </row>
    <row r="773" spans="1:8">
      <c r="A773" s="41" t="s">
        <v>636</v>
      </c>
      <c r="B773" s="39" t="s">
        <v>232</v>
      </c>
      <c r="C773" s="39" t="s">
        <v>226</v>
      </c>
      <c r="D773" s="41" t="str">
        <f t="shared" si="36"/>
        <v>PRP005HC</v>
      </c>
      <c r="E773" s="41" t="str">
        <f t="shared" si="37"/>
        <v>PRP005Adolecentes 10-19</v>
      </c>
      <c r="F773" s="41" t="str">
        <f t="shared" si="38"/>
        <v>PRP005HCAdolecentes 10-19</v>
      </c>
      <c r="G773" s="41" t="s">
        <v>637</v>
      </c>
      <c r="H773" s="41" t="s">
        <v>710</v>
      </c>
    </row>
    <row r="774" spans="1:8">
      <c r="A774" s="41" t="s">
        <v>638</v>
      </c>
      <c r="B774" s="39" t="s">
        <v>232</v>
      </c>
      <c r="C774" s="39" t="s">
        <v>226</v>
      </c>
      <c r="D774" s="41" t="str">
        <f t="shared" si="36"/>
        <v>PRP006HC</v>
      </c>
      <c r="E774" s="41" t="str">
        <f t="shared" si="37"/>
        <v>PRP006Adolecentes 10-19</v>
      </c>
      <c r="F774" s="41" t="str">
        <f t="shared" si="38"/>
        <v>PRP006HCAdolecentes 10-19</v>
      </c>
      <c r="G774" s="41" t="s">
        <v>413</v>
      </c>
      <c r="H774" s="41" t="s">
        <v>710</v>
      </c>
    </row>
    <row r="775" spans="1:8">
      <c r="A775" s="41" t="s">
        <v>639</v>
      </c>
      <c r="B775" s="39" t="s">
        <v>232</v>
      </c>
      <c r="C775" s="39" t="s">
        <v>226</v>
      </c>
      <c r="D775" s="41" t="str">
        <f t="shared" si="36"/>
        <v>PRP007HC</v>
      </c>
      <c r="E775" s="41" t="str">
        <f t="shared" si="37"/>
        <v>PRP007Adolecentes 10-19</v>
      </c>
      <c r="F775" s="41" t="str">
        <f t="shared" si="38"/>
        <v>PRP007HCAdolecentes 10-19</v>
      </c>
      <c r="G775" s="41" t="s">
        <v>711</v>
      </c>
      <c r="H775" s="41" t="s">
        <v>710</v>
      </c>
    </row>
    <row r="776" spans="1:8">
      <c r="A776" s="41" t="s">
        <v>640</v>
      </c>
      <c r="B776" s="39" t="s">
        <v>232</v>
      </c>
      <c r="C776" s="39" t="s">
        <v>226</v>
      </c>
      <c r="D776" s="41" t="str">
        <f t="shared" si="36"/>
        <v>PRP008HC</v>
      </c>
      <c r="E776" s="41" t="str">
        <f t="shared" si="37"/>
        <v>PRP008Adolecentes 10-19</v>
      </c>
      <c r="F776" s="41" t="str">
        <f t="shared" si="38"/>
        <v>PRP008HCAdolecentes 10-19</v>
      </c>
      <c r="G776" s="41" t="s">
        <v>712</v>
      </c>
      <c r="H776" s="41" t="s">
        <v>710</v>
      </c>
    </row>
    <row r="777" spans="1:8">
      <c r="A777" s="41" t="s">
        <v>641</v>
      </c>
      <c r="B777" s="39" t="s">
        <v>232</v>
      </c>
      <c r="C777" s="39" t="s">
        <v>226</v>
      </c>
      <c r="D777" s="41" t="str">
        <f t="shared" si="36"/>
        <v>PRP009HC</v>
      </c>
      <c r="E777" s="41" t="str">
        <f t="shared" si="37"/>
        <v>PRP009Adolecentes 10-19</v>
      </c>
      <c r="F777" s="41" t="str">
        <f t="shared" si="38"/>
        <v>PRP009HCAdolecentes 10-19</v>
      </c>
      <c r="G777" s="41" t="s">
        <v>713</v>
      </c>
      <c r="H777" s="41" t="s">
        <v>710</v>
      </c>
    </row>
    <row r="778" spans="1:8">
      <c r="A778" s="41" t="s">
        <v>642</v>
      </c>
      <c r="B778" s="39" t="s">
        <v>232</v>
      </c>
      <c r="C778" s="39" t="s">
        <v>226</v>
      </c>
      <c r="D778" s="41" t="str">
        <f t="shared" si="36"/>
        <v>PRP010HC</v>
      </c>
      <c r="E778" s="41" t="str">
        <f t="shared" si="37"/>
        <v>PRP010Adolecentes 10-19</v>
      </c>
      <c r="F778" s="41" t="str">
        <f t="shared" si="38"/>
        <v>PRP010HCAdolecentes 10-19</v>
      </c>
      <c r="G778" s="41" t="s">
        <v>714</v>
      </c>
      <c r="H778" s="41" t="s">
        <v>710</v>
      </c>
    </row>
    <row r="779" spans="1:8">
      <c r="A779" s="41" t="s">
        <v>643</v>
      </c>
      <c r="B779" s="39" t="s">
        <v>232</v>
      </c>
      <c r="C779" s="39" t="s">
        <v>226</v>
      </c>
      <c r="D779" s="41" t="str">
        <f t="shared" si="36"/>
        <v>PRP011HC</v>
      </c>
      <c r="E779" s="41" t="str">
        <f t="shared" si="37"/>
        <v>PRP011Adolecentes 10-19</v>
      </c>
      <c r="F779" s="41" t="str">
        <f t="shared" si="38"/>
        <v>PRP011HCAdolecentes 10-19</v>
      </c>
      <c r="G779" s="41" t="s">
        <v>715</v>
      </c>
      <c r="H779" s="41" t="s">
        <v>710</v>
      </c>
    </row>
    <row r="780" spans="1:8">
      <c r="A780" s="41" t="s">
        <v>644</v>
      </c>
      <c r="B780" s="39" t="s">
        <v>232</v>
      </c>
      <c r="C780" s="39" t="s">
        <v>226</v>
      </c>
      <c r="D780" s="41" t="str">
        <f t="shared" si="36"/>
        <v>PRP014HC</v>
      </c>
      <c r="E780" s="41" t="str">
        <f t="shared" si="37"/>
        <v>PRP014Adolecentes 10-19</v>
      </c>
      <c r="F780" s="41" t="str">
        <f t="shared" si="38"/>
        <v>PRP014HCAdolecentes 10-19</v>
      </c>
      <c r="G780" s="41" t="s">
        <v>716</v>
      </c>
      <c r="H780" s="41" t="s">
        <v>710</v>
      </c>
    </row>
    <row r="781" spans="1:8">
      <c r="A781" s="41" t="s">
        <v>645</v>
      </c>
      <c r="B781" s="39" t="s">
        <v>232</v>
      </c>
      <c r="C781" s="39" t="s">
        <v>226</v>
      </c>
      <c r="D781" s="41" t="str">
        <f t="shared" si="36"/>
        <v>PRP017HC</v>
      </c>
      <c r="E781" s="41" t="str">
        <f t="shared" si="37"/>
        <v>PRP017Adolecentes 10-19</v>
      </c>
      <c r="F781" s="41" t="str">
        <f t="shared" si="38"/>
        <v>PRP017HCAdolecentes 10-19</v>
      </c>
      <c r="G781" s="41" t="s">
        <v>717</v>
      </c>
      <c r="H781" s="41" t="s">
        <v>710</v>
      </c>
    </row>
    <row r="782" spans="1:8">
      <c r="A782" s="41" t="s">
        <v>646</v>
      </c>
      <c r="B782" s="39" t="s">
        <v>232</v>
      </c>
      <c r="C782" s="39" t="s">
        <v>226</v>
      </c>
      <c r="D782" s="41" t="str">
        <f t="shared" si="36"/>
        <v>PRP028HC</v>
      </c>
      <c r="E782" s="41" t="str">
        <f t="shared" si="37"/>
        <v>PRP028Adolecentes 10-19</v>
      </c>
      <c r="F782" s="41" t="str">
        <f t="shared" si="38"/>
        <v>PRP028HCAdolecentes 10-19</v>
      </c>
      <c r="G782" s="41" t="s">
        <v>647</v>
      </c>
      <c r="H782" s="41" t="s">
        <v>710</v>
      </c>
    </row>
    <row r="783" spans="1:8">
      <c r="A783" s="41" t="s">
        <v>648</v>
      </c>
      <c r="B783" s="39" t="s">
        <v>232</v>
      </c>
      <c r="C783" s="39" t="s">
        <v>226</v>
      </c>
      <c r="D783" s="41" t="str">
        <f t="shared" si="36"/>
        <v>PRP029HC</v>
      </c>
      <c r="E783" s="41" t="str">
        <f t="shared" si="37"/>
        <v>PRP029Adolecentes 10-19</v>
      </c>
      <c r="F783" s="41" t="str">
        <f t="shared" si="38"/>
        <v>PRP029HCAdolecentes 10-19</v>
      </c>
      <c r="G783" s="41" t="s">
        <v>718</v>
      </c>
      <c r="H783" s="41" t="s">
        <v>710</v>
      </c>
    </row>
    <row r="784" spans="1:8">
      <c r="A784" s="41" t="s">
        <v>631</v>
      </c>
      <c r="B784" s="39" t="s">
        <v>232</v>
      </c>
      <c r="C784" s="39" t="s">
        <v>719</v>
      </c>
      <c r="D784" s="41" t="str">
        <f t="shared" si="36"/>
        <v>PRP001RP</v>
      </c>
      <c r="E784" s="41" t="str">
        <f t="shared" si="37"/>
        <v>PRP001Adolecentes 10-19</v>
      </c>
      <c r="F784" s="41" t="str">
        <f t="shared" si="38"/>
        <v>PRP001RPAdolecentes 10-19</v>
      </c>
      <c r="G784" s="41" t="s">
        <v>632</v>
      </c>
      <c r="H784" s="41" t="s">
        <v>710</v>
      </c>
    </row>
    <row r="785" spans="1:8">
      <c r="A785" s="41" t="s">
        <v>633</v>
      </c>
      <c r="B785" s="39" t="s">
        <v>232</v>
      </c>
      <c r="C785" s="39" t="s">
        <v>719</v>
      </c>
      <c r="D785" s="41" t="str">
        <f t="shared" si="36"/>
        <v>PRP003RP</v>
      </c>
      <c r="E785" s="41" t="str">
        <f t="shared" si="37"/>
        <v>PRP003Adolecentes 10-19</v>
      </c>
      <c r="F785" s="41" t="str">
        <f t="shared" si="38"/>
        <v>PRP003RPAdolecentes 10-19</v>
      </c>
      <c r="G785" s="41" t="s">
        <v>28</v>
      </c>
      <c r="H785" s="41" t="s">
        <v>710</v>
      </c>
    </row>
    <row r="786" spans="1:8">
      <c r="A786" s="41" t="s">
        <v>634</v>
      </c>
      <c r="B786" s="39" t="s">
        <v>232</v>
      </c>
      <c r="C786" s="39" t="s">
        <v>719</v>
      </c>
      <c r="D786" s="41" t="str">
        <f t="shared" si="36"/>
        <v>PRP004RP</v>
      </c>
      <c r="E786" s="41" t="str">
        <f t="shared" si="37"/>
        <v>PRP004Adolecentes 10-19</v>
      </c>
      <c r="F786" s="41" t="str">
        <f t="shared" si="38"/>
        <v>PRP004RPAdolecentes 10-19</v>
      </c>
      <c r="G786" s="41" t="s">
        <v>635</v>
      </c>
      <c r="H786" s="41" t="s">
        <v>710</v>
      </c>
    </row>
    <row r="787" spans="1:8">
      <c r="A787" s="41" t="s">
        <v>636</v>
      </c>
      <c r="B787" s="39" t="s">
        <v>232</v>
      </c>
      <c r="C787" s="39" t="s">
        <v>719</v>
      </c>
      <c r="D787" s="41" t="str">
        <f t="shared" si="36"/>
        <v>PRP005RP</v>
      </c>
      <c r="E787" s="41" t="str">
        <f t="shared" si="37"/>
        <v>PRP005Adolecentes 10-19</v>
      </c>
      <c r="F787" s="41" t="str">
        <f t="shared" si="38"/>
        <v>PRP005RPAdolecentes 10-19</v>
      </c>
      <c r="G787" s="41" t="s">
        <v>637</v>
      </c>
      <c r="H787" s="41" t="s">
        <v>710</v>
      </c>
    </row>
    <row r="788" spans="1:8">
      <c r="A788" s="41" t="s">
        <v>638</v>
      </c>
      <c r="B788" s="39" t="s">
        <v>232</v>
      </c>
      <c r="C788" s="39" t="s">
        <v>719</v>
      </c>
      <c r="D788" s="41" t="str">
        <f t="shared" si="36"/>
        <v>PRP006RP</v>
      </c>
      <c r="E788" s="41" t="str">
        <f t="shared" si="37"/>
        <v>PRP006Adolecentes 10-19</v>
      </c>
      <c r="F788" s="41" t="str">
        <f t="shared" si="38"/>
        <v>PRP006RPAdolecentes 10-19</v>
      </c>
      <c r="G788" s="41" t="s">
        <v>413</v>
      </c>
      <c r="H788" s="41" t="s">
        <v>710</v>
      </c>
    </row>
    <row r="789" spans="1:8">
      <c r="A789" s="41" t="s">
        <v>639</v>
      </c>
      <c r="B789" s="39" t="s">
        <v>232</v>
      </c>
      <c r="C789" s="39" t="s">
        <v>719</v>
      </c>
      <c r="D789" s="41" t="str">
        <f t="shared" si="36"/>
        <v>PRP007RP</v>
      </c>
      <c r="E789" s="41" t="str">
        <f t="shared" si="37"/>
        <v>PRP007Adolecentes 10-19</v>
      </c>
      <c r="F789" s="41" t="str">
        <f t="shared" si="38"/>
        <v>PRP007RPAdolecentes 10-19</v>
      </c>
      <c r="G789" s="41" t="s">
        <v>711</v>
      </c>
      <c r="H789" s="41" t="s">
        <v>710</v>
      </c>
    </row>
    <row r="790" spans="1:8">
      <c r="A790" s="41" t="s">
        <v>640</v>
      </c>
      <c r="B790" s="39" t="s">
        <v>232</v>
      </c>
      <c r="C790" s="39" t="s">
        <v>719</v>
      </c>
      <c r="D790" s="41" t="str">
        <f t="shared" si="36"/>
        <v>PRP008RP</v>
      </c>
      <c r="E790" s="41" t="str">
        <f t="shared" si="37"/>
        <v>PRP008Adolecentes 10-19</v>
      </c>
      <c r="F790" s="41" t="str">
        <f t="shared" si="38"/>
        <v>PRP008RPAdolecentes 10-19</v>
      </c>
      <c r="G790" s="41" t="s">
        <v>712</v>
      </c>
      <c r="H790" s="41" t="s">
        <v>710</v>
      </c>
    </row>
    <row r="791" spans="1:8">
      <c r="A791" s="41" t="s">
        <v>641</v>
      </c>
      <c r="B791" s="39" t="s">
        <v>232</v>
      </c>
      <c r="C791" s="39" t="s">
        <v>719</v>
      </c>
      <c r="D791" s="41" t="str">
        <f t="shared" si="36"/>
        <v>PRP009RP</v>
      </c>
      <c r="E791" s="41" t="str">
        <f t="shared" si="37"/>
        <v>PRP009Adolecentes 10-19</v>
      </c>
      <c r="F791" s="41" t="str">
        <f t="shared" si="38"/>
        <v>PRP009RPAdolecentes 10-19</v>
      </c>
      <c r="G791" s="41" t="s">
        <v>713</v>
      </c>
      <c r="H791" s="41" t="s">
        <v>710</v>
      </c>
    </row>
    <row r="792" spans="1:8">
      <c r="A792" s="41" t="s">
        <v>642</v>
      </c>
      <c r="B792" s="39" t="s">
        <v>232</v>
      </c>
      <c r="C792" s="39" t="s">
        <v>719</v>
      </c>
      <c r="D792" s="41" t="str">
        <f t="shared" si="36"/>
        <v>PRP010RP</v>
      </c>
      <c r="E792" s="41" t="str">
        <f t="shared" si="37"/>
        <v>PRP010Adolecentes 10-19</v>
      </c>
      <c r="F792" s="41" t="str">
        <f t="shared" si="38"/>
        <v>PRP010RPAdolecentes 10-19</v>
      </c>
      <c r="G792" s="41" t="s">
        <v>714</v>
      </c>
      <c r="H792" s="41" t="s">
        <v>710</v>
      </c>
    </row>
    <row r="793" spans="1:8">
      <c r="A793" s="41" t="s">
        <v>643</v>
      </c>
      <c r="B793" s="39" t="s">
        <v>232</v>
      </c>
      <c r="C793" s="39" t="s">
        <v>719</v>
      </c>
      <c r="D793" s="41" t="str">
        <f t="shared" si="36"/>
        <v>PRP011RP</v>
      </c>
      <c r="E793" s="41" t="str">
        <f t="shared" si="37"/>
        <v>PRP011Adolecentes 10-19</v>
      </c>
      <c r="F793" s="41" t="str">
        <f t="shared" si="38"/>
        <v>PRP011RPAdolecentes 10-19</v>
      </c>
      <c r="G793" s="41" t="s">
        <v>715</v>
      </c>
      <c r="H793" s="41" t="s">
        <v>710</v>
      </c>
    </row>
    <row r="794" spans="1:8">
      <c r="A794" s="41" t="s">
        <v>644</v>
      </c>
      <c r="B794" s="39" t="s">
        <v>232</v>
      </c>
      <c r="C794" s="39" t="s">
        <v>719</v>
      </c>
      <c r="D794" s="41" t="str">
        <f t="shared" si="36"/>
        <v>PRP014RP</v>
      </c>
      <c r="E794" s="41" t="str">
        <f t="shared" si="37"/>
        <v>PRP014Adolecentes 10-19</v>
      </c>
      <c r="F794" s="41" t="str">
        <f t="shared" si="38"/>
        <v>PRP014RPAdolecentes 10-19</v>
      </c>
      <c r="G794" s="41" t="s">
        <v>716</v>
      </c>
      <c r="H794" s="41" t="s">
        <v>710</v>
      </c>
    </row>
    <row r="795" spans="1:8">
      <c r="A795" s="41" t="s">
        <v>645</v>
      </c>
      <c r="B795" s="39" t="s">
        <v>232</v>
      </c>
      <c r="C795" s="39" t="s">
        <v>719</v>
      </c>
      <c r="D795" s="41" t="str">
        <f t="shared" si="36"/>
        <v>PRP017RP</v>
      </c>
      <c r="E795" s="41" t="str">
        <f t="shared" si="37"/>
        <v>PRP017Adolecentes 10-19</v>
      </c>
      <c r="F795" s="41" t="str">
        <f t="shared" si="38"/>
        <v>PRP017RPAdolecentes 10-19</v>
      </c>
      <c r="G795" s="41" t="s">
        <v>717</v>
      </c>
      <c r="H795" s="41" t="s">
        <v>710</v>
      </c>
    </row>
    <row r="796" spans="1:8">
      <c r="A796" s="41" t="s">
        <v>646</v>
      </c>
      <c r="B796" s="39" t="s">
        <v>232</v>
      </c>
      <c r="C796" s="39" t="s">
        <v>719</v>
      </c>
      <c r="D796" s="41" t="str">
        <f t="shared" si="36"/>
        <v>PRP028RP</v>
      </c>
      <c r="E796" s="41" t="str">
        <f t="shared" si="37"/>
        <v>PRP028Adolecentes 10-19</v>
      </c>
      <c r="F796" s="41" t="str">
        <f t="shared" si="38"/>
        <v>PRP028RPAdolecentes 10-19</v>
      </c>
      <c r="G796" s="41" t="s">
        <v>647</v>
      </c>
      <c r="H796" s="41" t="s">
        <v>710</v>
      </c>
    </row>
    <row r="797" spans="1:8">
      <c r="A797" s="41" t="s">
        <v>648</v>
      </c>
      <c r="B797" s="39" t="s">
        <v>232</v>
      </c>
      <c r="C797" s="39" t="s">
        <v>719</v>
      </c>
      <c r="D797" s="41" t="str">
        <f t="shared" si="36"/>
        <v>PRP029RP</v>
      </c>
      <c r="E797" s="41" t="str">
        <f t="shared" si="37"/>
        <v>PRP029Adolecentes 10-19</v>
      </c>
      <c r="F797" s="41" t="str">
        <f t="shared" si="38"/>
        <v>PRP029RPAdolecentes 10-19</v>
      </c>
      <c r="G797" s="41" t="s">
        <v>718</v>
      </c>
      <c r="H797" s="41" t="s">
        <v>710</v>
      </c>
    </row>
    <row r="798" spans="1:8">
      <c r="A798" s="41" t="s">
        <v>436</v>
      </c>
      <c r="B798" s="39" t="s">
        <v>232</v>
      </c>
      <c r="C798" s="39" t="s">
        <v>226</v>
      </c>
      <c r="D798" s="41" t="str">
        <f t="shared" si="36"/>
        <v>IGR003HC</v>
      </c>
      <c r="E798" s="41" t="str">
        <f t="shared" si="37"/>
        <v>IGR003Adolecentes 10-19</v>
      </c>
      <c r="F798" s="41" t="str">
        <f t="shared" si="38"/>
        <v>IGR003HCAdolecentes 10-19</v>
      </c>
      <c r="G798" s="41" t="s">
        <v>437</v>
      </c>
      <c r="H798" s="41" t="s">
        <v>82</v>
      </c>
    </row>
    <row r="799" spans="1:8">
      <c r="A799" s="41" t="s">
        <v>438</v>
      </c>
      <c r="B799" s="39" t="s">
        <v>232</v>
      </c>
      <c r="C799" s="39" t="s">
        <v>226</v>
      </c>
      <c r="D799" s="41" t="str">
        <f t="shared" si="36"/>
        <v>IGR004HC</v>
      </c>
      <c r="E799" s="41" t="str">
        <f t="shared" si="37"/>
        <v>IGR004Adolecentes 10-19</v>
      </c>
      <c r="F799" s="41" t="str">
        <f t="shared" si="38"/>
        <v>IGR004HCAdolecentes 10-19</v>
      </c>
      <c r="G799" s="41" t="s">
        <v>439</v>
      </c>
      <c r="H799" s="41" t="s">
        <v>82</v>
      </c>
    </row>
    <row r="800" spans="1:8">
      <c r="A800" s="41" t="s">
        <v>440</v>
      </c>
      <c r="B800" s="39" t="s">
        <v>232</v>
      </c>
      <c r="C800" s="39" t="s">
        <v>226</v>
      </c>
      <c r="D800" s="41" t="str">
        <f t="shared" si="36"/>
        <v>IGR007HC</v>
      </c>
      <c r="E800" s="41" t="str">
        <f t="shared" si="37"/>
        <v>IGR007Adolecentes 10-19</v>
      </c>
      <c r="F800" s="41" t="str">
        <f t="shared" si="38"/>
        <v>IGR007HCAdolecentes 10-19</v>
      </c>
      <c r="G800" s="41" t="s">
        <v>441</v>
      </c>
      <c r="H800" s="41" t="s">
        <v>82</v>
      </c>
    </row>
    <row r="801" spans="1:8">
      <c r="A801" s="41" t="s">
        <v>442</v>
      </c>
      <c r="B801" s="39" t="s">
        <v>232</v>
      </c>
      <c r="C801" s="39" t="s">
        <v>226</v>
      </c>
      <c r="D801" s="41" t="str">
        <f t="shared" si="36"/>
        <v>IGR008HC</v>
      </c>
      <c r="E801" s="41" t="str">
        <f t="shared" si="37"/>
        <v>IGR008Adolecentes 10-19</v>
      </c>
      <c r="F801" s="41" t="str">
        <f t="shared" si="38"/>
        <v>IGR008HCAdolecentes 10-19</v>
      </c>
      <c r="G801" s="41" t="s">
        <v>267</v>
      </c>
      <c r="H801" s="41" t="s">
        <v>82</v>
      </c>
    </row>
    <row r="802" spans="1:8">
      <c r="A802" s="41" t="s">
        <v>443</v>
      </c>
      <c r="B802" s="39" t="s">
        <v>232</v>
      </c>
      <c r="C802" s="39" t="s">
        <v>226</v>
      </c>
      <c r="D802" s="41" t="str">
        <f t="shared" si="36"/>
        <v>IGR017HC</v>
      </c>
      <c r="E802" s="41" t="str">
        <f t="shared" si="37"/>
        <v>IGR017Adolecentes 10-19</v>
      </c>
      <c r="F802" s="41" t="str">
        <f t="shared" si="38"/>
        <v>IGR017HCAdolecentes 10-19</v>
      </c>
      <c r="G802" s="41" t="s">
        <v>444</v>
      </c>
      <c r="H802" s="41" t="s">
        <v>82</v>
      </c>
    </row>
    <row r="803" spans="1:8">
      <c r="A803" s="41" t="s">
        <v>445</v>
      </c>
      <c r="B803" s="39" t="s">
        <v>232</v>
      </c>
      <c r="C803" s="39" t="s">
        <v>226</v>
      </c>
      <c r="D803" s="41" t="str">
        <f t="shared" si="36"/>
        <v>IGR019HC</v>
      </c>
      <c r="E803" s="41" t="str">
        <f t="shared" si="37"/>
        <v>IGR019Adolecentes 10-19</v>
      </c>
      <c r="F803" s="41" t="str">
        <f t="shared" si="38"/>
        <v>IGR019HCAdolecentes 10-19</v>
      </c>
      <c r="G803" s="41" t="s">
        <v>446</v>
      </c>
      <c r="H803" s="41" t="s">
        <v>82</v>
      </c>
    </row>
    <row r="804" spans="1:8">
      <c r="A804" s="41" t="s">
        <v>720</v>
      </c>
      <c r="B804" s="39" t="s">
        <v>232</v>
      </c>
      <c r="C804" s="39" t="s">
        <v>226</v>
      </c>
      <c r="D804" s="41" t="str">
        <f t="shared" si="36"/>
        <v>IGR020HC</v>
      </c>
      <c r="E804" s="41" t="str">
        <f t="shared" si="37"/>
        <v>IGR020Adolecentes 10-19</v>
      </c>
      <c r="F804" s="41" t="str">
        <f t="shared" si="38"/>
        <v>IGR020HCAdolecentes 10-19</v>
      </c>
      <c r="G804" s="41" t="s">
        <v>721</v>
      </c>
      <c r="H804" s="41" t="s">
        <v>82</v>
      </c>
    </row>
    <row r="805" spans="1:8">
      <c r="A805" s="41" t="s">
        <v>447</v>
      </c>
      <c r="B805" s="39" t="s">
        <v>232</v>
      </c>
      <c r="C805" s="39" t="s">
        <v>226</v>
      </c>
      <c r="D805" s="41" t="str">
        <f t="shared" si="36"/>
        <v>IGR021HC</v>
      </c>
      <c r="E805" s="41" t="str">
        <f t="shared" si="37"/>
        <v>IGR021Adolecentes 10-19</v>
      </c>
      <c r="F805" s="41" t="str">
        <f t="shared" si="38"/>
        <v>IGR021HCAdolecentes 10-19</v>
      </c>
      <c r="G805" s="41" t="s">
        <v>722</v>
      </c>
      <c r="H805" s="41" t="s">
        <v>82</v>
      </c>
    </row>
    <row r="806" spans="1:8">
      <c r="A806" s="41" t="s">
        <v>448</v>
      </c>
      <c r="B806" s="39" t="s">
        <v>232</v>
      </c>
      <c r="C806" s="39" t="s">
        <v>226</v>
      </c>
      <c r="D806" s="41" t="str">
        <f t="shared" si="36"/>
        <v>IGR022HC</v>
      </c>
      <c r="E806" s="41" t="str">
        <f t="shared" si="37"/>
        <v>IGR022Adolecentes 10-19</v>
      </c>
      <c r="F806" s="41" t="str">
        <f t="shared" si="38"/>
        <v>IGR022HCAdolecentes 10-19</v>
      </c>
      <c r="G806" s="41" t="s">
        <v>723</v>
      </c>
      <c r="H806" s="41" t="s">
        <v>82</v>
      </c>
    </row>
    <row r="807" spans="1:8">
      <c r="A807" s="41" t="s">
        <v>449</v>
      </c>
      <c r="B807" s="39" t="s">
        <v>232</v>
      </c>
      <c r="C807" s="39" t="s">
        <v>226</v>
      </c>
      <c r="D807" s="41" t="str">
        <f t="shared" si="36"/>
        <v>IGR026HC</v>
      </c>
      <c r="E807" s="41" t="str">
        <f t="shared" si="37"/>
        <v>IGR026Adolecentes 10-19</v>
      </c>
      <c r="F807" s="41" t="str">
        <f t="shared" si="38"/>
        <v>IGR026HCAdolecentes 10-19</v>
      </c>
      <c r="G807" s="41" t="s">
        <v>724</v>
      </c>
      <c r="H807" s="41" t="s">
        <v>82</v>
      </c>
    </row>
    <row r="808" spans="1:8">
      <c r="A808" s="41" t="s">
        <v>450</v>
      </c>
      <c r="B808" s="39" t="s">
        <v>232</v>
      </c>
      <c r="C808" s="39" t="s">
        <v>226</v>
      </c>
      <c r="D808" s="41" t="str">
        <f t="shared" si="36"/>
        <v>IGR030HC</v>
      </c>
      <c r="E808" s="41" t="str">
        <f t="shared" si="37"/>
        <v>IGR030Adolecentes 10-19</v>
      </c>
      <c r="F808" s="41" t="str">
        <f t="shared" si="38"/>
        <v>IGR030HCAdolecentes 10-19</v>
      </c>
      <c r="G808" s="41" t="s">
        <v>725</v>
      </c>
      <c r="H808" s="41" t="s">
        <v>82</v>
      </c>
    </row>
    <row r="809" spans="1:8">
      <c r="A809" s="41" t="s">
        <v>451</v>
      </c>
      <c r="B809" s="39" t="s">
        <v>232</v>
      </c>
      <c r="C809" s="39" t="s">
        <v>226</v>
      </c>
      <c r="D809" s="41" t="str">
        <f t="shared" si="36"/>
        <v>IGR032HC</v>
      </c>
      <c r="E809" s="41" t="str">
        <f t="shared" si="37"/>
        <v>IGR032Adolecentes 10-19</v>
      </c>
      <c r="F809" s="41" t="str">
        <f t="shared" si="38"/>
        <v>IGR032HCAdolecentes 10-19</v>
      </c>
      <c r="G809" s="41" t="s">
        <v>726</v>
      </c>
      <c r="H809" s="41" t="s">
        <v>82</v>
      </c>
    </row>
    <row r="810" spans="1:8">
      <c r="A810" s="41" t="s">
        <v>452</v>
      </c>
      <c r="B810" s="39" t="s">
        <v>232</v>
      </c>
      <c r="C810" s="39" t="s">
        <v>226</v>
      </c>
      <c r="D810" s="41" t="str">
        <f t="shared" si="36"/>
        <v>IGR038HC</v>
      </c>
      <c r="E810" s="41" t="str">
        <f t="shared" si="37"/>
        <v>IGR038Adolecentes 10-19</v>
      </c>
      <c r="F810" s="41" t="str">
        <f t="shared" si="38"/>
        <v>IGR038HCAdolecentes 10-19</v>
      </c>
      <c r="G810" s="41" t="s">
        <v>727</v>
      </c>
      <c r="H810" s="41" t="s">
        <v>82</v>
      </c>
    </row>
    <row r="811" spans="1:8">
      <c r="A811" s="41" t="s">
        <v>436</v>
      </c>
      <c r="B811" s="39" t="s">
        <v>232</v>
      </c>
      <c r="C811" s="39" t="s">
        <v>228</v>
      </c>
      <c r="D811" s="41" t="str">
        <f t="shared" ref="D811:D836" si="39">+CONCATENATE(A811,C811)</f>
        <v>IGR003FM</v>
      </c>
      <c r="E811" s="41" t="str">
        <f t="shared" ref="E811:E836" si="40">+CONCATENATE(A811,B811)</f>
        <v>IGR003Adolecentes 10-19</v>
      </c>
      <c r="F811" s="41" t="str">
        <f t="shared" ref="F811:F836" si="41">CONCATENATE(A811,C811,B811)</f>
        <v>IGR003FMAdolecentes 10-19</v>
      </c>
      <c r="G811" s="41" t="s">
        <v>437</v>
      </c>
      <c r="H811" s="41" t="s">
        <v>82</v>
      </c>
    </row>
    <row r="812" spans="1:8">
      <c r="A812" s="41" t="s">
        <v>438</v>
      </c>
      <c r="B812" s="39" t="s">
        <v>232</v>
      </c>
      <c r="C812" s="39" t="s">
        <v>228</v>
      </c>
      <c r="D812" s="41" t="str">
        <f t="shared" si="39"/>
        <v>IGR004FM</v>
      </c>
      <c r="E812" s="41" t="str">
        <f t="shared" si="40"/>
        <v>IGR004Adolecentes 10-19</v>
      </c>
      <c r="F812" s="41" t="str">
        <f t="shared" si="41"/>
        <v>IGR004FMAdolecentes 10-19</v>
      </c>
      <c r="G812" s="41" t="s">
        <v>439</v>
      </c>
      <c r="H812" s="41" t="s">
        <v>82</v>
      </c>
    </row>
    <row r="813" spans="1:8">
      <c r="A813" s="41" t="s">
        <v>440</v>
      </c>
      <c r="B813" s="39" t="s">
        <v>232</v>
      </c>
      <c r="C813" s="39" t="s">
        <v>228</v>
      </c>
      <c r="D813" s="41" t="str">
        <f t="shared" si="39"/>
        <v>IGR007FM</v>
      </c>
      <c r="E813" s="41" t="str">
        <f t="shared" si="40"/>
        <v>IGR007Adolecentes 10-19</v>
      </c>
      <c r="F813" s="41" t="str">
        <f t="shared" si="41"/>
        <v>IGR007FMAdolecentes 10-19</v>
      </c>
      <c r="G813" s="41" t="s">
        <v>441</v>
      </c>
      <c r="H813" s="41" t="s">
        <v>82</v>
      </c>
    </row>
    <row r="814" spans="1:8">
      <c r="A814" s="41" t="s">
        <v>442</v>
      </c>
      <c r="B814" s="39" t="s">
        <v>232</v>
      </c>
      <c r="C814" s="39" t="s">
        <v>228</v>
      </c>
      <c r="D814" s="41" t="str">
        <f t="shared" si="39"/>
        <v>IGR008FM</v>
      </c>
      <c r="E814" s="41" t="str">
        <f t="shared" si="40"/>
        <v>IGR008Adolecentes 10-19</v>
      </c>
      <c r="F814" s="41" t="str">
        <f t="shared" si="41"/>
        <v>IGR008FMAdolecentes 10-19</v>
      </c>
      <c r="G814" s="41" t="s">
        <v>267</v>
      </c>
      <c r="H814" s="41" t="s">
        <v>82</v>
      </c>
    </row>
    <row r="815" spans="1:8">
      <c r="A815" s="41" t="s">
        <v>443</v>
      </c>
      <c r="B815" s="39" t="s">
        <v>232</v>
      </c>
      <c r="C815" s="39" t="s">
        <v>228</v>
      </c>
      <c r="D815" s="41" t="str">
        <f t="shared" si="39"/>
        <v>IGR017FM</v>
      </c>
      <c r="E815" s="41" t="str">
        <f t="shared" si="40"/>
        <v>IGR017Adolecentes 10-19</v>
      </c>
      <c r="F815" s="41" t="str">
        <f t="shared" si="41"/>
        <v>IGR017FMAdolecentes 10-19</v>
      </c>
      <c r="G815" s="41" t="s">
        <v>444</v>
      </c>
      <c r="H815" s="41" t="s">
        <v>82</v>
      </c>
    </row>
    <row r="816" spans="1:8">
      <c r="A816" s="41" t="s">
        <v>445</v>
      </c>
      <c r="B816" s="39" t="s">
        <v>232</v>
      </c>
      <c r="C816" s="39" t="s">
        <v>228</v>
      </c>
      <c r="D816" s="41" t="str">
        <f t="shared" si="39"/>
        <v>IGR019FM</v>
      </c>
      <c r="E816" s="41" t="str">
        <f t="shared" si="40"/>
        <v>IGR019Adolecentes 10-19</v>
      </c>
      <c r="F816" s="41" t="str">
        <f t="shared" si="41"/>
        <v>IGR019FMAdolecentes 10-19</v>
      </c>
      <c r="G816" s="41" t="s">
        <v>446</v>
      </c>
      <c r="H816" s="41" t="s">
        <v>82</v>
      </c>
    </row>
    <row r="817" spans="1:8">
      <c r="A817" s="41" t="s">
        <v>720</v>
      </c>
      <c r="B817" s="39" t="s">
        <v>232</v>
      </c>
      <c r="C817" s="39" t="s">
        <v>228</v>
      </c>
      <c r="D817" s="41" t="str">
        <f t="shared" si="39"/>
        <v>IGR020FM</v>
      </c>
      <c r="E817" s="41" t="str">
        <f t="shared" si="40"/>
        <v>IGR020Adolecentes 10-19</v>
      </c>
      <c r="F817" s="41" t="str">
        <f t="shared" si="41"/>
        <v>IGR020FMAdolecentes 10-19</v>
      </c>
      <c r="G817" s="41" t="s">
        <v>721</v>
      </c>
      <c r="H817" s="41" t="s">
        <v>82</v>
      </c>
    </row>
    <row r="818" spans="1:8">
      <c r="A818" s="41" t="s">
        <v>447</v>
      </c>
      <c r="B818" s="39" t="s">
        <v>232</v>
      </c>
      <c r="C818" s="39" t="s">
        <v>228</v>
      </c>
      <c r="D818" s="41" t="str">
        <f t="shared" si="39"/>
        <v>IGR021FM</v>
      </c>
      <c r="E818" s="41" t="str">
        <f t="shared" si="40"/>
        <v>IGR021Adolecentes 10-19</v>
      </c>
      <c r="F818" s="41" t="str">
        <f t="shared" si="41"/>
        <v>IGR021FMAdolecentes 10-19</v>
      </c>
      <c r="G818" s="41" t="s">
        <v>722</v>
      </c>
      <c r="H818" s="41" t="s">
        <v>82</v>
      </c>
    </row>
    <row r="819" spans="1:8">
      <c r="A819" s="41" t="s">
        <v>448</v>
      </c>
      <c r="B819" s="39" t="s">
        <v>232</v>
      </c>
      <c r="C819" s="39" t="s">
        <v>228</v>
      </c>
      <c r="D819" s="41" t="str">
        <f t="shared" si="39"/>
        <v>IGR022FM</v>
      </c>
      <c r="E819" s="41" t="str">
        <f t="shared" si="40"/>
        <v>IGR022Adolecentes 10-19</v>
      </c>
      <c r="F819" s="41" t="str">
        <f t="shared" si="41"/>
        <v>IGR022FMAdolecentes 10-19</v>
      </c>
      <c r="G819" s="41" t="s">
        <v>723</v>
      </c>
      <c r="H819" s="41" t="s">
        <v>82</v>
      </c>
    </row>
    <row r="820" spans="1:8">
      <c r="A820" s="41" t="s">
        <v>449</v>
      </c>
      <c r="B820" s="39" t="s">
        <v>232</v>
      </c>
      <c r="C820" s="39" t="s">
        <v>228</v>
      </c>
      <c r="D820" s="41" t="str">
        <f t="shared" si="39"/>
        <v>IGR026FM</v>
      </c>
      <c r="E820" s="41" t="str">
        <f t="shared" si="40"/>
        <v>IGR026Adolecentes 10-19</v>
      </c>
      <c r="F820" s="41" t="str">
        <f t="shared" si="41"/>
        <v>IGR026FMAdolecentes 10-19</v>
      </c>
      <c r="G820" s="41" t="s">
        <v>724</v>
      </c>
      <c r="H820" s="41" t="s">
        <v>82</v>
      </c>
    </row>
    <row r="821" spans="1:8">
      <c r="A821" s="41" t="s">
        <v>450</v>
      </c>
      <c r="B821" s="39" t="s">
        <v>232</v>
      </c>
      <c r="C821" s="39" t="s">
        <v>228</v>
      </c>
      <c r="D821" s="41" t="str">
        <f t="shared" si="39"/>
        <v>IGR030FM</v>
      </c>
      <c r="E821" s="41" t="str">
        <f t="shared" si="40"/>
        <v>IGR030Adolecentes 10-19</v>
      </c>
      <c r="F821" s="41" t="str">
        <f t="shared" si="41"/>
        <v>IGR030FMAdolecentes 10-19</v>
      </c>
      <c r="G821" s="41" t="s">
        <v>725</v>
      </c>
      <c r="H821" s="41" t="s">
        <v>82</v>
      </c>
    </row>
    <row r="822" spans="1:8">
      <c r="A822" s="41" t="s">
        <v>451</v>
      </c>
      <c r="B822" s="39" t="s">
        <v>232</v>
      </c>
      <c r="C822" s="39" t="s">
        <v>228</v>
      </c>
      <c r="D822" s="41" t="str">
        <f t="shared" si="39"/>
        <v>IGR032FM</v>
      </c>
      <c r="E822" s="41" t="str">
        <f t="shared" si="40"/>
        <v>IGR032Adolecentes 10-19</v>
      </c>
      <c r="F822" s="41" t="str">
        <f t="shared" si="41"/>
        <v>IGR032FMAdolecentes 10-19</v>
      </c>
      <c r="G822" s="41" t="s">
        <v>726</v>
      </c>
      <c r="H822" s="41" t="s">
        <v>82</v>
      </c>
    </row>
    <row r="823" spans="1:8">
      <c r="A823" s="41" t="s">
        <v>452</v>
      </c>
      <c r="B823" s="39" t="s">
        <v>232</v>
      </c>
      <c r="C823" s="39" t="s">
        <v>228</v>
      </c>
      <c r="D823" s="41" t="str">
        <f t="shared" si="39"/>
        <v>IGR038FM</v>
      </c>
      <c r="E823" s="41" t="str">
        <f t="shared" si="40"/>
        <v>IGR038Adolecentes 10-19</v>
      </c>
      <c r="F823" s="41" t="str">
        <f t="shared" si="41"/>
        <v>IGR038FMAdolecentes 10-19</v>
      </c>
      <c r="G823" s="41" t="s">
        <v>727</v>
      </c>
      <c r="H823" s="41" t="s">
        <v>82</v>
      </c>
    </row>
    <row r="824" spans="1:8">
      <c r="A824" s="41" t="s">
        <v>436</v>
      </c>
      <c r="B824" s="39" t="s">
        <v>232</v>
      </c>
      <c r="C824" s="39" t="s">
        <v>237</v>
      </c>
      <c r="D824" s="41" t="str">
        <f t="shared" si="39"/>
        <v>IGR003LSI</v>
      </c>
      <c r="E824" s="41" t="str">
        <f t="shared" si="40"/>
        <v>IGR003Adolecentes 10-19</v>
      </c>
      <c r="F824" s="41" t="str">
        <f t="shared" si="41"/>
        <v>IGR003LSIAdolecentes 10-19</v>
      </c>
      <c r="G824" s="41" t="s">
        <v>437</v>
      </c>
      <c r="H824" s="41" t="s">
        <v>82</v>
      </c>
    </row>
    <row r="825" spans="1:8">
      <c r="A825" s="41" t="s">
        <v>438</v>
      </c>
      <c r="B825" s="39" t="s">
        <v>232</v>
      </c>
      <c r="C825" s="39" t="s">
        <v>237</v>
      </c>
      <c r="D825" s="41" t="str">
        <f t="shared" si="39"/>
        <v>IGR004LSI</v>
      </c>
      <c r="E825" s="41" t="str">
        <f t="shared" si="40"/>
        <v>IGR004Adolecentes 10-19</v>
      </c>
      <c r="F825" s="41" t="str">
        <f t="shared" si="41"/>
        <v>IGR004LSIAdolecentes 10-19</v>
      </c>
      <c r="G825" s="41" t="s">
        <v>439</v>
      </c>
      <c r="H825" s="41" t="s">
        <v>82</v>
      </c>
    </row>
    <row r="826" spans="1:8">
      <c r="A826" s="41" t="s">
        <v>440</v>
      </c>
      <c r="B826" s="39" t="s">
        <v>232</v>
      </c>
      <c r="C826" s="39" t="s">
        <v>237</v>
      </c>
      <c r="D826" s="41" t="str">
        <f t="shared" si="39"/>
        <v>IGR007LSI</v>
      </c>
      <c r="E826" s="41" t="str">
        <f t="shared" si="40"/>
        <v>IGR007Adolecentes 10-19</v>
      </c>
      <c r="F826" s="41" t="str">
        <f t="shared" si="41"/>
        <v>IGR007LSIAdolecentes 10-19</v>
      </c>
      <c r="G826" s="41" t="s">
        <v>441</v>
      </c>
      <c r="H826" s="41" t="s">
        <v>82</v>
      </c>
    </row>
    <row r="827" spans="1:8">
      <c r="A827" s="41" t="s">
        <v>442</v>
      </c>
      <c r="B827" s="39" t="s">
        <v>232</v>
      </c>
      <c r="C827" s="39" t="s">
        <v>237</v>
      </c>
      <c r="D827" s="41" t="str">
        <f t="shared" si="39"/>
        <v>IGR008LSI</v>
      </c>
      <c r="E827" s="41" t="str">
        <f t="shared" si="40"/>
        <v>IGR008Adolecentes 10-19</v>
      </c>
      <c r="F827" s="41" t="str">
        <f t="shared" si="41"/>
        <v>IGR008LSIAdolecentes 10-19</v>
      </c>
      <c r="G827" s="41" t="s">
        <v>267</v>
      </c>
      <c r="H827" s="41" t="s">
        <v>82</v>
      </c>
    </row>
    <row r="828" spans="1:8">
      <c r="A828" s="41" t="s">
        <v>443</v>
      </c>
      <c r="B828" s="39" t="s">
        <v>232</v>
      </c>
      <c r="C828" s="39" t="s">
        <v>237</v>
      </c>
      <c r="D828" s="41" t="str">
        <f t="shared" si="39"/>
        <v>IGR017LSI</v>
      </c>
      <c r="E828" s="41" t="str">
        <f t="shared" si="40"/>
        <v>IGR017Adolecentes 10-19</v>
      </c>
      <c r="F828" s="41" t="str">
        <f t="shared" si="41"/>
        <v>IGR017LSIAdolecentes 10-19</v>
      </c>
      <c r="G828" s="41" t="s">
        <v>444</v>
      </c>
      <c r="H828" s="41" t="s">
        <v>82</v>
      </c>
    </row>
    <row r="829" spans="1:8">
      <c r="A829" s="41" t="s">
        <v>445</v>
      </c>
      <c r="B829" s="39" t="s">
        <v>232</v>
      </c>
      <c r="C829" s="39" t="s">
        <v>237</v>
      </c>
      <c r="D829" s="41" t="str">
        <f t="shared" si="39"/>
        <v>IGR019LSI</v>
      </c>
      <c r="E829" s="41" t="str">
        <f t="shared" si="40"/>
        <v>IGR019Adolecentes 10-19</v>
      </c>
      <c r="F829" s="41" t="str">
        <f t="shared" si="41"/>
        <v>IGR019LSIAdolecentes 10-19</v>
      </c>
      <c r="G829" s="41" t="s">
        <v>446</v>
      </c>
      <c r="H829" s="41" t="s">
        <v>82</v>
      </c>
    </row>
    <row r="830" spans="1:8">
      <c r="A830" s="41" t="s">
        <v>720</v>
      </c>
      <c r="B830" s="39" t="s">
        <v>232</v>
      </c>
      <c r="C830" s="39" t="s">
        <v>237</v>
      </c>
      <c r="D830" s="41" t="str">
        <f t="shared" si="39"/>
        <v>IGR020LSI</v>
      </c>
      <c r="E830" s="41" t="str">
        <f t="shared" si="40"/>
        <v>IGR020Adolecentes 10-19</v>
      </c>
      <c r="F830" s="41" t="str">
        <f t="shared" si="41"/>
        <v>IGR020LSIAdolecentes 10-19</v>
      </c>
      <c r="G830" s="41" t="s">
        <v>721</v>
      </c>
      <c r="H830" s="41" t="s">
        <v>82</v>
      </c>
    </row>
    <row r="831" spans="1:8">
      <c r="A831" s="41" t="s">
        <v>447</v>
      </c>
      <c r="B831" s="39" t="s">
        <v>232</v>
      </c>
      <c r="C831" s="39" t="s">
        <v>237</v>
      </c>
      <c r="D831" s="41" t="str">
        <f t="shared" si="39"/>
        <v>IGR021LSI</v>
      </c>
      <c r="E831" s="41" t="str">
        <f t="shared" si="40"/>
        <v>IGR021Adolecentes 10-19</v>
      </c>
      <c r="F831" s="41" t="str">
        <f t="shared" si="41"/>
        <v>IGR021LSIAdolecentes 10-19</v>
      </c>
      <c r="G831" s="41" t="s">
        <v>722</v>
      </c>
      <c r="H831" s="41" t="s">
        <v>82</v>
      </c>
    </row>
    <row r="832" spans="1:8">
      <c r="A832" s="41" t="s">
        <v>448</v>
      </c>
      <c r="B832" s="39" t="s">
        <v>232</v>
      </c>
      <c r="C832" s="39" t="s">
        <v>237</v>
      </c>
      <c r="D832" s="41" t="str">
        <f t="shared" si="39"/>
        <v>IGR022LSI</v>
      </c>
      <c r="E832" s="41" t="str">
        <f t="shared" si="40"/>
        <v>IGR022Adolecentes 10-19</v>
      </c>
      <c r="F832" s="41" t="str">
        <f t="shared" si="41"/>
        <v>IGR022LSIAdolecentes 10-19</v>
      </c>
      <c r="G832" s="41" t="s">
        <v>723</v>
      </c>
      <c r="H832" s="41" t="s">
        <v>82</v>
      </c>
    </row>
    <row r="833" spans="1:8">
      <c r="A833" s="41" t="s">
        <v>449</v>
      </c>
      <c r="B833" s="39" t="s">
        <v>232</v>
      </c>
      <c r="C833" s="39" t="s">
        <v>237</v>
      </c>
      <c r="D833" s="41" t="str">
        <f t="shared" si="39"/>
        <v>IGR026LSI</v>
      </c>
      <c r="E833" s="41" t="str">
        <f t="shared" si="40"/>
        <v>IGR026Adolecentes 10-19</v>
      </c>
      <c r="F833" s="41" t="str">
        <f t="shared" si="41"/>
        <v>IGR026LSIAdolecentes 10-19</v>
      </c>
      <c r="G833" s="41" t="s">
        <v>724</v>
      </c>
      <c r="H833" s="41" t="s">
        <v>82</v>
      </c>
    </row>
    <row r="834" spans="1:8">
      <c r="A834" s="41" t="s">
        <v>450</v>
      </c>
      <c r="B834" s="39" t="s">
        <v>232</v>
      </c>
      <c r="C834" s="39" t="s">
        <v>237</v>
      </c>
      <c r="D834" s="41" t="str">
        <f t="shared" si="39"/>
        <v>IGR030LSI</v>
      </c>
      <c r="E834" s="41" t="str">
        <f t="shared" si="40"/>
        <v>IGR030Adolecentes 10-19</v>
      </c>
      <c r="F834" s="41" t="str">
        <f t="shared" si="41"/>
        <v>IGR030LSIAdolecentes 10-19</v>
      </c>
      <c r="G834" s="41" t="s">
        <v>725</v>
      </c>
      <c r="H834" s="41" t="s">
        <v>82</v>
      </c>
    </row>
    <row r="835" spans="1:8">
      <c r="A835" s="41" t="s">
        <v>451</v>
      </c>
      <c r="B835" s="39" t="s">
        <v>232</v>
      </c>
      <c r="C835" s="39" t="s">
        <v>237</v>
      </c>
      <c r="D835" s="41" t="str">
        <f t="shared" si="39"/>
        <v>IGR032LSI</v>
      </c>
      <c r="E835" s="41" t="str">
        <f t="shared" si="40"/>
        <v>IGR032Adolecentes 10-19</v>
      </c>
      <c r="F835" s="41" t="str">
        <f t="shared" si="41"/>
        <v>IGR032LSIAdolecentes 10-19</v>
      </c>
      <c r="G835" s="41" t="s">
        <v>726</v>
      </c>
      <c r="H835" s="41" t="s">
        <v>82</v>
      </c>
    </row>
    <row r="836" spans="1:8">
      <c r="A836" s="41" t="s">
        <v>452</v>
      </c>
      <c r="B836" s="39" t="s">
        <v>232</v>
      </c>
      <c r="C836" s="39" t="s">
        <v>237</v>
      </c>
      <c r="D836" s="41" t="str">
        <f t="shared" si="39"/>
        <v>IGR038LSI</v>
      </c>
      <c r="E836" s="41" t="str">
        <f t="shared" si="40"/>
        <v>IGR038Adolecentes 10-19</v>
      </c>
      <c r="F836" s="41" t="str">
        <f t="shared" si="41"/>
        <v>IGR038LSIAdolecentes 10-19</v>
      </c>
      <c r="G836" s="41" t="s">
        <v>727</v>
      </c>
      <c r="H836" s="41" t="s">
        <v>82</v>
      </c>
    </row>
  </sheetData>
  <autoFilter ref="A1:H488"/>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theme="0" tint="-0.499984740745262"/>
  </sheetPr>
  <dimension ref="A1:J385"/>
  <sheetViews>
    <sheetView workbookViewId="0">
      <selection activeCell="A2" sqref="A2"/>
    </sheetView>
  </sheetViews>
  <sheetFormatPr baseColWidth="10" defaultColWidth="11.42578125" defaultRowHeight="15"/>
  <cols>
    <col min="1" max="1" width="34.140625" style="30" customWidth="1"/>
    <col min="2" max="2" width="11.42578125" style="30"/>
    <col min="3" max="5" width="11.42578125" style="29"/>
    <col min="6" max="8" width="11.42578125" style="30"/>
    <col min="9" max="9" width="11.42578125" style="45"/>
    <col min="10" max="10" width="11.42578125" style="30"/>
    <col min="11" max="16384" width="11.42578125" style="31"/>
  </cols>
  <sheetData>
    <row r="1" spans="1:10" ht="15.75" thickBot="1">
      <c r="A1" s="42" t="s">
        <v>1</v>
      </c>
      <c r="B1" s="42" t="s">
        <v>152</v>
      </c>
      <c r="C1" s="42" t="s">
        <v>153</v>
      </c>
      <c r="D1" s="42" t="s">
        <v>155</v>
      </c>
      <c r="E1" s="42" t="s">
        <v>156</v>
      </c>
      <c r="F1" s="42" t="s">
        <v>154</v>
      </c>
      <c r="G1" s="42" t="s">
        <v>157</v>
      </c>
      <c r="H1" s="42" t="s">
        <v>160</v>
      </c>
      <c r="I1" s="43" t="s">
        <v>158</v>
      </c>
      <c r="J1" s="42" t="s">
        <v>159</v>
      </c>
    </row>
    <row r="2" spans="1:10">
      <c r="A2" s="30" t="str">
        <f>IF(ISBLANK('Auditoria CEB'!$E$6)," ",'Auditoria CEB'!$E$6)</f>
        <v xml:space="preserve"> </v>
      </c>
      <c r="B2" s="30" t="s">
        <v>161</v>
      </c>
      <c r="C2" s="44" t="str">
        <f>IF(ISBLANK('Auditoria CEB'!B11)," ",+'Auditoria CEB'!B11)</f>
        <v xml:space="preserve"> </v>
      </c>
      <c r="D2" s="29" t="str">
        <f>IF(ISBLANK('Auditoria CEB'!D11)," ",+'Auditoria CEB'!D11)</f>
        <v xml:space="preserve"> </v>
      </c>
      <c r="E2" s="29" t="str">
        <f>IF(ISBLANK('Auditoria CEB'!E11)," ",+'Auditoria CEB'!E11)</f>
        <v xml:space="preserve"> </v>
      </c>
      <c r="F2" s="30" t="str">
        <f>IF(ISBLANK('Auditoria CEB'!F11)," ",+'Auditoria CEB'!F11)</f>
        <v xml:space="preserve"> </v>
      </c>
      <c r="G2" s="30" t="str">
        <f>IF(ISBLANK('Auditoria CEB'!I11)," ",+'Auditoria CEB'!I11)</f>
        <v xml:space="preserve"> </v>
      </c>
      <c r="H2" s="30" t="str">
        <f>IF(ISBLANK('Auditoria CEB'!AR11)," ",+'Auditoria CEB'!AR11)</f>
        <v xml:space="preserve"> </v>
      </c>
      <c r="I2" s="45" t="str">
        <f>IF(ISBLANK('Auditoria CEB'!K11)," ",+'Auditoria CEB'!K11)</f>
        <v xml:space="preserve"> </v>
      </c>
      <c r="J2" s="30" t="str">
        <f>IF(ISBLANK('Auditoria CEB'!AM11)," ",+'Auditoria CEB'!AM11)</f>
        <v xml:space="preserve"> </v>
      </c>
    </row>
    <row r="3" spans="1:10">
      <c r="A3" s="30" t="str">
        <f>IF(ISBLANK('Auditoria CEB'!$E$6)," ",'Auditoria CEB'!$E$6)</f>
        <v xml:space="preserve"> </v>
      </c>
      <c r="B3" s="30" t="s">
        <v>161</v>
      </c>
      <c r="C3" s="29" t="str">
        <f>IF(ISBLANK('Auditoria CEB'!B12)," ",+'Auditoria CEB'!B12)</f>
        <v xml:space="preserve"> </v>
      </c>
      <c r="D3" s="29" t="str">
        <f>IF(ISBLANK('Auditoria CEB'!D12)," ",+'Auditoria CEB'!D12)</f>
        <v xml:space="preserve"> </v>
      </c>
      <c r="E3" s="29" t="str">
        <f>IF(ISBLANK('Auditoria CEB'!E12)," ",+'Auditoria CEB'!E12)</f>
        <v xml:space="preserve"> </v>
      </c>
      <c r="F3" s="30" t="str">
        <f>IF(ISBLANK('Auditoria CEB'!F12)," ",+'Auditoria CEB'!F12)</f>
        <v xml:space="preserve"> </v>
      </c>
      <c r="G3" s="30" t="str">
        <f>IF(ISBLANK('Auditoria CEB'!I12)," ",+'Auditoria CEB'!I12)</f>
        <v xml:space="preserve"> </v>
      </c>
      <c r="H3" s="30" t="str">
        <f>IF(ISBLANK('Auditoria CEB'!AR12)," ",+'Auditoria CEB'!AR12)</f>
        <v xml:space="preserve"> </v>
      </c>
      <c r="I3" s="45" t="str">
        <f>IF(ISBLANK('Auditoria CEB'!K12)," ",+'Auditoria CEB'!K12)</f>
        <v xml:space="preserve"> </v>
      </c>
      <c r="J3" s="30" t="str">
        <f>IF(ISBLANK('Auditoria CEB'!AM12)," ",+'Auditoria CEB'!AM12)</f>
        <v xml:space="preserve"> </v>
      </c>
    </row>
    <row r="4" spans="1:10">
      <c r="A4" s="30" t="str">
        <f>IF(ISBLANK('Auditoria CEB'!$E$6)," ",'Auditoria CEB'!$E$6)</f>
        <v xml:space="preserve"> </v>
      </c>
      <c r="B4" s="30" t="s">
        <v>161</v>
      </c>
      <c r="C4" s="29" t="str">
        <f>IF(ISBLANK('Auditoria CEB'!B13)," ",+'Auditoria CEB'!B13)</f>
        <v xml:space="preserve"> </v>
      </c>
      <c r="D4" s="29" t="str">
        <f>IF(ISBLANK('Auditoria CEB'!D13)," ",+'Auditoria CEB'!D13)</f>
        <v xml:space="preserve"> </v>
      </c>
      <c r="E4" s="29" t="str">
        <f>IF(ISBLANK('Auditoria CEB'!E13)," ",+'Auditoria CEB'!E13)</f>
        <v xml:space="preserve"> </v>
      </c>
      <c r="F4" s="30" t="str">
        <f>IF(ISBLANK('Auditoria CEB'!F13)," ",+'Auditoria CEB'!F13)</f>
        <v xml:space="preserve"> </v>
      </c>
      <c r="G4" s="30" t="str">
        <f>IF(ISBLANK('Auditoria CEB'!I13)," ",+'Auditoria CEB'!I13)</f>
        <v xml:space="preserve"> </v>
      </c>
      <c r="H4" s="30" t="str">
        <f>IF(ISBLANK('Auditoria CEB'!AR13)," ",+'Auditoria CEB'!AR13)</f>
        <v xml:space="preserve"> </v>
      </c>
      <c r="I4" s="45" t="str">
        <f>IF(ISBLANK('Auditoria CEB'!K13)," ",+'Auditoria CEB'!K13)</f>
        <v xml:space="preserve"> </v>
      </c>
      <c r="J4" s="30" t="str">
        <f>IF(ISBLANK('Auditoria CEB'!AM13)," ",+'Auditoria CEB'!AM13)</f>
        <v xml:space="preserve"> </v>
      </c>
    </row>
    <row r="5" spans="1:10">
      <c r="A5" s="30" t="str">
        <f>IF(ISBLANK('Auditoria CEB'!$E$6)," ",'Auditoria CEB'!$E$6)</f>
        <v xml:space="preserve"> </v>
      </c>
      <c r="B5" s="30" t="s">
        <v>161</v>
      </c>
      <c r="C5" s="29" t="str">
        <f>IF(ISBLANK('Auditoria CEB'!B14)," ",+'Auditoria CEB'!B14)</f>
        <v xml:space="preserve"> </v>
      </c>
      <c r="D5" s="29" t="str">
        <f>IF(ISBLANK('Auditoria CEB'!D14)," ",+'Auditoria CEB'!D14)</f>
        <v xml:space="preserve"> </v>
      </c>
      <c r="E5" s="29" t="str">
        <f>IF(ISBLANK('Auditoria CEB'!E14)," ",+'Auditoria CEB'!E14)</f>
        <v xml:space="preserve"> </v>
      </c>
      <c r="F5" s="30" t="str">
        <f>IF(ISBLANK('Auditoria CEB'!F14)," ",+'Auditoria CEB'!F14)</f>
        <v xml:space="preserve"> </v>
      </c>
      <c r="G5" s="30" t="str">
        <f>IF(ISBLANK('Auditoria CEB'!I14)," ",+'Auditoria CEB'!I14)</f>
        <v xml:space="preserve"> </v>
      </c>
      <c r="H5" s="30" t="str">
        <f>IF(ISBLANK('Auditoria CEB'!AR14)," ",+'Auditoria CEB'!AR14)</f>
        <v xml:space="preserve"> </v>
      </c>
      <c r="I5" s="45" t="str">
        <f>IF(ISBLANK('Auditoria CEB'!K14)," ",+'Auditoria CEB'!K14)</f>
        <v xml:space="preserve"> </v>
      </c>
      <c r="J5" s="30" t="str">
        <f>IF(ISBLANK('Auditoria CEB'!AM14)," ",+'Auditoria CEB'!AM14)</f>
        <v xml:space="preserve"> </v>
      </c>
    </row>
    <row r="6" spans="1:10">
      <c r="A6" s="30" t="str">
        <f>IF(ISBLANK('Auditoria CEB'!$E$6)," ",'Auditoria CEB'!$E$6)</f>
        <v xml:space="preserve"> </v>
      </c>
      <c r="B6" s="30" t="s">
        <v>161</v>
      </c>
      <c r="C6" s="29" t="str">
        <f>IF(ISBLANK('Auditoria CEB'!B35)," ",+'Auditoria CEB'!B35)</f>
        <v xml:space="preserve"> </v>
      </c>
      <c r="D6" s="29" t="str">
        <f>IF(ISBLANK('Auditoria CEB'!D35)," ",+'Auditoria CEB'!D35)</f>
        <v xml:space="preserve"> </v>
      </c>
      <c r="E6" s="29" t="str">
        <f>IF(ISBLANK('Auditoria CEB'!E35)," ",+'Auditoria CEB'!E35)</f>
        <v xml:space="preserve"> </v>
      </c>
      <c r="F6" s="30" t="str">
        <f>IF(ISBLANK('Auditoria CEB'!F15)," ",+'Auditoria CEB'!F15)</f>
        <v xml:space="preserve"> </v>
      </c>
      <c r="G6" s="30" t="str">
        <f>IF(ISBLANK('Auditoria CEB'!I35)," ",+'Auditoria CEB'!I35)</f>
        <v xml:space="preserve"> </v>
      </c>
      <c r="H6" s="30" t="str">
        <f>IF(ISBLANK('Auditoria CEB'!AR35)," ",+'Auditoria CEB'!AR35)</f>
        <v xml:space="preserve"> </v>
      </c>
      <c r="I6" s="45" t="str">
        <f>IF(ISBLANK('Auditoria CEB'!K35)," ",+'Auditoria CEB'!K35)</f>
        <v xml:space="preserve"> </v>
      </c>
      <c r="J6" s="30" t="str">
        <f>IF(ISBLANK('Auditoria CEB'!AM35)," ",+'Auditoria CEB'!AM35)</f>
        <v xml:space="preserve"> </v>
      </c>
    </row>
    <row r="7" spans="1:10">
      <c r="A7" s="30" t="str">
        <f>IF(ISBLANK('Auditoria CEB'!$E$6)," ",'Auditoria CEB'!$E$6)</f>
        <v xml:space="preserve"> </v>
      </c>
      <c r="B7" s="30" t="s">
        <v>161</v>
      </c>
      <c r="C7" s="29" t="str">
        <f>IF(ISBLANK('Auditoria CEB'!B36)," ",+'Auditoria CEB'!B36)</f>
        <v xml:space="preserve"> </v>
      </c>
      <c r="D7" s="29" t="str">
        <f>IF(ISBLANK('Auditoria CEB'!D36)," ",+'Auditoria CEB'!D36)</f>
        <v xml:space="preserve"> </v>
      </c>
      <c r="E7" s="29" t="str">
        <f>IF(ISBLANK('Auditoria CEB'!E36)," ",+'Auditoria CEB'!E36)</f>
        <v xml:space="preserve"> </v>
      </c>
      <c r="F7" s="30" t="str">
        <f>IF(ISBLANK('Auditoria CEB'!F16)," ",+'Auditoria CEB'!F16)</f>
        <v xml:space="preserve"> </v>
      </c>
      <c r="G7" s="30" t="str">
        <f>IF(ISBLANK('Auditoria CEB'!I36)," ",+'Auditoria CEB'!I36)</f>
        <v xml:space="preserve"> </v>
      </c>
      <c r="H7" s="30" t="str">
        <f>IF(ISBLANK('Auditoria CEB'!AR36)," ",+'Auditoria CEB'!AR36)</f>
        <v xml:space="preserve"> </v>
      </c>
      <c r="I7" s="45" t="str">
        <f>IF(ISBLANK('Auditoria CEB'!K36)," ",+'Auditoria CEB'!K36)</f>
        <v xml:space="preserve"> </v>
      </c>
      <c r="J7" s="30" t="str">
        <f>IF(ISBLANK('Auditoria CEB'!AM36)," ",+'Auditoria CEB'!AM36)</f>
        <v xml:space="preserve"> </v>
      </c>
    </row>
    <row r="8" spans="1:10">
      <c r="A8" s="30" t="str">
        <f>IF(ISBLANK('Auditoria CEB'!$E$6)," ",'Auditoria CEB'!$E$6)</f>
        <v xml:space="preserve"> </v>
      </c>
      <c r="B8" s="30" t="s">
        <v>161</v>
      </c>
      <c r="C8" s="29" t="str">
        <f>IF(ISBLANK('Auditoria CEB'!B37)," ",+'Auditoria CEB'!B37)</f>
        <v xml:space="preserve"> </v>
      </c>
      <c r="D8" s="29" t="str">
        <f>IF(ISBLANK('Auditoria CEB'!D37)," ",+'Auditoria CEB'!D37)</f>
        <v xml:space="preserve"> </v>
      </c>
      <c r="E8" s="29" t="str">
        <f>IF(ISBLANK('Auditoria CEB'!E37)," ",+'Auditoria CEB'!E37)</f>
        <v xml:space="preserve"> </v>
      </c>
      <c r="F8" s="30" t="str">
        <f>IF(ISBLANK('Auditoria CEB'!F17)," ",+'Auditoria CEB'!F17)</f>
        <v xml:space="preserve"> </v>
      </c>
      <c r="G8" s="30" t="str">
        <f>IF(ISBLANK('Auditoria CEB'!I37)," ",+'Auditoria CEB'!I37)</f>
        <v xml:space="preserve"> </v>
      </c>
      <c r="H8" s="30" t="str">
        <f>IF(ISBLANK('Auditoria CEB'!AR37)," ",+'Auditoria CEB'!AR37)</f>
        <v xml:space="preserve"> </v>
      </c>
      <c r="I8" s="45" t="str">
        <f>IF(ISBLANK('Auditoria CEB'!K37)," ",+'Auditoria CEB'!K37)</f>
        <v xml:space="preserve"> </v>
      </c>
      <c r="J8" s="30" t="str">
        <f>IF(ISBLANK('Auditoria CEB'!AM37)," ",+'Auditoria CEB'!AM37)</f>
        <v xml:space="preserve"> </v>
      </c>
    </row>
    <row r="9" spans="1:10">
      <c r="A9" s="30" t="str">
        <f>IF(ISBLANK('Auditoria CEB'!$E$6)," ",'Auditoria CEB'!$E$6)</f>
        <v xml:space="preserve"> </v>
      </c>
      <c r="B9" s="30" t="s">
        <v>161</v>
      </c>
      <c r="C9" s="29" t="str">
        <f>IF(ISBLANK('Auditoria CEB'!B38)," ",+'Auditoria CEB'!B38)</f>
        <v xml:space="preserve"> </v>
      </c>
      <c r="D9" s="29" t="str">
        <f>IF(ISBLANK('Auditoria CEB'!D38)," ",+'Auditoria CEB'!D38)</f>
        <v xml:space="preserve"> </v>
      </c>
      <c r="E9" s="29" t="str">
        <f>IF(ISBLANK('Auditoria CEB'!E38)," ",+'Auditoria CEB'!E38)</f>
        <v xml:space="preserve"> </v>
      </c>
      <c r="F9" s="30" t="str">
        <f>IF(ISBLANK('Auditoria CEB'!F18)," ",+'Auditoria CEB'!F18)</f>
        <v xml:space="preserve"> </v>
      </c>
      <c r="G9" s="30" t="str">
        <f>IF(ISBLANK('Auditoria CEB'!I38)," ",+'Auditoria CEB'!I38)</f>
        <v xml:space="preserve"> </v>
      </c>
      <c r="H9" s="30" t="str">
        <f>IF(ISBLANK('Auditoria CEB'!AR38)," ",+'Auditoria CEB'!AR38)</f>
        <v xml:space="preserve"> </v>
      </c>
      <c r="I9" s="45" t="str">
        <f>IF(ISBLANK('Auditoria CEB'!K38)," ",+'Auditoria CEB'!K38)</f>
        <v xml:space="preserve"> </v>
      </c>
      <c r="J9" s="30" t="str">
        <f>IF(ISBLANK('Auditoria CEB'!AM38)," ",+'Auditoria CEB'!AM38)</f>
        <v xml:space="preserve"> </v>
      </c>
    </row>
    <row r="10" spans="1:10">
      <c r="A10" s="30" t="str">
        <f>IF(ISBLANK('Auditoria CEB'!$E$6)," ",'Auditoria CEB'!$E$6)</f>
        <v xml:space="preserve"> </v>
      </c>
      <c r="B10" s="30" t="s">
        <v>161</v>
      </c>
      <c r="C10" s="29" t="str">
        <f>IF(ISBLANK('Auditoria CEB'!B39)," ",+'Auditoria CEB'!B39)</f>
        <v xml:space="preserve"> </v>
      </c>
      <c r="D10" s="29" t="str">
        <f>IF(ISBLANK('Auditoria CEB'!D39)," ",+'Auditoria CEB'!D39)</f>
        <v xml:space="preserve"> </v>
      </c>
      <c r="E10" s="29" t="str">
        <f>IF(ISBLANK('Auditoria CEB'!E39)," ",+'Auditoria CEB'!E39)</f>
        <v xml:space="preserve"> </v>
      </c>
      <c r="F10" s="30" t="str">
        <f>IF(ISBLANK('Auditoria CEB'!F19)," ",+'Auditoria CEB'!F19)</f>
        <v xml:space="preserve"> </v>
      </c>
      <c r="G10" s="30" t="str">
        <f>IF(ISBLANK('Auditoria CEB'!I39)," ",+'Auditoria CEB'!I39)</f>
        <v xml:space="preserve"> </v>
      </c>
      <c r="H10" s="30" t="str">
        <f>IF(ISBLANK('Auditoria CEB'!AR39)," ",+'Auditoria CEB'!AR39)</f>
        <v xml:space="preserve"> </v>
      </c>
      <c r="I10" s="45" t="str">
        <f>IF(ISBLANK('Auditoria CEB'!K39)," ",+'Auditoria CEB'!K39)</f>
        <v xml:space="preserve"> </v>
      </c>
      <c r="J10" s="30" t="str">
        <f>IF(ISBLANK('Auditoria CEB'!AM39)," ",+'Auditoria CEB'!AM39)</f>
        <v xml:space="preserve"> </v>
      </c>
    </row>
    <row r="11" spans="1:10">
      <c r="A11" s="30" t="str">
        <f>IF(ISBLANK('Auditoria CEB'!$E$6)," ",'Auditoria CEB'!$E$6)</f>
        <v xml:space="preserve"> </v>
      </c>
      <c r="B11" s="30" t="s">
        <v>161</v>
      </c>
      <c r="C11" s="29" t="str">
        <f>IF(ISBLANK('Auditoria CEB'!B40)," ",+'Auditoria CEB'!B40)</f>
        <v xml:space="preserve"> </v>
      </c>
      <c r="D11" s="29" t="str">
        <f>IF(ISBLANK('Auditoria CEB'!D40)," ",+'Auditoria CEB'!D40)</f>
        <v xml:space="preserve"> </v>
      </c>
      <c r="E11" s="29" t="str">
        <f>IF(ISBLANK('Auditoria CEB'!E40)," ",+'Auditoria CEB'!E40)</f>
        <v xml:space="preserve"> </v>
      </c>
      <c r="F11" s="30" t="str">
        <f>IF(ISBLANK('Auditoria CEB'!F20)," ",+'Auditoria CEB'!F20)</f>
        <v xml:space="preserve"> </v>
      </c>
      <c r="G11" s="30" t="str">
        <f>IF(ISBLANK('Auditoria CEB'!I40)," ",+'Auditoria CEB'!I40)</f>
        <v xml:space="preserve"> </v>
      </c>
      <c r="H11" s="30" t="str">
        <f>IF(ISBLANK('Auditoria CEB'!AR40)," ",+'Auditoria CEB'!AR40)</f>
        <v xml:space="preserve"> </v>
      </c>
      <c r="I11" s="45" t="str">
        <f>IF(ISBLANK('Auditoria CEB'!K40)," ",+'Auditoria CEB'!K40)</f>
        <v xml:space="preserve"> </v>
      </c>
      <c r="J11" s="30" t="str">
        <f>IF(ISBLANK('Auditoria CEB'!AM40)," ",+'Auditoria CEB'!AM40)</f>
        <v xml:space="preserve"> </v>
      </c>
    </row>
    <row r="12" spans="1:10">
      <c r="A12" s="30" t="str">
        <f>IF(ISBLANK('Auditoria CEB'!$E$6)," ",'Auditoria CEB'!$E$6)</f>
        <v xml:space="preserve"> </v>
      </c>
      <c r="B12" s="30" t="s">
        <v>161</v>
      </c>
      <c r="C12" s="29" t="str">
        <f>IF(ISBLANK('Auditoria CEB'!B41)," ",+'Auditoria CEB'!B41)</f>
        <v xml:space="preserve"> </v>
      </c>
      <c r="D12" s="29" t="str">
        <f>IF(ISBLANK('Auditoria CEB'!D41)," ",+'Auditoria CEB'!D41)</f>
        <v xml:space="preserve"> </v>
      </c>
      <c r="E12" s="29" t="str">
        <f>IF(ISBLANK('Auditoria CEB'!E41)," ",+'Auditoria CEB'!E41)</f>
        <v xml:space="preserve"> </v>
      </c>
      <c r="F12" s="30" t="str">
        <f>IF(ISBLANK('Auditoria CEB'!F21)," ",+'Auditoria CEB'!F21)</f>
        <v xml:space="preserve"> </v>
      </c>
      <c r="G12" s="30" t="str">
        <f>IF(ISBLANK('Auditoria CEB'!I41)," ",+'Auditoria CEB'!I41)</f>
        <v xml:space="preserve"> </v>
      </c>
      <c r="H12" s="30" t="str">
        <f>IF(ISBLANK('Auditoria CEB'!AR41)," ",+'Auditoria CEB'!AR41)</f>
        <v xml:space="preserve"> </v>
      </c>
      <c r="I12" s="45" t="str">
        <f>IF(ISBLANK('Auditoria CEB'!K41)," ",+'Auditoria CEB'!K41)</f>
        <v xml:space="preserve"> </v>
      </c>
      <c r="J12" s="30" t="str">
        <f>IF(ISBLANK('Auditoria CEB'!AM41)," ",+'Auditoria CEB'!AM41)</f>
        <v xml:space="preserve"> </v>
      </c>
    </row>
    <row r="13" spans="1:10">
      <c r="A13" s="30" t="str">
        <f>IF(ISBLANK('Auditoria CEB'!$E$6)," ",'Auditoria CEB'!$E$6)</f>
        <v xml:space="preserve"> </v>
      </c>
      <c r="B13" s="30" t="s">
        <v>161</v>
      </c>
      <c r="C13" s="29" t="str">
        <f>IF(ISBLANK('Auditoria CEB'!B42)," ",+'Auditoria CEB'!B42)</f>
        <v xml:space="preserve"> </v>
      </c>
      <c r="D13" s="29" t="str">
        <f>IF(ISBLANK('Auditoria CEB'!D42)," ",+'Auditoria CEB'!D42)</f>
        <v xml:space="preserve"> </v>
      </c>
      <c r="E13" s="29" t="str">
        <f>IF(ISBLANK('Auditoria CEB'!E42)," ",+'Auditoria CEB'!E42)</f>
        <v xml:space="preserve"> </v>
      </c>
      <c r="F13" s="30" t="str">
        <f>IF(ISBLANK('Auditoria CEB'!F22)," ",+'Auditoria CEB'!F22)</f>
        <v xml:space="preserve"> </v>
      </c>
      <c r="G13" s="30" t="str">
        <f>IF(ISBLANK('Auditoria CEB'!I42)," ",+'Auditoria CEB'!I42)</f>
        <v xml:space="preserve"> </v>
      </c>
      <c r="H13" s="30" t="str">
        <f>IF(ISBLANK('Auditoria CEB'!AR42)," ",+'Auditoria CEB'!AR42)</f>
        <v xml:space="preserve"> </v>
      </c>
      <c r="I13" s="45" t="str">
        <f>IF(ISBLANK('Auditoria CEB'!K42)," ",+'Auditoria CEB'!K42)</f>
        <v xml:space="preserve"> </v>
      </c>
      <c r="J13" s="30" t="str">
        <f>IF(ISBLANK('Auditoria CEB'!AM42)," ",+'Auditoria CEB'!AM42)</f>
        <v xml:space="preserve"> </v>
      </c>
    </row>
    <row r="14" spans="1:10">
      <c r="A14" s="30" t="str">
        <f>IF(ISBLANK('Auditoria CEB'!$E$6)," ",'Auditoria CEB'!$E$6)</f>
        <v xml:space="preserve"> </v>
      </c>
      <c r="B14" s="30" t="s">
        <v>161</v>
      </c>
      <c r="C14" s="29" t="str">
        <f>IF(ISBLANK('Auditoria CEB'!B43)," ",+'Auditoria CEB'!B43)</f>
        <v xml:space="preserve"> </v>
      </c>
      <c r="D14" s="29" t="str">
        <f>IF(ISBLANK('Auditoria CEB'!D43)," ",+'Auditoria CEB'!D43)</f>
        <v xml:space="preserve"> </v>
      </c>
      <c r="E14" s="29" t="str">
        <f>IF(ISBLANK('Auditoria CEB'!E43)," ",+'Auditoria CEB'!E43)</f>
        <v xml:space="preserve"> </v>
      </c>
      <c r="F14" s="30" t="str">
        <f>IF(ISBLANK('Auditoria CEB'!F23)," ",+'Auditoria CEB'!F23)</f>
        <v xml:space="preserve"> </v>
      </c>
      <c r="G14" s="30" t="str">
        <f>IF(ISBLANK('Auditoria CEB'!I43)," ",+'Auditoria CEB'!I43)</f>
        <v xml:space="preserve"> </v>
      </c>
      <c r="H14" s="30" t="str">
        <f>IF(ISBLANK('Auditoria CEB'!AR43)," ",+'Auditoria CEB'!AR43)</f>
        <v xml:space="preserve"> </v>
      </c>
      <c r="I14" s="45" t="str">
        <f>IF(ISBLANK('Auditoria CEB'!K43)," ",+'Auditoria CEB'!K43)</f>
        <v xml:space="preserve"> </v>
      </c>
      <c r="J14" s="30" t="str">
        <f>IF(ISBLANK('Auditoria CEB'!AM43)," ",+'Auditoria CEB'!AM43)</f>
        <v xml:space="preserve"> </v>
      </c>
    </row>
    <row r="15" spans="1:10">
      <c r="A15" s="30" t="str">
        <f>IF(ISBLANK('Auditoria CEB'!$E$6)," ",'Auditoria CEB'!$E$6)</f>
        <v xml:space="preserve"> </v>
      </c>
      <c r="B15" s="30" t="s">
        <v>161</v>
      </c>
      <c r="C15" s="29" t="str">
        <f>IF(ISBLANK('Auditoria CEB'!B44)," ",+'Auditoria CEB'!B44)</f>
        <v xml:space="preserve"> </v>
      </c>
      <c r="D15" s="29" t="str">
        <f>IF(ISBLANK('Auditoria CEB'!D44)," ",+'Auditoria CEB'!D44)</f>
        <v xml:space="preserve"> </v>
      </c>
      <c r="E15" s="29" t="str">
        <f>IF(ISBLANK('Auditoria CEB'!E44)," ",+'Auditoria CEB'!E44)</f>
        <v xml:space="preserve"> </v>
      </c>
      <c r="F15" s="30" t="str">
        <f>IF(ISBLANK('Auditoria CEB'!F24)," ",+'Auditoria CEB'!F24)</f>
        <v xml:space="preserve"> </v>
      </c>
      <c r="G15" s="30" t="str">
        <f>IF(ISBLANK('Auditoria CEB'!I44)," ",+'Auditoria CEB'!I44)</f>
        <v xml:space="preserve"> </v>
      </c>
      <c r="H15" s="30" t="str">
        <f>IF(ISBLANK('Auditoria CEB'!AR44)," ",+'Auditoria CEB'!AR44)</f>
        <v xml:space="preserve"> </v>
      </c>
      <c r="I15" s="45" t="str">
        <f>IF(ISBLANK('Auditoria CEB'!K44)," ",+'Auditoria CEB'!K44)</f>
        <v xml:space="preserve"> </v>
      </c>
      <c r="J15" s="30" t="str">
        <f>IF(ISBLANK('Auditoria CEB'!AM44)," ",+'Auditoria CEB'!AM44)</f>
        <v xml:space="preserve"> </v>
      </c>
    </row>
    <row r="16" spans="1:10">
      <c r="A16" s="30" t="str">
        <f>IF(ISBLANK('Auditoria CEB'!$E$6)," ",'Auditoria CEB'!$E$6)</f>
        <v xml:space="preserve"> </v>
      </c>
      <c r="B16" s="30" t="s">
        <v>161</v>
      </c>
      <c r="C16" s="29" t="str">
        <f>IF(ISBLANK('Auditoria CEB'!B45)," ",+'Auditoria CEB'!B45)</f>
        <v xml:space="preserve"> </v>
      </c>
      <c r="D16" s="29" t="str">
        <f>IF(ISBLANK('Auditoria CEB'!D45)," ",+'Auditoria CEB'!D45)</f>
        <v xml:space="preserve"> </v>
      </c>
      <c r="E16" s="29" t="str">
        <f>IF(ISBLANK('Auditoria CEB'!E45)," ",+'Auditoria CEB'!E45)</f>
        <v xml:space="preserve"> </v>
      </c>
      <c r="F16" s="30" t="str">
        <f>IF(ISBLANK('Auditoria CEB'!F25)," ",+'Auditoria CEB'!F25)</f>
        <v xml:space="preserve"> </v>
      </c>
      <c r="G16" s="30" t="str">
        <f>IF(ISBLANK('Auditoria CEB'!I45)," ",+'Auditoria CEB'!I45)</f>
        <v xml:space="preserve"> </v>
      </c>
      <c r="H16" s="30" t="str">
        <f>IF(ISBLANK('Auditoria CEB'!AR45)," ",+'Auditoria CEB'!AR45)</f>
        <v xml:space="preserve"> </v>
      </c>
      <c r="I16" s="45" t="str">
        <f>IF(ISBLANK('Auditoria CEB'!K45)," ",+'Auditoria CEB'!K45)</f>
        <v xml:space="preserve"> </v>
      </c>
      <c r="J16" s="30" t="str">
        <f>IF(ISBLANK('Auditoria CEB'!AM45)," ",+'Auditoria CEB'!AM45)</f>
        <v xml:space="preserve"> </v>
      </c>
    </row>
    <row r="17" spans="1:10">
      <c r="A17" s="30" t="str">
        <f>IF(ISBLANK('Auditoria CEB'!$E$6)," ",'Auditoria CEB'!$E$6)</f>
        <v xml:space="preserve"> </v>
      </c>
      <c r="B17" s="30" t="s">
        <v>161</v>
      </c>
      <c r="C17" s="29" t="str">
        <f>IF(ISBLANK('Auditoria CEB'!B46)," ",+'Auditoria CEB'!B46)</f>
        <v xml:space="preserve"> </v>
      </c>
      <c r="D17" s="29" t="str">
        <f>IF(ISBLANK('Auditoria CEB'!D46)," ",+'Auditoria CEB'!D46)</f>
        <v xml:space="preserve"> </v>
      </c>
      <c r="E17" s="29" t="str">
        <f>IF(ISBLANK('Auditoria CEB'!E46)," ",+'Auditoria CEB'!E46)</f>
        <v xml:space="preserve"> </v>
      </c>
      <c r="F17" s="30" t="str">
        <f>IF(ISBLANK('Auditoria CEB'!F26)," ",+'Auditoria CEB'!F26)</f>
        <v xml:space="preserve"> </v>
      </c>
      <c r="G17" s="30" t="str">
        <f>IF(ISBLANK('Auditoria CEB'!I46)," ",+'Auditoria CEB'!I46)</f>
        <v xml:space="preserve"> </v>
      </c>
      <c r="H17" s="30" t="str">
        <f>IF(ISBLANK('Auditoria CEB'!AR46)," ",+'Auditoria CEB'!AR46)</f>
        <v xml:space="preserve"> </v>
      </c>
      <c r="I17" s="45" t="str">
        <f>IF(ISBLANK('Auditoria CEB'!K46)," ",+'Auditoria CEB'!K46)</f>
        <v xml:space="preserve"> </v>
      </c>
      <c r="J17" s="30" t="str">
        <f>IF(ISBLANK('Auditoria CEB'!AM46)," ",+'Auditoria CEB'!AM46)</f>
        <v xml:space="preserve"> </v>
      </c>
    </row>
    <row r="18" spans="1:10">
      <c r="A18" s="30" t="str">
        <f>IF(ISBLANK('Auditoria CEB'!$E$6)," ",'Auditoria CEB'!$E$6)</f>
        <v xml:space="preserve"> </v>
      </c>
      <c r="B18" s="30" t="s">
        <v>161</v>
      </c>
      <c r="C18" s="29" t="str">
        <f>IF(ISBLANK('Auditoria CEB'!B47)," ",+'Auditoria CEB'!B47)</f>
        <v xml:space="preserve"> </v>
      </c>
      <c r="D18" s="29" t="str">
        <f>IF(ISBLANK('Auditoria CEB'!D47)," ",+'Auditoria CEB'!D47)</f>
        <v xml:space="preserve"> </v>
      </c>
      <c r="E18" s="29" t="str">
        <f>IF(ISBLANK('Auditoria CEB'!E47)," ",+'Auditoria CEB'!E47)</f>
        <v xml:space="preserve"> </v>
      </c>
      <c r="F18" s="30" t="str">
        <f>IF(ISBLANK('Auditoria CEB'!F27)," ",+'Auditoria CEB'!F27)</f>
        <v xml:space="preserve"> </v>
      </c>
      <c r="G18" s="30" t="str">
        <f>IF(ISBLANK('Auditoria CEB'!I47)," ",+'Auditoria CEB'!I47)</f>
        <v xml:space="preserve"> </v>
      </c>
      <c r="H18" s="30" t="str">
        <f>IF(ISBLANK('Auditoria CEB'!AR47)," ",+'Auditoria CEB'!AR47)</f>
        <v xml:space="preserve"> </v>
      </c>
      <c r="I18" s="45" t="str">
        <f>IF(ISBLANK('Auditoria CEB'!K47)," ",+'Auditoria CEB'!K47)</f>
        <v xml:space="preserve"> </v>
      </c>
      <c r="J18" s="30" t="str">
        <f>IF(ISBLANK('Auditoria CEB'!AM47)," ",+'Auditoria CEB'!AM47)</f>
        <v xml:space="preserve"> </v>
      </c>
    </row>
    <row r="19" spans="1:10">
      <c r="A19" s="30" t="str">
        <f>IF(ISBLANK('Auditoria CEB'!$E$6)," ",'Auditoria CEB'!$E$6)</f>
        <v xml:space="preserve"> </v>
      </c>
      <c r="B19" s="30" t="s">
        <v>161</v>
      </c>
      <c r="C19" s="29" t="str">
        <f>IF(ISBLANK('Auditoria CEB'!B48)," ",+'Auditoria CEB'!B48)</f>
        <v xml:space="preserve"> </v>
      </c>
      <c r="D19" s="29" t="str">
        <f>IF(ISBLANK('Auditoria CEB'!D48)," ",+'Auditoria CEB'!D48)</f>
        <v xml:space="preserve"> </v>
      </c>
      <c r="E19" s="29" t="str">
        <f>IF(ISBLANK('Auditoria CEB'!E48)," ",+'Auditoria CEB'!E48)</f>
        <v xml:space="preserve"> </v>
      </c>
      <c r="F19" s="30" t="str">
        <f>IF(ISBLANK('Auditoria CEB'!F28)," ",+'Auditoria CEB'!F28)</f>
        <v xml:space="preserve"> </v>
      </c>
      <c r="G19" s="30" t="str">
        <f>IF(ISBLANK('Auditoria CEB'!I48)," ",+'Auditoria CEB'!I48)</f>
        <v xml:space="preserve"> </v>
      </c>
      <c r="H19" s="30" t="str">
        <f>IF(ISBLANK('Auditoria CEB'!AR48)," ",+'Auditoria CEB'!AR48)</f>
        <v xml:space="preserve"> </v>
      </c>
      <c r="I19" s="45" t="str">
        <f>IF(ISBLANK('Auditoria CEB'!K48)," ",+'Auditoria CEB'!K48)</f>
        <v xml:space="preserve"> </v>
      </c>
      <c r="J19" s="30" t="str">
        <f>IF(ISBLANK('Auditoria CEB'!AM48)," ",+'Auditoria CEB'!AM48)</f>
        <v xml:space="preserve"> </v>
      </c>
    </row>
    <row r="20" spans="1:10">
      <c r="A20" s="30" t="str">
        <f>IF(ISBLANK('Auditoria CEB'!$E$6)," ",'Auditoria CEB'!$E$6)</f>
        <v xml:space="preserve"> </v>
      </c>
      <c r="B20" s="30" t="s">
        <v>161</v>
      </c>
      <c r="C20" s="29" t="str">
        <f>IF(ISBLANK('Auditoria CEB'!B49)," ",+'Auditoria CEB'!B49)</f>
        <v xml:space="preserve"> </v>
      </c>
      <c r="D20" s="29" t="str">
        <f>IF(ISBLANK('Auditoria CEB'!D49)," ",+'Auditoria CEB'!D49)</f>
        <v xml:space="preserve"> </v>
      </c>
      <c r="E20" s="29" t="str">
        <f>IF(ISBLANK('Auditoria CEB'!E49)," ",+'Auditoria CEB'!E49)</f>
        <v xml:space="preserve"> </v>
      </c>
      <c r="F20" s="30" t="str">
        <f>IF(ISBLANK('Auditoria CEB'!F29)," ",+'Auditoria CEB'!F29)</f>
        <v xml:space="preserve"> </v>
      </c>
      <c r="G20" s="30" t="str">
        <f>IF(ISBLANK('Auditoria CEB'!I49)," ",+'Auditoria CEB'!I49)</f>
        <v xml:space="preserve"> </v>
      </c>
      <c r="H20" s="30" t="str">
        <f>IF(ISBLANK('Auditoria CEB'!AR49)," ",+'Auditoria CEB'!AR49)</f>
        <v xml:space="preserve"> </v>
      </c>
      <c r="I20" s="45" t="str">
        <f>IF(ISBLANK('Auditoria CEB'!K49)," ",+'Auditoria CEB'!K49)</f>
        <v xml:space="preserve"> </v>
      </c>
      <c r="J20" s="30" t="str">
        <f>IF(ISBLANK('Auditoria CEB'!AM49)," ",+'Auditoria CEB'!AM49)</f>
        <v xml:space="preserve"> </v>
      </c>
    </row>
    <row r="21" spans="1:10">
      <c r="A21" s="30" t="str">
        <f>IF(ISBLANK('Auditoria CEB'!$E$6)," ",'Auditoria CEB'!$E$6)</f>
        <v xml:space="preserve"> </v>
      </c>
      <c r="B21" s="30" t="s">
        <v>161</v>
      </c>
      <c r="C21" s="29" t="str">
        <f>IF(ISBLANK('Auditoria CEB'!B50)," ",+'Auditoria CEB'!B50)</f>
        <v xml:space="preserve"> </v>
      </c>
      <c r="D21" s="29" t="str">
        <f>IF(ISBLANK('Auditoria CEB'!D50)," ",+'Auditoria CEB'!D50)</f>
        <v xml:space="preserve"> </v>
      </c>
      <c r="E21" s="29" t="str">
        <f>IF(ISBLANK('Auditoria CEB'!E50)," ",+'Auditoria CEB'!E50)</f>
        <v xml:space="preserve"> </v>
      </c>
      <c r="F21" s="30" t="str">
        <f>IF(ISBLANK('Auditoria CEB'!F30)," ",+'Auditoria CEB'!F30)</f>
        <v xml:space="preserve"> </v>
      </c>
      <c r="G21" s="30" t="str">
        <f>IF(ISBLANK('Auditoria CEB'!I50)," ",+'Auditoria CEB'!I50)</f>
        <v xml:space="preserve"> </v>
      </c>
      <c r="H21" s="30" t="str">
        <f>IF(ISBLANK('Auditoria CEB'!AR50)," ",+'Auditoria CEB'!AR50)</f>
        <v xml:space="preserve"> </v>
      </c>
      <c r="I21" s="45" t="str">
        <f>IF(ISBLANK('Auditoria CEB'!K50)," ",+'Auditoria CEB'!K50)</f>
        <v xml:space="preserve"> </v>
      </c>
      <c r="J21" s="30" t="str">
        <f>IF(ISBLANK('Auditoria CEB'!AM50)," ",+'Auditoria CEB'!AM50)</f>
        <v xml:space="preserve"> </v>
      </c>
    </row>
    <row r="22" spans="1:10">
      <c r="A22" s="30" t="str">
        <f>IF(ISBLANK('Auditoria CEB'!$E$6)," ",'Auditoria CEB'!$E$6)</f>
        <v xml:space="preserve"> </v>
      </c>
      <c r="B22" s="30" t="s">
        <v>161</v>
      </c>
      <c r="C22" s="29" t="str">
        <f>IF(ISBLANK('Auditoria CEB'!B51)," ",+'Auditoria CEB'!B51)</f>
        <v xml:space="preserve"> </v>
      </c>
      <c r="D22" s="29" t="str">
        <f>IF(ISBLANK('Auditoria CEB'!D51)," ",+'Auditoria CEB'!D51)</f>
        <v xml:space="preserve"> </v>
      </c>
      <c r="E22" s="29" t="str">
        <f>IF(ISBLANK('Auditoria CEB'!E51)," ",+'Auditoria CEB'!E51)</f>
        <v xml:space="preserve"> </v>
      </c>
      <c r="F22" s="30" t="str">
        <f>IF(ISBLANK('Auditoria CEB'!F31)," ",+'Auditoria CEB'!F31)</f>
        <v xml:space="preserve"> </v>
      </c>
      <c r="G22" s="30" t="str">
        <f>IF(ISBLANK('Auditoria CEB'!I51)," ",+'Auditoria CEB'!I51)</f>
        <v xml:space="preserve"> </v>
      </c>
      <c r="H22" s="30" t="str">
        <f>IF(ISBLANK('Auditoria CEB'!AR51)," ",+'Auditoria CEB'!AR51)</f>
        <v xml:space="preserve"> </v>
      </c>
      <c r="I22" s="45" t="str">
        <f>IF(ISBLANK('Auditoria CEB'!K51)," ",+'Auditoria CEB'!K51)</f>
        <v xml:space="preserve"> </v>
      </c>
      <c r="J22" s="30" t="str">
        <f>IF(ISBLANK('Auditoria CEB'!AM51)," ",+'Auditoria CEB'!AM51)</f>
        <v xml:space="preserve"> </v>
      </c>
    </row>
    <row r="23" spans="1:10">
      <c r="A23" s="30" t="str">
        <f>IF(ISBLANK('Auditoria CEB'!$E$6)," ",'Auditoria CEB'!$E$6)</f>
        <v xml:space="preserve"> </v>
      </c>
      <c r="B23" s="30" t="s">
        <v>161</v>
      </c>
      <c r="C23" s="29" t="str">
        <f>IF(ISBLANK('Auditoria CEB'!B52)," ",+'Auditoria CEB'!B52)</f>
        <v xml:space="preserve"> </v>
      </c>
      <c r="D23" s="29" t="str">
        <f>IF(ISBLANK('Auditoria CEB'!D52)," ",+'Auditoria CEB'!D52)</f>
        <v xml:space="preserve"> </v>
      </c>
      <c r="E23" s="29" t="str">
        <f>IF(ISBLANK('Auditoria CEB'!E52)," ",+'Auditoria CEB'!E52)</f>
        <v xml:space="preserve"> </v>
      </c>
      <c r="F23" s="30" t="str">
        <f>IF(ISBLANK('Auditoria CEB'!F32)," ",+'Auditoria CEB'!F32)</f>
        <v xml:space="preserve"> </v>
      </c>
      <c r="G23" s="30" t="str">
        <f>IF(ISBLANK('Auditoria CEB'!I52)," ",+'Auditoria CEB'!I52)</f>
        <v xml:space="preserve"> </v>
      </c>
      <c r="H23" s="30" t="str">
        <f>IF(ISBLANK('Auditoria CEB'!AR52)," ",+'Auditoria CEB'!AR52)</f>
        <v xml:space="preserve"> </v>
      </c>
      <c r="I23" s="45" t="str">
        <f>IF(ISBLANK('Auditoria CEB'!K52)," ",+'Auditoria CEB'!K52)</f>
        <v xml:space="preserve"> </v>
      </c>
      <c r="J23" s="30" t="str">
        <f>IF(ISBLANK('Auditoria CEB'!AM52)," ",+'Auditoria CEB'!AM52)</f>
        <v xml:space="preserve"> </v>
      </c>
    </row>
    <row r="24" spans="1:10">
      <c r="A24" s="30" t="str">
        <f>IF(ISBLANK('Auditoria CEB'!$E$6)," ",'Auditoria CEB'!$E$6)</f>
        <v xml:space="preserve"> </v>
      </c>
      <c r="B24" s="30" t="s">
        <v>161</v>
      </c>
      <c r="C24" s="29" t="str">
        <f>IF(ISBLANK('Auditoria CEB'!B53)," ",+'Auditoria CEB'!B53)</f>
        <v xml:space="preserve"> </v>
      </c>
      <c r="D24" s="29" t="str">
        <f>IF(ISBLANK('Auditoria CEB'!D53)," ",+'Auditoria CEB'!D53)</f>
        <v xml:space="preserve"> </v>
      </c>
      <c r="E24" s="29" t="str">
        <f>IF(ISBLANK('Auditoria CEB'!E53)," ",+'Auditoria CEB'!E53)</f>
        <v xml:space="preserve"> </v>
      </c>
      <c r="F24" s="30" t="str">
        <f>IF(ISBLANK('Auditoria CEB'!F33)," ",+'Auditoria CEB'!F33)</f>
        <v xml:space="preserve"> </v>
      </c>
      <c r="G24" s="30" t="str">
        <f>IF(ISBLANK('Auditoria CEB'!I53)," ",+'Auditoria CEB'!I53)</f>
        <v xml:space="preserve"> </v>
      </c>
      <c r="H24" s="30" t="str">
        <f>IF(ISBLANK('Auditoria CEB'!AR53)," ",+'Auditoria CEB'!AR53)</f>
        <v xml:space="preserve"> </v>
      </c>
      <c r="I24" s="45" t="str">
        <f>IF(ISBLANK('Auditoria CEB'!K53)," ",+'Auditoria CEB'!K53)</f>
        <v xml:space="preserve"> </v>
      </c>
      <c r="J24" s="30" t="str">
        <f>IF(ISBLANK('Auditoria CEB'!AM53)," ",+'Auditoria CEB'!AM53)</f>
        <v xml:space="preserve"> </v>
      </c>
    </row>
    <row r="25" spans="1:10">
      <c r="A25" s="30" t="str">
        <f>IF(ISBLANK('Auditoria CEB'!$E$6)," ",'Auditoria CEB'!$E$6)</f>
        <v xml:space="preserve"> </v>
      </c>
      <c r="B25" s="30" t="s">
        <v>161</v>
      </c>
      <c r="C25" s="29" t="str">
        <f>IF(ISBLANK('Auditoria CEB'!B54)," ",+'Auditoria CEB'!B54)</f>
        <v xml:space="preserve"> </v>
      </c>
      <c r="D25" s="29" t="str">
        <f>IF(ISBLANK('Auditoria CEB'!D54)," ",+'Auditoria CEB'!D54)</f>
        <v xml:space="preserve"> </v>
      </c>
      <c r="E25" s="29" t="str">
        <f>IF(ISBLANK('Auditoria CEB'!E54)," ",+'Auditoria CEB'!E54)</f>
        <v xml:space="preserve"> </v>
      </c>
      <c r="F25" s="30" t="str">
        <f>IF(ISBLANK('Auditoria CEB'!F34)," ",+'Auditoria CEB'!F34)</f>
        <v xml:space="preserve"> </v>
      </c>
      <c r="G25" s="30" t="str">
        <f>IF(ISBLANK('Auditoria CEB'!I54)," ",+'Auditoria CEB'!I54)</f>
        <v xml:space="preserve"> </v>
      </c>
      <c r="H25" s="30" t="str">
        <f>IF(ISBLANK('Auditoria CEB'!AR54)," ",+'Auditoria CEB'!AR54)</f>
        <v xml:space="preserve"> </v>
      </c>
      <c r="I25" s="45" t="str">
        <f>IF(ISBLANK('Auditoria CEB'!K54)," ",+'Auditoria CEB'!K54)</f>
        <v xml:space="preserve"> </v>
      </c>
      <c r="J25" s="30" t="str">
        <f>IF(ISBLANK('Auditoria CEB'!AM54)," ",+'Auditoria CEB'!AM54)</f>
        <v xml:space="preserve"> </v>
      </c>
    </row>
    <row r="26" spans="1:10">
      <c r="A26" s="30" t="str">
        <f>IF(ISBLANK('Auditoria CEB'!$E$6)," ",'Auditoria CEB'!$E$6)</f>
        <v xml:space="preserve"> </v>
      </c>
      <c r="B26" s="30" t="s">
        <v>161</v>
      </c>
      <c r="C26" s="29" t="str">
        <f>IF(ISBLANK('Auditoria CEB'!B55)," ",+'Auditoria CEB'!B55)</f>
        <v xml:space="preserve"> </v>
      </c>
      <c r="D26" s="29" t="str">
        <f>IF(ISBLANK('Auditoria CEB'!D55)," ",+'Auditoria CEB'!D55)</f>
        <v xml:space="preserve"> </v>
      </c>
      <c r="E26" s="29" t="str">
        <f>IF(ISBLANK('Auditoria CEB'!E55)," ",+'Auditoria CEB'!E55)</f>
        <v xml:space="preserve"> </v>
      </c>
      <c r="F26" s="30" t="str">
        <f>IF(ISBLANK('Auditoria CEB'!F35)," ",+'Auditoria CEB'!F35)</f>
        <v xml:space="preserve"> </v>
      </c>
      <c r="G26" s="30" t="str">
        <f>IF(ISBLANK('Auditoria CEB'!I55)," ",+'Auditoria CEB'!I55)</f>
        <v xml:space="preserve"> </v>
      </c>
      <c r="H26" s="30" t="str">
        <f>IF(ISBLANK('Auditoria CEB'!AR55)," ",+'Auditoria CEB'!AR55)</f>
        <v xml:space="preserve"> </v>
      </c>
      <c r="I26" s="45" t="str">
        <f>IF(ISBLANK('Auditoria CEB'!K55)," ",+'Auditoria CEB'!K55)</f>
        <v xml:space="preserve"> </v>
      </c>
      <c r="J26" s="30" t="str">
        <f>IF(ISBLANK('Auditoria CEB'!AM55)," ",+'Auditoria CEB'!AM55)</f>
        <v xml:space="preserve"> </v>
      </c>
    </row>
    <row r="27" spans="1:10">
      <c r="A27" s="30" t="str">
        <f>IF(ISBLANK('Auditoria CEB'!$E$6)," ",'Auditoria CEB'!$E$6)</f>
        <v xml:space="preserve"> </v>
      </c>
      <c r="B27" s="30" t="s">
        <v>161</v>
      </c>
      <c r="C27" s="29" t="str">
        <f>IF(ISBLANK('Auditoria CEB'!B56)," ",+'Auditoria CEB'!B56)</f>
        <v xml:space="preserve"> </v>
      </c>
      <c r="D27" s="29" t="str">
        <f>IF(ISBLANK('Auditoria CEB'!D56)," ",+'Auditoria CEB'!D56)</f>
        <v xml:space="preserve"> </v>
      </c>
      <c r="E27" s="29" t="str">
        <f>IF(ISBLANK('Auditoria CEB'!E56)," ",+'Auditoria CEB'!E56)</f>
        <v xml:space="preserve"> </v>
      </c>
      <c r="F27" s="30" t="str">
        <f>IF(ISBLANK('Auditoria CEB'!F36)," ",+'Auditoria CEB'!F36)</f>
        <v xml:space="preserve"> </v>
      </c>
      <c r="G27" s="30" t="str">
        <f>IF(ISBLANK('Auditoria CEB'!I56)," ",+'Auditoria CEB'!I56)</f>
        <v xml:space="preserve"> </v>
      </c>
      <c r="H27" s="30" t="str">
        <f>IF(ISBLANK('Auditoria CEB'!AR56)," ",+'Auditoria CEB'!AR56)</f>
        <v xml:space="preserve"> </v>
      </c>
      <c r="I27" s="45" t="str">
        <f>IF(ISBLANK('Auditoria CEB'!K56)," ",+'Auditoria CEB'!K56)</f>
        <v xml:space="preserve"> </v>
      </c>
      <c r="J27" s="30" t="str">
        <f>IF(ISBLANK('Auditoria CEB'!AM56)," ",+'Auditoria CEB'!AM56)</f>
        <v xml:space="preserve"> </v>
      </c>
    </row>
    <row r="28" spans="1:10">
      <c r="A28" s="30" t="str">
        <f>IF(ISBLANK('Auditoria CEB'!$E$6)," ",'Auditoria CEB'!$E$6)</f>
        <v xml:space="preserve"> </v>
      </c>
      <c r="B28" s="30" t="s">
        <v>161</v>
      </c>
      <c r="C28" s="29" t="str">
        <f>IF(ISBLANK('Auditoria CEB'!B57)," ",+'Auditoria CEB'!B57)</f>
        <v xml:space="preserve"> </v>
      </c>
      <c r="D28" s="29" t="str">
        <f>IF(ISBLANK('Auditoria CEB'!D57)," ",+'Auditoria CEB'!D57)</f>
        <v xml:space="preserve"> </v>
      </c>
      <c r="E28" s="29" t="str">
        <f>IF(ISBLANK('Auditoria CEB'!E57)," ",+'Auditoria CEB'!E57)</f>
        <v xml:space="preserve"> </v>
      </c>
      <c r="F28" s="30" t="str">
        <f>IF(ISBLANK('Auditoria CEB'!F37)," ",+'Auditoria CEB'!F37)</f>
        <v xml:space="preserve"> </v>
      </c>
      <c r="G28" s="30" t="str">
        <f>IF(ISBLANK('Auditoria CEB'!I57)," ",+'Auditoria CEB'!I57)</f>
        <v xml:space="preserve"> </v>
      </c>
      <c r="H28" s="30" t="str">
        <f>IF(ISBLANK('Auditoria CEB'!AR57)," ",+'Auditoria CEB'!AR57)</f>
        <v xml:space="preserve"> </v>
      </c>
      <c r="I28" s="45" t="str">
        <f>IF(ISBLANK('Auditoria CEB'!K57)," ",+'Auditoria CEB'!K57)</f>
        <v xml:space="preserve"> </v>
      </c>
      <c r="J28" s="30" t="str">
        <f>IF(ISBLANK('Auditoria CEB'!AM57)," ",+'Auditoria CEB'!AM57)</f>
        <v xml:space="preserve"> </v>
      </c>
    </row>
    <row r="29" spans="1:10">
      <c r="A29" s="30" t="str">
        <f>IF(ISBLANK('Auditoria CEB'!$E$6)," ",'Auditoria CEB'!$E$6)</f>
        <v xml:space="preserve"> </v>
      </c>
      <c r="B29" s="30" t="s">
        <v>161</v>
      </c>
      <c r="C29" s="29" t="str">
        <f>IF(ISBLANK('Auditoria CEB'!B58)," ",+'Auditoria CEB'!B58)</f>
        <v xml:space="preserve"> </v>
      </c>
      <c r="D29" s="29" t="str">
        <f>IF(ISBLANK('Auditoria CEB'!D58)," ",+'Auditoria CEB'!D58)</f>
        <v xml:space="preserve"> </v>
      </c>
      <c r="E29" s="29" t="str">
        <f>IF(ISBLANK('Auditoria CEB'!E58)," ",+'Auditoria CEB'!E58)</f>
        <v xml:space="preserve"> </v>
      </c>
      <c r="F29" s="30" t="str">
        <f>IF(ISBLANK('Auditoria CEB'!F38)," ",+'Auditoria CEB'!F38)</f>
        <v xml:space="preserve"> </v>
      </c>
      <c r="G29" s="30" t="str">
        <f>IF(ISBLANK('Auditoria CEB'!I58)," ",+'Auditoria CEB'!I58)</f>
        <v xml:space="preserve"> </v>
      </c>
      <c r="H29" s="30" t="str">
        <f>IF(ISBLANK('Auditoria CEB'!AR58)," ",+'Auditoria CEB'!AR58)</f>
        <v xml:space="preserve"> </v>
      </c>
      <c r="I29" s="45" t="str">
        <f>IF(ISBLANK('Auditoria CEB'!K58)," ",+'Auditoria CEB'!K58)</f>
        <v xml:space="preserve"> </v>
      </c>
      <c r="J29" s="30" t="str">
        <f>IF(ISBLANK('Auditoria CEB'!AM58)," ",+'Auditoria CEB'!AM58)</f>
        <v xml:space="preserve"> </v>
      </c>
    </row>
    <row r="30" spans="1:10">
      <c r="A30" s="30" t="str">
        <f>IF(ISBLANK('Auditoria CEB'!$E$6)," ",'Auditoria CEB'!$E$6)</f>
        <v xml:space="preserve"> </v>
      </c>
      <c r="B30" s="30" t="s">
        <v>161</v>
      </c>
      <c r="C30" s="29" t="str">
        <f>IF(ISBLANK('Auditoria CEB'!B59)," ",+'Auditoria CEB'!B59)</f>
        <v xml:space="preserve"> </v>
      </c>
      <c r="D30" s="29" t="str">
        <f>IF(ISBLANK('Auditoria CEB'!D59)," ",+'Auditoria CEB'!D59)</f>
        <v xml:space="preserve"> </v>
      </c>
      <c r="E30" s="29" t="str">
        <f>IF(ISBLANK('Auditoria CEB'!E59)," ",+'Auditoria CEB'!E59)</f>
        <v xml:space="preserve"> </v>
      </c>
      <c r="F30" s="30" t="str">
        <f>IF(ISBLANK('Auditoria CEB'!F39)," ",+'Auditoria CEB'!F39)</f>
        <v xml:space="preserve"> </v>
      </c>
      <c r="G30" s="30" t="str">
        <f>IF(ISBLANK('Auditoria CEB'!I59)," ",+'Auditoria CEB'!I59)</f>
        <v xml:space="preserve"> </v>
      </c>
      <c r="H30" s="30" t="str">
        <f>IF(ISBLANK('Auditoria CEB'!AR59)," ",+'Auditoria CEB'!AR59)</f>
        <v xml:space="preserve"> </v>
      </c>
      <c r="I30" s="45" t="str">
        <f>IF(ISBLANK('Auditoria CEB'!K59)," ",+'Auditoria CEB'!K59)</f>
        <v xml:space="preserve"> </v>
      </c>
      <c r="J30" s="30" t="str">
        <f>IF(ISBLANK('Auditoria CEB'!AM59)," ",+'Auditoria CEB'!AM59)</f>
        <v xml:space="preserve"> </v>
      </c>
    </row>
    <row r="31" spans="1:10">
      <c r="A31" s="30" t="str">
        <f>IF(ISBLANK('Auditoria CEB'!$E$6)," ",'Auditoria CEB'!$E$6)</f>
        <v xml:space="preserve"> </v>
      </c>
      <c r="B31" s="30" t="s">
        <v>161</v>
      </c>
      <c r="C31" s="29" t="str">
        <f>IF(ISBLANK('Auditoria CEB'!B60)," ",+'Auditoria CEB'!B60)</f>
        <v xml:space="preserve"> </v>
      </c>
      <c r="D31" s="29" t="str">
        <f>IF(ISBLANK('Auditoria CEB'!D60)," ",+'Auditoria CEB'!D60)</f>
        <v xml:space="preserve"> </v>
      </c>
      <c r="E31" s="29" t="str">
        <f>IF(ISBLANK('Auditoria CEB'!E60)," ",+'Auditoria CEB'!E60)</f>
        <v xml:space="preserve"> </v>
      </c>
      <c r="F31" s="30" t="str">
        <f>IF(ISBLANK('Auditoria CEB'!F40)," ",+'Auditoria CEB'!F40)</f>
        <v xml:space="preserve"> </v>
      </c>
      <c r="G31" s="30" t="str">
        <f>IF(ISBLANK('Auditoria CEB'!I60)," ",+'Auditoria CEB'!I60)</f>
        <v xml:space="preserve"> </v>
      </c>
      <c r="H31" s="30" t="str">
        <f>IF(ISBLANK('Auditoria CEB'!AR60)," ",+'Auditoria CEB'!AR60)</f>
        <v xml:space="preserve"> </v>
      </c>
      <c r="I31" s="45" t="str">
        <f>IF(ISBLANK('Auditoria CEB'!K60)," ",+'Auditoria CEB'!K60)</f>
        <v xml:space="preserve"> </v>
      </c>
      <c r="J31" s="30" t="str">
        <f>IF(ISBLANK('Auditoria CEB'!AM60)," ",+'Auditoria CEB'!AM60)</f>
        <v xml:space="preserve"> </v>
      </c>
    </row>
    <row r="32" spans="1:10">
      <c r="A32" s="30" t="str">
        <f>IF(ISBLANK('Auditoria CEB'!$E$6)," ",'Auditoria CEB'!$E$6)</f>
        <v xml:space="preserve"> </v>
      </c>
      <c r="B32" s="30" t="s">
        <v>161</v>
      </c>
      <c r="C32" s="29" t="str">
        <f>IF(ISBLANK('Auditoria CEB'!B61)," ",+'Auditoria CEB'!B61)</f>
        <v xml:space="preserve"> </v>
      </c>
      <c r="D32" s="29" t="str">
        <f>IF(ISBLANK('Auditoria CEB'!D61)," ",+'Auditoria CEB'!D61)</f>
        <v xml:space="preserve"> </v>
      </c>
      <c r="E32" s="29" t="str">
        <f>IF(ISBLANK('Auditoria CEB'!E61)," ",+'Auditoria CEB'!E61)</f>
        <v xml:space="preserve"> </v>
      </c>
      <c r="F32" s="30" t="str">
        <f>IF(ISBLANK('Auditoria CEB'!F41)," ",+'Auditoria CEB'!F41)</f>
        <v xml:space="preserve"> </v>
      </c>
      <c r="G32" s="30" t="str">
        <f>IF(ISBLANK('Auditoria CEB'!I61)," ",+'Auditoria CEB'!I61)</f>
        <v xml:space="preserve"> </v>
      </c>
      <c r="H32" s="30" t="str">
        <f>IF(ISBLANK('Auditoria CEB'!AR61)," ",+'Auditoria CEB'!AR61)</f>
        <v xml:space="preserve"> </v>
      </c>
      <c r="I32" s="45" t="str">
        <f>IF(ISBLANK('Auditoria CEB'!K61)," ",+'Auditoria CEB'!K61)</f>
        <v xml:space="preserve"> </v>
      </c>
      <c r="J32" s="30" t="str">
        <f>IF(ISBLANK('Auditoria CEB'!AM61)," ",+'Auditoria CEB'!AM61)</f>
        <v xml:space="preserve"> </v>
      </c>
    </row>
    <row r="33" spans="1:10">
      <c r="A33" s="30" t="str">
        <f>IF(ISBLANK('Auditoria CEB'!$E$6)," ",'Auditoria CEB'!$E$6)</f>
        <v xml:space="preserve"> </v>
      </c>
      <c r="B33" s="30" t="s">
        <v>161</v>
      </c>
      <c r="C33" s="29" t="str">
        <f>IF(ISBLANK('Auditoria CEB'!B62)," ",+'Auditoria CEB'!B62)</f>
        <v xml:space="preserve"> </v>
      </c>
      <c r="D33" s="29" t="str">
        <f>IF(ISBLANK('Auditoria CEB'!D62)," ",+'Auditoria CEB'!D62)</f>
        <v xml:space="preserve"> </v>
      </c>
      <c r="E33" s="29" t="str">
        <f>IF(ISBLANK('Auditoria CEB'!E62)," ",+'Auditoria CEB'!E62)</f>
        <v xml:space="preserve"> </v>
      </c>
      <c r="F33" s="30" t="str">
        <f>IF(ISBLANK('Auditoria CEB'!F42)," ",+'Auditoria CEB'!F42)</f>
        <v xml:space="preserve"> </v>
      </c>
      <c r="G33" s="30" t="str">
        <f>IF(ISBLANK('Auditoria CEB'!I62)," ",+'Auditoria CEB'!I62)</f>
        <v xml:space="preserve"> </v>
      </c>
      <c r="H33" s="30" t="str">
        <f>IF(ISBLANK('Auditoria CEB'!AR62)," ",+'Auditoria CEB'!AR62)</f>
        <v xml:space="preserve"> </v>
      </c>
      <c r="I33" s="45" t="str">
        <f>IF(ISBLANK('Auditoria CEB'!K62)," ",+'Auditoria CEB'!K62)</f>
        <v xml:space="preserve"> </v>
      </c>
      <c r="J33" s="30" t="str">
        <f>IF(ISBLANK('Auditoria CEB'!AM62)," ",+'Auditoria CEB'!AM62)</f>
        <v xml:space="preserve"> </v>
      </c>
    </row>
    <row r="34" spans="1:10">
      <c r="A34" s="30" t="str">
        <f>IF(ISBLANK('Auditoria CEB'!$E$6)," ",'Auditoria CEB'!$E$6)</f>
        <v xml:space="preserve"> </v>
      </c>
      <c r="B34" s="30" t="s">
        <v>161</v>
      </c>
      <c r="C34" s="29" t="str">
        <f>IF(ISBLANK('Auditoria CEB'!B63)," ",+'Auditoria CEB'!B63)</f>
        <v xml:space="preserve"> </v>
      </c>
      <c r="D34" s="29" t="str">
        <f>IF(ISBLANK('Auditoria CEB'!D63)," ",+'Auditoria CEB'!D63)</f>
        <v xml:space="preserve"> </v>
      </c>
      <c r="E34" s="29" t="str">
        <f>IF(ISBLANK('Auditoria CEB'!E63)," ",+'Auditoria CEB'!E63)</f>
        <v xml:space="preserve"> </v>
      </c>
      <c r="F34" s="30" t="str">
        <f>IF(ISBLANK('Auditoria CEB'!F43)," ",+'Auditoria CEB'!F43)</f>
        <v xml:space="preserve"> </v>
      </c>
      <c r="G34" s="30" t="str">
        <f>IF(ISBLANK('Auditoria CEB'!I63)," ",+'Auditoria CEB'!I63)</f>
        <v xml:space="preserve"> </v>
      </c>
      <c r="H34" s="30" t="str">
        <f>IF(ISBLANK('Auditoria CEB'!AR63)," ",+'Auditoria CEB'!AR63)</f>
        <v xml:space="preserve"> </v>
      </c>
      <c r="I34" s="45" t="str">
        <f>IF(ISBLANK('Auditoria CEB'!K63)," ",+'Auditoria CEB'!K63)</f>
        <v xml:space="preserve"> </v>
      </c>
      <c r="J34" s="30" t="str">
        <f>IF(ISBLANK('Auditoria CEB'!AM63)," ",+'Auditoria CEB'!AM63)</f>
        <v xml:space="preserve"> </v>
      </c>
    </row>
    <row r="35" spans="1:10">
      <c r="A35" s="30" t="str">
        <f>IF(ISBLANK('Auditoria CEB'!$E$6)," ",'Auditoria CEB'!$E$6)</f>
        <v xml:space="preserve"> </v>
      </c>
      <c r="B35" s="30" t="s">
        <v>161</v>
      </c>
      <c r="C35" s="29" t="str">
        <f>IF(ISBLANK('Auditoria CEB'!B64)," ",+'Auditoria CEB'!B64)</f>
        <v xml:space="preserve"> </v>
      </c>
      <c r="D35" s="29" t="str">
        <f>IF(ISBLANK('Auditoria CEB'!D64)," ",+'Auditoria CEB'!D64)</f>
        <v xml:space="preserve"> </v>
      </c>
      <c r="E35" s="29" t="str">
        <f>IF(ISBLANK('Auditoria CEB'!E64)," ",+'Auditoria CEB'!E64)</f>
        <v xml:space="preserve"> </v>
      </c>
      <c r="F35" s="30" t="str">
        <f>IF(ISBLANK('Auditoria CEB'!F44)," ",+'Auditoria CEB'!F44)</f>
        <v xml:space="preserve"> </v>
      </c>
      <c r="G35" s="30" t="str">
        <f>IF(ISBLANK('Auditoria CEB'!I64)," ",+'Auditoria CEB'!I64)</f>
        <v xml:space="preserve"> </v>
      </c>
      <c r="H35" s="30" t="str">
        <f>IF(ISBLANK('Auditoria CEB'!AR64)," ",+'Auditoria CEB'!AR64)</f>
        <v xml:space="preserve"> </v>
      </c>
      <c r="I35" s="45" t="str">
        <f>IF(ISBLANK('Auditoria CEB'!K64)," ",+'Auditoria CEB'!K64)</f>
        <v xml:space="preserve"> </v>
      </c>
      <c r="J35" s="30" t="str">
        <f>IF(ISBLANK('Auditoria CEB'!AM64)," ",+'Auditoria CEB'!AM64)</f>
        <v xml:space="preserve"> </v>
      </c>
    </row>
    <row r="36" spans="1:10">
      <c r="A36" s="30" t="str">
        <f>IF(ISBLANK('Auditoria CEB'!$E$6)," ",'Auditoria CEB'!$E$6)</f>
        <v xml:space="preserve"> </v>
      </c>
      <c r="B36" s="30" t="s">
        <v>161</v>
      </c>
      <c r="C36" s="29" t="str">
        <f>IF(ISBLANK('Auditoria CEB'!B65)," ",+'Auditoria CEB'!B65)</f>
        <v xml:space="preserve"> </v>
      </c>
      <c r="D36" s="29" t="str">
        <f>IF(ISBLANK('Auditoria CEB'!D65)," ",+'Auditoria CEB'!D65)</f>
        <v xml:space="preserve"> </v>
      </c>
      <c r="E36" s="29" t="str">
        <f>IF(ISBLANK('Auditoria CEB'!E65)," ",+'Auditoria CEB'!E65)</f>
        <v xml:space="preserve"> </v>
      </c>
      <c r="F36" s="30" t="str">
        <f>IF(ISBLANK('Auditoria CEB'!F45)," ",+'Auditoria CEB'!F45)</f>
        <v xml:space="preserve"> </v>
      </c>
      <c r="G36" s="30" t="str">
        <f>IF(ISBLANK('Auditoria CEB'!I65)," ",+'Auditoria CEB'!I65)</f>
        <v xml:space="preserve"> </v>
      </c>
      <c r="H36" s="30" t="str">
        <f>IF(ISBLANK('Auditoria CEB'!AR65)," ",+'Auditoria CEB'!AR65)</f>
        <v xml:space="preserve"> </v>
      </c>
      <c r="I36" s="45" t="str">
        <f>IF(ISBLANK('Auditoria CEB'!K65)," ",+'Auditoria CEB'!K65)</f>
        <v xml:space="preserve"> </v>
      </c>
      <c r="J36" s="30" t="str">
        <f>IF(ISBLANK('Auditoria CEB'!AM65)," ",+'Auditoria CEB'!AM65)</f>
        <v xml:space="preserve"> </v>
      </c>
    </row>
    <row r="37" spans="1:10">
      <c r="A37" s="30" t="str">
        <f>IF(ISBLANK('Auditoria CEB'!$E$6)," ",'Auditoria CEB'!$E$6)</f>
        <v xml:space="preserve"> </v>
      </c>
      <c r="B37" s="30" t="s">
        <v>161</v>
      </c>
      <c r="C37" s="29" t="str">
        <f>IF(ISBLANK('Auditoria CEB'!B66)," ",+'Auditoria CEB'!B66)</f>
        <v xml:space="preserve"> </v>
      </c>
      <c r="D37" s="29" t="str">
        <f>IF(ISBLANK('Auditoria CEB'!D66)," ",+'Auditoria CEB'!D66)</f>
        <v xml:space="preserve"> </v>
      </c>
      <c r="E37" s="29" t="str">
        <f>IF(ISBLANK('Auditoria CEB'!E66)," ",+'Auditoria CEB'!E66)</f>
        <v xml:space="preserve"> </v>
      </c>
      <c r="F37" s="30" t="str">
        <f>IF(ISBLANK('Auditoria CEB'!F46)," ",+'Auditoria CEB'!F46)</f>
        <v xml:space="preserve"> </v>
      </c>
      <c r="G37" s="30" t="str">
        <f>IF(ISBLANK('Auditoria CEB'!I66)," ",+'Auditoria CEB'!I66)</f>
        <v xml:space="preserve"> </v>
      </c>
      <c r="H37" s="30" t="str">
        <f>IF(ISBLANK('Auditoria CEB'!AR66)," ",+'Auditoria CEB'!AR66)</f>
        <v xml:space="preserve"> </v>
      </c>
      <c r="I37" s="45" t="str">
        <f>IF(ISBLANK('Auditoria CEB'!K66)," ",+'Auditoria CEB'!K66)</f>
        <v xml:space="preserve"> </v>
      </c>
      <c r="J37" s="30" t="str">
        <f>IF(ISBLANK('Auditoria CEB'!AM66)," ",+'Auditoria CEB'!AM66)</f>
        <v xml:space="preserve"> </v>
      </c>
    </row>
    <row r="38" spans="1:10">
      <c r="A38" s="30" t="str">
        <f>IF(ISBLANK('Auditoria CEB'!$E$6)," ",'Auditoria CEB'!$E$6)</f>
        <v xml:space="preserve"> </v>
      </c>
      <c r="B38" s="30" t="s">
        <v>161</v>
      </c>
      <c r="C38" s="29" t="str">
        <f>IF(ISBLANK('Auditoria CEB'!B67)," ",+'Auditoria CEB'!B67)</f>
        <v xml:space="preserve"> </v>
      </c>
      <c r="D38" s="29" t="str">
        <f>IF(ISBLANK('Auditoria CEB'!D67)," ",+'Auditoria CEB'!D67)</f>
        <v xml:space="preserve"> </v>
      </c>
      <c r="E38" s="29" t="str">
        <f>IF(ISBLANK('Auditoria CEB'!E67)," ",+'Auditoria CEB'!E67)</f>
        <v xml:space="preserve"> </v>
      </c>
      <c r="F38" s="30" t="str">
        <f>IF(ISBLANK('Auditoria CEB'!F47)," ",+'Auditoria CEB'!F47)</f>
        <v xml:space="preserve"> </v>
      </c>
      <c r="G38" s="30" t="str">
        <f>IF(ISBLANK('Auditoria CEB'!I67)," ",+'Auditoria CEB'!I67)</f>
        <v xml:space="preserve"> </v>
      </c>
      <c r="H38" s="30" t="str">
        <f>IF(ISBLANK('Auditoria CEB'!AR67)," ",+'Auditoria CEB'!AR67)</f>
        <v xml:space="preserve"> </v>
      </c>
      <c r="I38" s="45" t="str">
        <f>IF(ISBLANK('Auditoria CEB'!K67)," ",+'Auditoria CEB'!K67)</f>
        <v xml:space="preserve"> </v>
      </c>
      <c r="J38" s="30" t="str">
        <f>IF(ISBLANK('Auditoria CEB'!AM67)," ",+'Auditoria CEB'!AM67)</f>
        <v xml:space="preserve"> </v>
      </c>
    </row>
    <row r="39" spans="1:10">
      <c r="A39" s="30" t="str">
        <f>IF(ISBLANK('Auditoria CEB'!$E$6)," ",'Auditoria CEB'!$E$6)</f>
        <v xml:space="preserve"> </v>
      </c>
      <c r="B39" s="30" t="s">
        <v>161</v>
      </c>
      <c r="C39" s="29" t="str">
        <f>IF(ISBLANK('Auditoria CEB'!B68)," ",+'Auditoria CEB'!B68)</f>
        <v xml:space="preserve"> </v>
      </c>
      <c r="D39" s="29" t="str">
        <f>IF(ISBLANK('Auditoria CEB'!D68)," ",+'Auditoria CEB'!D68)</f>
        <v xml:space="preserve"> </v>
      </c>
      <c r="E39" s="29" t="str">
        <f>IF(ISBLANK('Auditoria CEB'!E68)," ",+'Auditoria CEB'!E68)</f>
        <v xml:space="preserve"> </v>
      </c>
      <c r="F39" s="30" t="str">
        <f>IF(ISBLANK('Auditoria CEB'!F48)," ",+'Auditoria CEB'!F48)</f>
        <v xml:space="preserve"> </v>
      </c>
      <c r="G39" s="30" t="str">
        <f>IF(ISBLANK('Auditoria CEB'!I68)," ",+'Auditoria CEB'!I68)</f>
        <v xml:space="preserve"> </v>
      </c>
      <c r="H39" s="30" t="str">
        <f>IF(ISBLANK('Auditoria CEB'!AR68)," ",+'Auditoria CEB'!AR68)</f>
        <v xml:space="preserve"> </v>
      </c>
      <c r="I39" s="45" t="str">
        <f>IF(ISBLANK('Auditoria CEB'!K68)," ",+'Auditoria CEB'!K68)</f>
        <v xml:space="preserve"> </v>
      </c>
      <c r="J39" s="30" t="str">
        <f>IF(ISBLANK('Auditoria CEB'!AM68)," ",+'Auditoria CEB'!AM68)</f>
        <v xml:space="preserve"> </v>
      </c>
    </row>
    <row r="40" spans="1:10">
      <c r="A40" s="30" t="str">
        <f>IF(ISBLANK('Auditoria CEB'!$E$6)," ",'Auditoria CEB'!$E$6)</f>
        <v xml:space="preserve"> </v>
      </c>
      <c r="B40" s="30" t="s">
        <v>161</v>
      </c>
      <c r="C40" s="29" t="str">
        <f>IF(ISBLANK('Auditoria CEB'!B69)," ",+'Auditoria CEB'!B69)</f>
        <v xml:space="preserve"> </v>
      </c>
      <c r="D40" s="29" t="str">
        <f>IF(ISBLANK('Auditoria CEB'!D69)," ",+'Auditoria CEB'!D69)</f>
        <v xml:space="preserve"> </v>
      </c>
      <c r="E40" s="29" t="str">
        <f>IF(ISBLANK('Auditoria CEB'!E69)," ",+'Auditoria CEB'!E69)</f>
        <v xml:space="preserve"> </v>
      </c>
      <c r="F40" s="30" t="str">
        <f>IF(ISBLANK('Auditoria CEB'!F49)," ",+'Auditoria CEB'!F49)</f>
        <v xml:space="preserve"> </v>
      </c>
      <c r="G40" s="30" t="str">
        <f>IF(ISBLANK('Auditoria CEB'!I69)," ",+'Auditoria CEB'!I69)</f>
        <v xml:space="preserve"> </v>
      </c>
      <c r="H40" s="30" t="str">
        <f>IF(ISBLANK('Auditoria CEB'!AR69)," ",+'Auditoria CEB'!AR69)</f>
        <v xml:space="preserve"> </v>
      </c>
      <c r="I40" s="45" t="str">
        <f>IF(ISBLANK('Auditoria CEB'!K69)," ",+'Auditoria CEB'!K69)</f>
        <v xml:space="preserve"> </v>
      </c>
      <c r="J40" s="30" t="str">
        <f>IF(ISBLANK('Auditoria CEB'!AM69)," ",+'Auditoria CEB'!AM69)</f>
        <v xml:space="preserve"> </v>
      </c>
    </row>
    <row r="41" spans="1:10">
      <c r="A41" s="30" t="str">
        <f>IF(ISBLANK('Auditoria CEB'!$E$6)," ",'Auditoria CEB'!$E$6)</f>
        <v xml:space="preserve"> </v>
      </c>
      <c r="B41" s="30" t="s">
        <v>161</v>
      </c>
      <c r="C41" s="29" t="str">
        <f>IF(ISBLANK('Auditoria CEB'!B70)," ",+'Auditoria CEB'!B70)</f>
        <v xml:space="preserve"> </v>
      </c>
      <c r="D41" s="29" t="str">
        <f>IF(ISBLANK('Auditoria CEB'!D70)," ",+'Auditoria CEB'!D70)</f>
        <v xml:space="preserve"> </v>
      </c>
      <c r="E41" s="29" t="str">
        <f>IF(ISBLANK('Auditoria CEB'!E70)," ",+'Auditoria CEB'!E70)</f>
        <v xml:space="preserve"> </v>
      </c>
      <c r="F41" s="30" t="str">
        <f>IF(ISBLANK('Auditoria CEB'!F50)," ",+'Auditoria CEB'!F50)</f>
        <v xml:space="preserve"> </v>
      </c>
      <c r="G41" s="30" t="str">
        <f>IF(ISBLANK('Auditoria CEB'!I70)," ",+'Auditoria CEB'!I70)</f>
        <v xml:space="preserve"> </v>
      </c>
      <c r="H41" s="30" t="str">
        <f>IF(ISBLANK('Auditoria CEB'!AR70)," ",+'Auditoria CEB'!AR70)</f>
        <v xml:space="preserve"> </v>
      </c>
      <c r="I41" s="45" t="str">
        <f>IF(ISBLANK('Auditoria CEB'!K70)," ",+'Auditoria CEB'!K70)</f>
        <v xml:space="preserve"> </v>
      </c>
      <c r="J41" s="30" t="str">
        <f>IF(ISBLANK('Auditoria CEB'!AM70)," ",+'Auditoria CEB'!AM70)</f>
        <v xml:space="preserve"> </v>
      </c>
    </row>
    <row r="42" spans="1:10">
      <c r="A42" s="30" t="str">
        <f>IF(ISBLANK('Auditoria CEB'!$E$6)," ",'Auditoria CEB'!$E$6)</f>
        <v xml:space="preserve"> </v>
      </c>
      <c r="B42" s="30" t="s">
        <v>161</v>
      </c>
      <c r="C42" s="29" t="str">
        <f>IF(ISBLANK('Auditoria CEB'!B71)," ",+'Auditoria CEB'!B71)</f>
        <v xml:space="preserve"> </v>
      </c>
      <c r="D42" s="29" t="str">
        <f>IF(ISBLANK('Auditoria CEB'!D71)," ",+'Auditoria CEB'!D71)</f>
        <v xml:space="preserve"> </v>
      </c>
      <c r="E42" s="29" t="str">
        <f>IF(ISBLANK('Auditoria CEB'!E71)," ",+'Auditoria CEB'!E71)</f>
        <v xml:space="preserve"> </v>
      </c>
      <c r="F42" s="30" t="str">
        <f>IF(ISBLANK('Auditoria CEB'!F51)," ",+'Auditoria CEB'!F51)</f>
        <v xml:space="preserve"> </v>
      </c>
      <c r="G42" s="30" t="str">
        <f>IF(ISBLANK('Auditoria CEB'!I71)," ",+'Auditoria CEB'!I71)</f>
        <v xml:space="preserve"> </v>
      </c>
      <c r="H42" s="30" t="str">
        <f>IF(ISBLANK('Auditoria CEB'!AR71)," ",+'Auditoria CEB'!AR71)</f>
        <v xml:space="preserve"> </v>
      </c>
      <c r="I42" s="45" t="str">
        <f>IF(ISBLANK('Auditoria CEB'!K71)," ",+'Auditoria CEB'!K71)</f>
        <v xml:space="preserve"> </v>
      </c>
      <c r="J42" s="30" t="str">
        <f>IF(ISBLANK('Auditoria CEB'!AM71)," ",+'Auditoria CEB'!AM71)</f>
        <v xml:space="preserve"> </v>
      </c>
    </row>
    <row r="43" spans="1:10">
      <c r="A43" s="30" t="str">
        <f>IF(ISBLANK('Auditoria CEB'!$E$6)," ",'Auditoria CEB'!$E$6)</f>
        <v xml:space="preserve"> </v>
      </c>
      <c r="B43" s="30" t="s">
        <v>161</v>
      </c>
      <c r="C43" s="29" t="str">
        <f>IF(ISBLANK('Auditoria CEB'!B72)," ",+'Auditoria CEB'!B72)</f>
        <v xml:space="preserve"> </v>
      </c>
      <c r="D43" s="29" t="str">
        <f>IF(ISBLANK('Auditoria CEB'!D72)," ",+'Auditoria CEB'!D72)</f>
        <v xml:space="preserve"> </v>
      </c>
      <c r="E43" s="29" t="str">
        <f>IF(ISBLANK('Auditoria CEB'!E72)," ",+'Auditoria CEB'!E72)</f>
        <v xml:space="preserve"> </v>
      </c>
      <c r="F43" s="30" t="str">
        <f>IF(ISBLANK('Auditoria CEB'!F52)," ",+'Auditoria CEB'!F52)</f>
        <v xml:space="preserve"> </v>
      </c>
      <c r="G43" s="30" t="str">
        <f>IF(ISBLANK('Auditoria CEB'!I72)," ",+'Auditoria CEB'!I72)</f>
        <v xml:space="preserve"> </v>
      </c>
      <c r="H43" s="30" t="str">
        <f>IF(ISBLANK('Auditoria CEB'!AR72)," ",+'Auditoria CEB'!AR72)</f>
        <v xml:space="preserve"> </v>
      </c>
      <c r="I43" s="45" t="str">
        <f>IF(ISBLANK('Auditoria CEB'!K72)," ",+'Auditoria CEB'!K72)</f>
        <v xml:space="preserve"> </v>
      </c>
      <c r="J43" s="30" t="str">
        <f>IF(ISBLANK('Auditoria CEB'!AM72)," ",+'Auditoria CEB'!AM72)</f>
        <v xml:space="preserve"> </v>
      </c>
    </row>
    <row r="44" spans="1:10">
      <c r="A44" s="30" t="str">
        <f>IF(ISBLANK('Auditoria CEB'!$E$6)," ",'Auditoria CEB'!$E$6)</f>
        <v xml:space="preserve"> </v>
      </c>
      <c r="B44" s="30" t="s">
        <v>161</v>
      </c>
      <c r="C44" s="29" t="str">
        <f>IF(ISBLANK('Auditoria CEB'!B73)," ",+'Auditoria CEB'!B73)</f>
        <v xml:space="preserve"> </v>
      </c>
      <c r="D44" s="29" t="str">
        <f>IF(ISBLANK('Auditoria CEB'!D73)," ",+'Auditoria CEB'!D73)</f>
        <v xml:space="preserve"> </v>
      </c>
      <c r="E44" s="29" t="str">
        <f>IF(ISBLANK('Auditoria CEB'!E73)," ",+'Auditoria CEB'!E73)</f>
        <v xml:space="preserve"> </v>
      </c>
      <c r="F44" s="30" t="str">
        <f>IF(ISBLANK('Auditoria CEB'!F53)," ",+'Auditoria CEB'!F53)</f>
        <v xml:space="preserve"> </v>
      </c>
      <c r="G44" s="30" t="str">
        <f>IF(ISBLANK('Auditoria CEB'!I73)," ",+'Auditoria CEB'!I73)</f>
        <v xml:space="preserve"> </v>
      </c>
      <c r="H44" s="30" t="str">
        <f>IF(ISBLANK('Auditoria CEB'!AR73)," ",+'Auditoria CEB'!AR73)</f>
        <v xml:space="preserve"> </v>
      </c>
      <c r="I44" s="45" t="str">
        <f>IF(ISBLANK('Auditoria CEB'!K73)," ",+'Auditoria CEB'!K73)</f>
        <v xml:space="preserve"> </v>
      </c>
      <c r="J44" s="30" t="str">
        <f>IF(ISBLANK('Auditoria CEB'!AM73)," ",+'Auditoria CEB'!AM73)</f>
        <v xml:space="preserve"> </v>
      </c>
    </row>
    <row r="45" spans="1:10">
      <c r="A45" s="30" t="str">
        <f>IF(ISBLANK('Auditoria CEB'!$E$6)," ",'Auditoria CEB'!$E$6)</f>
        <v xml:space="preserve"> </v>
      </c>
      <c r="B45" s="30" t="s">
        <v>161</v>
      </c>
      <c r="C45" s="29" t="str">
        <f>IF(ISBLANK('Auditoria CEB'!B74)," ",+'Auditoria CEB'!B74)</f>
        <v xml:space="preserve"> </v>
      </c>
      <c r="D45" s="29" t="str">
        <f>IF(ISBLANK('Auditoria CEB'!D74)," ",+'Auditoria CEB'!D74)</f>
        <v xml:space="preserve"> </v>
      </c>
      <c r="E45" s="29" t="str">
        <f>IF(ISBLANK('Auditoria CEB'!E74)," ",+'Auditoria CEB'!E74)</f>
        <v xml:space="preserve"> </v>
      </c>
      <c r="F45" s="30" t="str">
        <f>IF(ISBLANK('Auditoria CEB'!F54)," ",+'Auditoria CEB'!F54)</f>
        <v xml:space="preserve"> </v>
      </c>
      <c r="G45" s="30" t="str">
        <f>IF(ISBLANK('Auditoria CEB'!I74)," ",+'Auditoria CEB'!I74)</f>
        <v xml:space="preserve"> </v>
      </c>
      <c r="H45" s="30" t="str">
        <f>IF(ISBLANK('Auditoria CEB'!AR74)," ",+'Auditoria CEB'!AR74)</f>
        <v xml:space="preserve"> </v>
      </c>
      <c r="I45" s="45" t="str">
        <f>IF(ISBLANK('Auditoria CEB'!K74)," ",+'Auditoria CEB'!K74)</f>
        <v xml:space="preserve"> </v>
      </c>
      <c r="J45" s="30" t="str">
        <f>IF(ISBLANK('Auditoria CEB'!AM74)," ",+'Auditoria CEB'!AM74)</f>
        <v xml:space="preserve"> </v>
      </c>
    </row>
    <row r="46" spans="1:10">
      <c r="A46" s="30" t="str">
        <f>IF(ISBLANK('Auditoria CEB'!$E$6)," ",'Auditoria CEB'!$E$6)</f>
        <v xml:space="preserve"> </v>
      </c>
      <c r="B46" s="30" t="s">
        <v>161</v>
      </c>
      <c r="C46" s="29" t="str">
        <f>IF(ISBLANK('Auditoria CEB'!B75)," ",+'Auditoria CEB'!B75)</f>
        <v xml:space="preserve"> </v>
      </c>
      <c r="D46" s="29" t="str">
        <f>IF(ISBLANK('Auditoria CEB'!D75)," ",+'Auditoria CEB'!D75)</f>
        <v xml:space="preserve"> </v>
      </c>
      <c r="E46" s="29" t="str">
        <f>IF(ISBLANK('Auditoria CEB'!E75)," ",+'Auditoria CEB'!E75)</f>
        <v xml:space="preserve"> </v>
      </c>
      <c r="F46" s="30" t="str">
        <f>IF(ISBLANK('Auditoria CEB'!F55)," ",+'Auditoria CEB'!F55)</f>
        <v xml:space="preserve"> </v>
      </c>
      <c r="G46" s="30" t="str">
        <f>IF(ISBLANK('Auditoria CEB'!I75)," ",+'Auditoria CEB'!I75)</f>
        <v xml:space="preserve"> </v>
      </c>
      <c r="H46" s="30" t="str">
        <f>IF(ISBLANK('Auditoria CEB'!AR75)," ",+'Auditoria CEB'!AR75)</f>
        <v xml:space="preserve"> </v>
      </c>
      <c r="I46" s="45" t="str">
        <f>IF(ISBLANK('Auditoria CEB'!K75)," ",+'Auditoria CEB'!K75)</f>
        <v xml:space="preserve"> </v>
      </c>
      <c r="J46" s="30" t="str">
        <f>IF(ISBLANK('Auditoria CEB'!AM75)," ",+'Auditoria CEB'!AM75)</f>
        <v xml:space="preserve"> </v>
      </c>
    </row>
    <row r="47" spans="1:10">
      <c r="A47" s="30" t="str">
        <f>IF(ISBLANK('Auditoria CEB'!$E$6)," ",'Auditoria CEB'!$E$6)</f>
        <v xml:space="preserve"> </v>
      </c>
      <c r="B47" s="30" t="s">
        <v>161</v>
      </c>
      <c r="C47" s="29" t="str">
        <f>IF(ISBLANK('Auditoria CEB'!B76)," ",+'Auditoria CEB'!B76)</f>
        <v xml:space="preserve"> </v>
      </c>
      <c r="D47" s="29" t="str">
        <f>IF(ISBLANK('Auditoria CEB'!D76)," ",+'Auditoria CEB'!D76)</f>
        <v xml:space="preserve"> </v>
      </c>
      <c r="E47" s="29" t="str">
        <f>IF(ISBLANK('Auditoria CEB'!E76)," ",+'Auditoria CEB'!E76)</f>
        <v xml:space="preserve"> </v>
      </c>
      <c r="F47" s="30" t="str">
        <f>IF(ISBLANK('Auditoria CEB'!F56)," ",+'Auditoria CEB'!F56)</f>
        <v xml:space="preserve"> </v>
      </c>
      <c r="G47" s="30" t="str">
        <f>IF(ISBLANK('Auditoria CEB'!I76)," ",+'Auditoria CEB'!I76)</f>
        <v xml:space="preserve"> </v>
      </c>
      <c r="H47" s="30" t="str">
        <f>IF(ISBLANK('Auditoria CEB'!AR76)," ",+'Auditoria CEB'!AR76)</f>
        <v xml:space="preserve"> </v>
      </c>
      <c r="I47" s="45" t="str">
        <f>IF(ISBLANK('Auditoria CEB'!K76)," ",+'Auditoria CEB'!K76)</f>
        <v xml:space="preserve"> </v>
      </c>
      <c r="J47" s="30" t="str">
        <f>IF(ISBLANK('Auditoria CEB'!AM76)," ",+'Auditoria CEB'!AM76)</f>
        <v xml:space="preserve"> </v>
      </c>
    </row>
    <row r="48" spans="1:10">
      <c r="A48" s="30" t="str">
        <f>IF(ISBLANK('Auditoria CEB'!$E$6)," ",'Auditoria CEB'!$E$6)</f>
        <v xml:space="preserve"> </v>
      </c>
      <c r="B48" s="30" t="s">
        <v>161</v>
      </c>
      <c r="C48" s="29" t="str">
        <f>IF(ISBLANK('Auditoria CEB'!B77)," ",+'Auditoria CEB'!B77)</f>
        <v xml:space="preserve"> </v>
      </c>
      <c r="D48" s="29" t="str">
        <f>IF(ISBLANK('Auditoria CEB'!D77)," ",+'Auditoria CEB'!D77)</f>
        <v xml:space="preserve"> </v>
      </c>
      <c r="E48" s="29" t="str">
        <f>IF(ISBLANK('Auditoria CEB'!E77)," ",+'Auditoria CEB'!E77)</f>
        <v xml:space="preserve"> </v>
      </c>
      <c r="F48" s="30" t="str">
        <f>IF(ISBLANK('Auditoria CEB'!F57)," ",+'Auditoria CEB'!F57)</f>
        <v xml:space="preserve"> </v>
      </c>
      <c r="G48" s="30" t="str">
        <f>IF(ISBLANK('Auditoria CEB'!I77)," ",+'Auditoria CEB'!I77)</f>
        <v xml:space="preserve"> </v>
      </c>
      <c r="H48" s="30" t="str">
        <f>IF(ISBLANK('Auditoria CEB'!AR77)," ",+'Auditoria CEB'!AR77)</f>
        <v xml:space="preserve"> </v>
      </c>
      <c r="I48" s="45" t="str">
        <f>IF(ISBLANK('Auditoria CEB'!K77)," ",+'Auditoria CEB'!K77)</f>
        <v xml:space="preserve"> </v>
      </c>
      <c r="J48" s="30" t="str">
        <f>IF(ISBLANK('Auditoria CEB'!AM77)," ",+'Auditoria CEB'!AM77)</f>
        <v xml:space="preserve"> </v>
      </c>
    </row>
    <row r="49" spans="1:10">
      <c r="A49" s="30" t="str">
        <f>IF(ISBLANK('Auditoria CEB'!$E$6)," ",'Auditoria CEB'!$E$6)</f>
        <v xml:space="preserve"> </v>
      </c>
      <c r="B49" s="30" t="s">
        <v>161</v>
      </c>
      <c r="C49" s="29" t="str">
        <f>IF(ISBLANK('Auditoria CEB'!B78)," ",+'Auditoria CEB'!B78)</f>
        <v xml:space="preserve"> </v>
      </c>
      <c r="D49" s="29" t="str">
        <f>IF(ISBLANK('Auditoria CEB'!D78)," ",+'Auditoria CEB'!D78)</f>
        <v xml:space="preserve"> </v>
      </c>
      <c r="E49" s="29" t="str">
        <f>IF(ISBLANK('Auditoria CEB'!E78)," ",+'Auditoria CEB'!E78)</f>
        <v xml:space="preserve"> </v>
      </c>
      <c r="F49" s="30" t="str">
        <f>IF(ISBLANK('Auditoria CEB'!F58)," ",+'Auditoria CEB'!F58)</f>
        <v xml:space="preserve"> </v>
      </c>
      <c r="G49" s="30" t="str">
        <f>IF(ISBLANK('Auditoria CEB'!I78)," ",+'Auditoria CEB'!I78)</f>
        <v xml:space="preserve"> </v>
      </c>
      <c r="H49" s="30" t="str">
        <f>IF(ISBLANK('Auditoria CEB'!AR78)," ",+'Auditoria CEB'!AR78)</f>
        <v xml:space="preserve"> </v>
      </c>
      <c r="I49" s="45" t="str">
        <f>IF(ISBLANK('Auditoria CEB'!K78)," ",+'Auditoria CEB'!K78)</f>
        <v xml:space="preserve"> </v>
      </c>
      <c r="J49" s="30" t="str">
        <f>IF(ISBLANK('Auditoria CEB'!AM78)," ",+'Auditoria CEB'!AM78)</f>
        <v xml:space="preserve"> </v>
      </c>
    </row>
    <row r="50" spans="1:10">
      <c r="A50" s="30" t="str">
        <f>IF(ISBLANK('Auditoria CEB'!$E$6)," ",'Auditoria CEB'!$E$6)</f>
        <v xml:space="preserve"> </v>
      </c>
      <c r="B50" s="30" t="s">
        <v>161</v>
      </c>
      <c r="C50" s="29" t="str">
        <f>IF(ISBLANK('Auditoria CEB'!B79)," ",+'Auditoria CEB'!B79)</f>
        <v xml:space="preserve"> </v>
      </c>
      <c r="D50" s="29" t="str">
        <f>IF(ISBLANK('Auditoria CEB'!D79)," ",+'Auditoria CEB'!D79)</f>
        <v xml:space="preserve"> </v>
      </c>
      <c r="E50" s="29" t="str">
        <f>IF(ISBLANK('Auditoria CEB'!E79)," ",+'Auditoria CEB'!E79)</f>
        <v xml:space="preserve"> </v>
      </c>
      <c r="F50" s="30" t="str">
        <f>IF(ISBLANK('Auditoria CEB'!F59)," ",+'Auditoria CEB'!F59)</f>
        <v xml:space="preserve"> </v>
      </c>
      <c r="G50" s="30" t="str">
        <f>IF(ISBLANK('Auditoria CEB'!I79)," ",+'Auditoria CEB'!I79)</f>
        <v xml:space="preserve"> </v>
      </c>
      <c r="H50" s="30" t="str">
        <f>IF(ISBLANK('Auditoria CEB'!AR79)," ",+'Auditoria CEB'!AR79)</f>
        <v xml:space="preserve"> </v>
      </c>
      <c r="I50" s="45" t="str">
        <f>IF(ISBLANK('Auditoria CEB'!K79)," ",+'Auditoria CEB'!K79)</f>
        <v xml:space="preserve"> </v>
      </c>
      <c r="J50" s="30" t="str">
        <f>IF(ISBLANK('Auditoria CEB'!AM79)," ",+'Auditoria CEB'!AM79)</f>
        <v xml:space="preserve"> </v>
      </c>
    </row>
    <row r="51" spans="1:10">
      <c r="A51" s="30" t="str">
        <f>IF(ISBLANK('Auditoria CEB'!$E$6)," ",'Auditoria CEB'!$E$6)</f>
        <v xml:space="preserve"> </v>
      </c>
      <c r="B51" s="30" t="s">
        <v>161</v>
      </c>
      <c r="C51" s="29" t="str">
        <f>IF(ISBLANK('Auditoria CEB'!B80)," ",+'Auditoria CEB'!B80)</f>
        <v xml:space="preserve"> </v>
      </c>
      <c r="D51" s="29" t="str">
        <f>IF(ISBLANK('Auditoria CEB'!D80)," ",+'Auditoria CEB'!D80)</f>
        <v xml:space="preserve"> </v>
      </c>
      <c r="E51" s="29" t="str">
        <f>IF(ISBLANK('Auditoria CEB'!E80)," ",+'Auditoria CEB'!E80)</f>
        <v xml:space="preserve"> </v>
      </c>
      <c r="F51" s="30" t="str">
        <f>IF(ISBLANK('Auditoria CEB'!F60)," ",+'Auditoria CEB'!F60)</f>
        <v xml:space="preserve"> </v>
      </c>
      <c r="G51" s="30" t="str">
        <f>IF(ISBLANK('Auditoria CEB'!I80)," ",+'Auditoria CEB'!I80)</f>
        <v xml:space="preserve"> </v>
      </c>
      <c r="H51" s="30" t="str">
        <f>IF(ISBLANK('Auditoria CEB'!AR80)," ",+'Auditoria CEB'!AR80)</f>
        <v xml:space="preserve"> </v>
      </c>
      <c r="I51" s="45" t="str">
        <f>IF(ISBLANK('Auditoria CEB'!K80)," ",+'Auditoria CEB'!K80)</f>
        <v xml:space="preserve"> </v>
      </c>
      <c r="J51" s="30" t="str">
        <f>IF(ISBLANK('Auditoria CEB'!AM80)," ",+'Auditoria CEB'!AM80)</f>
        <v xml:space="preserve"> </v>
      </c>
    </row>
    <row r="52" spans="1:10">
      <c r="A52" s="30" t="str">
        <f>IF(ISBLANK('Auditoria CEB'!$E$6)," ",'Auditoria CEB'!$E$6)</f>
        <v xml:space="preserve"> </v>
      </c>
      <c r="B52" s="30" t="s">
        <v>161</v>
      </c>
      <c r="C52" s="29" t="str">
        <f>IF(ISBLANK('Auditoria CEB'!B81)," ",+'Auditoria CEB'!B81)</f>
        <v xml:space="preserve"> </v>
      </c>
      <c r="D52" s="29" t="str">
        <f>IF(ISBLANK('Auditoria CEB'!D81)," ",+'Auditoria CEB'!D81)</f>
        <v xml:space="preserve"> </v>
      </c>
      <c r="E52" s="29" t="str">
        <f>IF(ISBLANK('Auditoria CEB'!E81)," ",+'Auditoria CEB'!E81)</f>
        <v xml:space="preserve"> </v>
      </c>
      <c r="F52" s="30" t="str">
        <f>IF(ISBLANK('Auditoria CEB'!F61)," ",+'Auditoria CEB'!F61)</f>
        <v xml:space="preserve"> </v>
      </c>
      <c r="G52" s="30" t="str">
        <f>IF(ISBLANK('Auditoria CEB'!I81)," ",+'Auditoria CEB'!I81)</f>
        <v xml:space="preserve"> </v>
      </c>
      <c r="H52" s="30" t="str">
        <f>IF(ISBLANK('Auditoria CEB'!AR81)," ",+'Auditoria CEB'!AR81)</f>
        <v xml:space="preserve"> </v>
      </c>
      <c r="I52" s="45" t="str">
        <f>IF(ISBLANK('Auditoria CEB'!K81)," ",+'Auditoria CEB'!K81)</f>
        <v xml:space="preserve"> </v>
      </c>
      <c r="J52" s="30" t="str">
        <f>IF(ISBLANK('Auditoria CEB'!AM81)," ",+'Auditoria CEB'!AM81)</f>
        <v xml:space="preserve"> </v>
      </c>
    </row>
    <row r="53" spans="1:10">
      <c r="A53" s="30" t="str">
        <f>IF(ISBLANK('Auditoria CEB'!$E$6)," ",'Auditoria CEB'!$E$6)</f>
        <v xml:space="preserve"> </v>
      </c>
      <c r="B53" s="30" t="s">
        <v>161</v>
      </c>
      <c r="C53" s="29" t="str">
        <f>IF(ISBLANK('Auditoria CEB'!B82)," ",+'Auditoria CEB'!B82)</f>
        <v xml:space="preserve"> </v>
      </c>
      <c r="D53" s="29" t="str">
        <f>IF(ISBLANK('Auditoria CEB'!D82)," ",+'Auditoria CEB'!D82)</f>
        <v xml:space="preserve"> </v>
      </c>
      <c r="E53" s="29" t="str">
        <f>IF(ISBLANK('Auditoria CEB'!E82)," ",+'Auditoria CEB'!E82)</f>
        <v xml:space="preserve"> </v>
      </c>
      <c r="F53" s="30" t="str">
        <f>IF(ISBLANK('Auditoria CEB'!F62)," ",+'Auditoria CEB'!F62)</f>
        <v xml:space="preserve"> </v>
      </c>
      <c r="G53" s="30" t="str">
        <f>IF(ISBLANK('Auditoria CEB'!I82)," ",+'Auditoria CEB'!I82)</f>
        <v xml:space="preserve"> </v>
      </c>
      <c r="H53" s="30" t="str">
        <f>IF(ISBLANK('Auditoria CEB'!AR82)," ",+'Auditoria CEB'!AR82)</f>
        <v xml:space="preserve"> </v>
      </c>
      <c r="I53" s="45" t="str">
        <f>IF(ISBLANK('Auditoria CEB'!K82)," ",+'Auditoria CEB'!K82)</f>
        <v xml:space="preserve"> </v>
      </c>
      <c r="J53" s="30" t="str">
        <f>IF(ISBLANK('Auditoria CEB'!AM82)," ",+'Auditoria CEB'!AM82)</f>
        <v xml:space="preserve"> </v>
      </c>
    </row>
    <row r="54" spans="1:10">
      <c r="A54" s="30" t="str">
        <f>IF(ISBLANK('Auditoria CEB'!$E$6)," ",'Auditoria CEB'!$E$6)</f>
        <v xml:space="preserve"> </v>
      </c>
      <c r="B54" s="30" t="s">
        <v>161</v>
      </c>
      <c r="C54" s="29" t="str">
        <f>IF(ISBLANK('Auditoria CEB'!B83)," ",+'Auditoria CEB'!B83)</f>
        <v xml:space="preserve"> </v>
      </c>
      <c r="D54" s="29" t="str">
        <f>IF(ISBLANK('Auditoria CEB'!D83)," ",+'Auditoria CEB'!D83)</f>
        <v xml:space="preserve"> </v>
      </c>
      <c r="E54" s="29" t="str">
        <f>IF(ISBLANK('Auditoria CEB'!E83)," ",+'Auditoria CEB'!E83)</f>
        <v xml:space="preserve"> </v>
      </c>
      <c r="F54" s="30" t="str">
        <f>IF(ISBLANK('Auditoria CEB'!F63)," ",+'Auditoria CEB'!F63)</f>
        <v xml:space="preserve"> </v>
      </c>
      <c r="G54" s="30" t="str">
        <f>IF(ISBLANK('Auditoria CEB'!I83)," ",+'Auditoria CEB'!I83)</f>
        <v xml:space="preserve"> </v>
      </c>
      <c r="H54" s="30" t="str">
        <f>IF(ISBLANK('Auditoria CEB'!AR83)," ",+'Auditoria CEB'!AR83)</f>
        <v xml:space="preserve"> </v>
      </c>
      <c r="I54" s="45" t="str">
        <f>IF(ISBLANK('Auditoria CEB'!K83)," ",+'Auditoria CEB'!K83)</f>
        <v xml:space="preserve"> </v>
      </c>
      <c r="J54" s="30" t="str">
        <f>IF(ISBLANK('Auditoria CEB'!AM83)," ",+'Auditoria CEB'!AM83)</f>
        <v xml:space="preserve"> </v>
      </c>
    </row>
    <row r="55" spans="1:10">
      <c r="A55" s="30" t="str">
        <f>IF(ISBLANK('Auditoria CEB'!$E$6)," ",'Auditoria CEB'!$E$6)</f>
        <v xml:space="preserve"> </v>
      </c>
      <c r="B55" s="30" t="s">
        <v>161</v>
      </c>
      <c r="C55" s="29" t="str">
        <f>IF(ISBLANK('Auditoria CEB'!B84)," ",+'Auditoria CEB'!B84)</f>
        <v xml:space="preserve"> </v>
      </c>
      <c r="D55" s="29" t="str">
        <f>IF(ISBLANK('Auditoria CEB'!D84)," ",+'Auditoria CEB'!D84)</f>
        <v xml:space="preserve"> </v>
      </c>
      <c r="E55" s="29" t="str">
        <f>IF(ISBLANK('Auditoria CEB'!E84)," ",+'Auditoria CEB'!E84)</f>
        <v xml:space="preserve"> </v>
      </c>
      <c r="F55" s="30" t="str">
        <f>IF(ISBLANK('Auditoria CEB'!F64)," ",+'Auditoria CEB'!F64)</f>
        <v xml:space="preserve"> </v>
      </c>
      <c r="G55" s="30" t="str">
        <f>IF(ISBLANK('Auditoria CEB'!I84)," ",+'Auditoria CEB'!I84)</f>
        <v xml:space="preserve"> </v>
      </c>
      <c r="H55" s="30" t="str">
        <f>IF(ISBLANK('Auditoria CEB'!AR84)," ",+'Auditoria CEB'!AR84)</f>
        <v xml:space="preserve"> </v>
      </c>
      <c r="I55" s="45" t="str">
        <f>IF(ISBLANK('Auditoria CEB'!K84)," ",+'Auditoria CEB'!K84)</f>
        <v xml:space="preserve"> </v>
      </c>
      <c r="J55" s="30" t="str">
        <f>IF(ISBLANK('Auditoria CEB'!AM84)," ",+'Auditoria CEB'!AM84)</f>
        <v xml:space="preserve"> </v>
      </c>
    </row>
    <row r="56" spans="1:10">
      <c r="A56" s="30" t="str">
        <f>IF(ISBLANK('Auditoria CEB'!$E$6)," ",'Auditoria CEB'!$E$6)</f>
        <v xml:space="preserve"> </v>
      </c>
      <c r="B56" s="30" t="s">
        <v>161</v>
      </c>
      <c r="C56" s="29" t="str">
        <f>IF(ISBLANK('Auditoria CEB'!B85)," ",+'Auditoria CEB'!B85)</f>
        <v xml:space="preserve"> </v>
      </c>
      <c r="D56" s="29" t="str">
        <f>IF(ISBLANK('Auditoria CEB'!D85)," ",+'Auditoria CEB'!D85)</f>
        <v xml:space="preserve"> </v>
      </c>
      <c r="E56" s="29" t="str">
        <f>IF(ISBLANK('Auditoria CEB'!E85)," ",+'Auditoria CEB'!E85)</f>
        <v xml:space="preserve"> </v>
      </c>
      <c r="F56" s="30" t="str">
        <f>IF(ISBLANK('Auditoria CEB'!F65)," ",+'Auditoria CEB'!F65)</f>
        <v xml:space="preserve"> </v>
      </c>
      <c r="G56" s="30" t="str">
        <f>IF(ISBLANK('Auditoria CEB'!I85)," ",+'Auditoria CEB'!I85)</f>
        <v xml:space="preserve"> </v>
      </c>
      <c r="H56" s="30" t="str">
        <f>IF(ISBLANK('Auditoria CEB'!AR85)," ",+'Auditoria CEB'!AR85)</f>
        <v xml:space="preserve"> </v>
      </c>
      <c r="I56" s="45" t="str">
        <f>IF(ISBLANK('Auditoria CEB'!K85)," ",+'Auditoria CEB'!K85)</f>
        <v xml:space="preserve"> </v>
      </c>
      <c r="J56" s="30" t="str">
        <f>IF(ISBLANK('Auditoria CEB'!AM85)," ",+'Auditoria CEB'!AM85)</f>
        <v xml:space="preserve"> </v>
      </c>
    </row>
    <row r="57" spans="1:10">
      <c r="A57" s="30" t="str">
        <f>IF(ISBLANK('Auditoria CEB'!$E$6)," ",'Auditoria CEB'!$E$6)</f>
        <v xml:space="preserve"> </v>
      </c>
      <c r="B57" s="30" t="s">
        <v>161</v>
      </c>
      <c r="C57" s="29" t="str">
        <f>IF(ISBLANK('Auditoria CEB'!B86)," ",+'Auditoria CEB'!B86)</f>
        <v xml:space="preserve"> </v>
      </c>
      <c r="D57" s="29" t="str">
        <f>IF(ISBLANK('Auditoria CEB'!D86)," ",+'Auditoria CEB'!D86)</f>
        <v xml:space="preserve"> </v>
      </c>
      <c r="E57" s="29" t="str">
        <f>IF(ISBLANK('Auditoria CEB'!E86)," ",+'Auditoria CEB'!E86)</f>
        <v xml:space="preserve"> </v>
      </c>
      <c r="F57" s="30" t="str">
        <f>IF(ISBLANK('Auditoria CEB'!F66)," ",+'Auditoria CEB'!F66)</f>
        <v xml:space="preserve"> </v>
      </c>
      <c r="G57" s="30" t="str">
        <f>IF(ISBLANK('Auditoria CEB'!I86)," ",+'Auditoria CEB'!I86)</f>
        <v xml:space="preserve"> </v>
      </c>
      <c r="H57" s="30" t="str">
        <f>IF(ISBLANK('Auditoria CEB'!AR86)," ",+'Auditoria CEB'!AR86)</f>
        <v xml:space="preserve"> </v>
      </c>
      <c r="I57" s="45" t="str">
        <f>IF(ISBLANK('Auditoria CEB'!K86)," ",+'Auditoria CEB'!K86)</f>
        <v xml:space="preserve"> </v>
      </c>
      <c r="J57" s="30" t="str">
        <f>IF(ISBLANK('Auditoria CEB'!AM86)," ",+'Auditoria CEB'!AM86)</f>
        <v xml:space="preserve"> </v>
      </c>
    </row>
    <row r="58" spans="1:10">
      <c r="A58" s="30" t="str">
        <f>IF(ISBLANK('Auditoria CEB'!$E$6)," ",'Auditoria CEB'!$E$6)</f>
        <v xml:space="preserve"> </v>
      </c>
      <c r="B58" s="30" t="s">
        <v>161</v>
      </c>
      <c r="C58" s="29" t="str">
        <f>IF(ISBLANK('Auditoria CEB'!B87)," ",+'Auditoria CEB'!B87)</f>
        <v xml:space="preserve"> </v>
      </c>
      <c r="D58" s="29" t="str">
        <f>IF(ISBLANK('Auditoria CEB'!D87)," ",+'Auditoria CEB'!D87)</f>
        <v xml:space="preserve"> </v>
      </c>
      <c r="E58" s="29" t="str">
        <f>IF(ISBLANK('Auditoria CEB'!E87)," ",+'Auditoria CEB'!E87)</f>
        <v xml:space="preserve"> </v>
      </c>
      <c r="F58" s="30" t="str">
        <f>IF(ISBLANK('Auditoria CEB'!F67)," ",+'Auditoria CEB'!F67)</f>
        <v xml:space="preserve"> </v>
      </c>
      <c r="G58" s="30" t="str">
        <f>IF(ISBLANK('Auditoria CEB'!I87)," ",+'Auditoria CEB'!I87)</f>
        <v xml:space="preserve"> </v>
      </c>
      <c r="H58" s="30" t="str">
        <f>IF(ISBLANK('Auditoria CEB'!AR87)," ",+'Auditoria CEB'!AR87)</f>
        <v xml:space="preserve"> </v>
      </c>
      <c r="I58" s="45" t="str">
        <f>IF(ISBLANK('Auditoria CEB'!K87)," ",+'Auditoria CEB'!K87)</f>
        <v xml:space="preserve"> </v>
      </c>
      <c r="J58" s="30" t="str">
        <f>IF(ISBLANK('Auditoria CEB'!AM87)," ",+'Auditoria CEB'!AM87)</f>
        <v xml:space="preserve"> </v>
      </c>
    </row>
    <row r="59" spans="1:10">
      <c r="A59" s="30" t="str">
        <f>IF(ISBLANK('Auditoria CEB'!$E$6)," ",'Auditoria CEB'!$E$6)</f>
        <v xml:space="preserve"> </v>
      </c>
      <c r="B59" s="30" t="s">
        <v>161</v>
      </c>
      <c r="C59" s="29" t="str">
        <f>IF(ISBLANK('Auditoria CEB'!B88)," ",+'Auditoria CEB'!B88)</f>
        <v xml:space="preserve"> </v>
      </c>
      <c r="D59" s="29" t="str">
        <f>IF(ISBLANK('Auditoria CEB'!D88)," ",+'Auditoria CEB'!D88)</f>
        <v xml:space="preserve"> </v>
      </c>
      <c r="E59" s="29" t="str">
        <f>IF(ISBLANK('Auditoria CEB'!E88)," ",+'Auditoria CEB'!E88)</f>
        <v xml:space="preserve"> </v>
      </c>
      <c r="F59" s="30" t="str">
        <f>IF(ISBLANK('Auditoria CEB'!F68)," ",+'Auditoria CEB'!F68)</f>
        <v xml:space="preserve"> </v>
      </c>
      <c r="G59" s="30" t="str">
        <f>IF(ISBLANK('Auditoria CEB'!I88)," ",+'Auditoria CEB'!I88)</f>
        <v xml:space="preserve"> </v>
      </c>
      <c r="H59" s="30" t="str">
        <f>IF(ISBLANK('Auditoria CEB'!AR88)," ",+'Auditoria CEB'!AR88)</f>
        <v xml:space="preserve"> </v>
      </c>
      <c r="I59" s="45" t="str">
        <f>IF(ISBLANK('Auditoria CEB'!K88)," ",+'Auditoria CEB'!K88)</f>
        <v xml:space="preserve"> </v>
      </c>
      <c r="J59" s="30" t="str">
        <f>IF(ISBLANK('Auditoria CEB'!AM88)," ",+'Auditoria CEB'!AM88)</f>
        <v xml:space="preserve"> </v>
      </c>
    </row>
    <row r="60" spans="1:10">
      <c r="A60" s="30" t="str">
        <f>IF(ISBLANK('Auditoria CEB'!$E$6)," ",'Auditoria CEB'!$E$6)</f>
        <v xml:space="preserve"> </v>
      </c>
      <c r="B60" s="30" t="s">
        <v>161</v>
      </c>
      <c r="C60" s="29" t="str">
        <f>IF(ISBLANK('Auditoria CEB'!B89)," ",+'Auditoria CEB'!B89)</f>
        <v xml:space="preserve"> </v>
      </c>
      <c r="D60" s="29" t="str">
        <f>IF(ISBLANK('Auditoria CEB'!D89)," ",+'Auditoria CEB'!D89)</f>
        <v xml:space="preserve"> </v>
      </c>
      <c r="E60" s="29" t="str">
        <f>IF(ISBLANK('Auditoria CEB'!E89)," ",+'Auditoria CEB'!E89)</f>
        <v xml:space="preserve"> </v>
      </c>
      <c r="F60" s="30" t="str">
        <f>IF(ISBLANK('Auditoria CEB'!F69)," ",+'Auditoria CEB'!F69)</f>
        <v xml:space="preserve"> </v>
      </c>
      <c r="G60" s="30" t="str">
        <f>IF(ISBLANK('Auditoria CEB'!I89)," ",+'Auditoria CEB'!I89)</f>
        <v xml:space="preserve"> </v>
      </c>
      <c r="H60" s="30" t="str">
        <f>IF(ISBLANK('Auditoria CEB'!AR89)," ",+'Auditoria CEB'!AR89)</f>
        <v xml:space="preserve"> </v>
      </c>
      <c r="I60" s="45" t="str">
        <f>IF(ISBLANK('Auditoria CEB'!K89)," ",+'Auditoria CEB'!K89)</f>
        <v xml:space="preserve"> </v>
      </c>
      <c r="J60" s="30" t="str">
        <f>IF(ISBLANK('Auditoria CEB'!AM89)," ",+'Auditoria CEB'!AM89)</f>
        <v xml:space="preserve"> </v>
      </c>
    </row>
    <row r="61" spans="1:10">
      <c r="A61" s="30" t="str">
        <f>IF(ISBLANK('Auditoria CEB'!$E$6)," ",'Auditoria CEB'!$E$6)</f>
        <v xml:space="preserve"> </v>
      </c>
      <c r="B61" s="30" t="s">
        <v>161</v>
      </c>
      <c r="C61" s="29" t="str">
        <f>IF(ISBLANK('Auditoria CEB'!B90)," ",+'Auditoria CEB'!B90)</f>
        <v xml:space="preserve"> </v>
      </c>
      <c r="D61" s="29" t="str">
        <f>IF(ISBLANK('Auditoria CEB'!D90)," ",+'Auditoria CEB'!D90)</f>
        <v xml:space="preserve"> </v>
      </c>
      <c r="E61" s="29" t="str">
        <f>IF(ISBLANK('Auditoria CEB'!E90)," ",+'Auditoria CEB'!E90)</f>
        <v xml:space="preserve"> </v>
      </c>
      <c r="F61" s="30" t="str">
        <f>IF(ISBLANK('Auditoria CEB'!F70)," ",+'Auditoria CEB'!F70)</f>
        <v xml:space="preserve"> </v>
      </c>
      <c r="G61" s="30" t="str">
        <f>IF(ISBLANK('Auditoria CEB'!I90)," ",+'Auditoria CEB'!I90)</f>
        <v xml:space="preserve"> </v>
      </c>
      <c r="H61" s="30" t="str">
        <f>IF(ISBLANK('Auditoria CEB'!AR90)," ",+'Auditoria CEB'!AR90)</f>
        <v xml:space="preserve"> </v>
      </c>
      <c r="I61" s="45" t="str">
        <f>IF(ISBLANK('Auditoria CEB'!K90)," ",+'Auditoria CEB'!K90)</f>
        <v xml:space="preserve"> </v>
      </c>
      <c r="J61" s="30" t="str">
        <f>IF(ISBLANK('Auditoria CEB'!AM90)," ",+'Auditoria CEB'!AM90)</f>
        <v xml:space="preserve"> </v>
      </c>
    </row>
    <row r="62" spans="1:10">
      <c r="A62" s="30" t="str">
        <f>IF(ISBLANK('Auditoria CEB'!$E$6)," ",'Auditoria CEB'!$E$6)</f>
        <v xml:space="preserve"> </v>
      </c>
      <c r="B62" s="30" t="s">
        <v>161</v>
      </c>
      <c r="C62" s="29" t="str">
        <f>IF(ISBLANK('Auditoria CEB'!B91)," ",+'Auditoria CEB'!B91)</f>
        <v xml:space="preserve"> </v>
      </c>
      <c r="D62" s="29" t="str">
        <f>IF(ISBLANK('Auditoria CEB'!D91)," ",+'Auditoria CEB'!D91)</f>
        <v xml:space="preserve"> </v>
      </c>
      <c r="E62" s="29" t="str">
        <f>IF(ISBLANK('Auditoria CEB'!E91)," ",+'Auditoria CEB'!E91)</f>
        <v xml:space="preserve"> </v>
      </c>
      <c r="F62" s="30" t="str">
        <f>IF(ISBLANK('Auditoria CEB'!F71)," ",+'Auditoria CEB'!F71)</f>
        <v xml:space="preserve"> </v>
      </c>
      <c r="G62" s="30" t="str">
        <f>IF(ISBLANK('Auditoria CEB'!I91)," ",+'Auditoria CEB'!I91)</f>
        <v xml:space="preserve"> </v>
      </c>
      <c r="H62" s="30" t="str">
        <f>IF(ISBLANK('Auditoria CEB'!AR91)," ",+'Auditoria CEB'!AR91)</f>
        <v xml:space="preserve"> </v>
      </c>
      <c r="I62" s="45" t="str">
        <f>IF(ISBLANK('Auditoria CEB'!K91)," ",+'Auditoria CEB'!K91)</f>
        <v xml:space="preserve"> </v>
      </c>
      <c r="J62" s="30" t="str">
        <f>IF(ISBLANK('Auditoria CEB'!AM91)," ",+'Auditoria CEB'!AM91)</f>
        <v xml:space="preserve"> </v>
      </c>
    </row>
    <row r="63" spans="1:10">
      <c r="A63" s="30" t="str">
        <f>IF(ISBLANK('Auditoria CEB'!$E$6)," ",'Auditoria CEB'!$E$6)</f>
        <v xml:space="preserve"> </v>
      </c>
      <c r="B63" s="30" t="s">
        <v>161</v>
      </c>
      <c r="C63" s="29" t="str">
        <f>IF(ISBLANK('Auditoria CEB'!B92)," ",+'Auditoria CEB'!B92)</f>
        <v xml:space="preserve"> </v>
      </c>
      <c r="D63" s="29" t="str">
        <f>IF(ISBLANK('Auditoria CEB'!D92)," ",+'Auditoria CEB'!D92)</f>
        <v xml:space="preserve"> </v>
      </c>
      <c r="E63" s="29" t="str">
        <f>IF(ISBLANK('Auditoria CEB'!E92)," ",+'Auditoria CEB'!E92)</f>
        <v xml:space="preserve"> </v>
      </c>
      <c r="F63" s="30" t="str">
        <f>IF(ISBLANK('Auditoria CEB'!F72)," ",+'Auditoria CEB'!F72)</f>
        <v xml:space="preserve"> </v>
      </c>
      <c r="G63" s="30" t="str">
        <f>IF(ISBLANK('Auditoria CEB'!I92)," ",+'Auditoria CEB'!I92)</f>
        <v xml:space="preserve"> </v>
      </c>
      <c r="H63" s="30" t="str">
        <f>IF(ISBLANK('Auditoria CEB'!AR92)," ",+'Auditoria CEB'!AR92)</f>
        <v xml:space="preserve"> </v>
      </c>
      <c r="I63" s="45" t="str">
        <f>IF(ISBLANK('Auditoria CEB'!K92)," ",+'Auditoria CEB'!K92)</f>
        <v xml:space="preserve"> </v>
      </c>
      <c r="J63" s="30" t="str">
        <f>IF(ISBLANK('Auditoria CEB'!AM92)," ",+'Auditoria CEB'!AM92)</f>
        <v xml:space="preserve"> </v>
      </c>
    </row>
    <row r="64" spans="1:10">
      <c r="A64" s="30" t="str">
        <f>IF(ISBLANK('Auditoria CEB'!$E$6)," ",'Auditoria CEB'!$E$6)</f>
        <v xml:space="preserve"> </v>
      </c>
      <c r="B64" s="30" t="s">
        <v>161</v>
      </c>
      <c r="C64" s="29" t="str">
        <f>IF(ISBLANK('Auditoria CEB'!B93)," ",+'Auditoria CEB'!B93)</f>
        <v xml:space="preserve"> </v>
      </c>
      <c r="D64" s="29" t="str">
        <f>IF(ISBLANK('Auditoria CEB'!D93)," ",+'Auditoria CEB'!D93)</f>
        <v xml:space="preserve"> </v>
      </c>
      <c r="E64" s="29" t="str">
        <f>IF(ISBLANK('Auditoria CEB'!E93)," ",+'Auditoria CEB'!E93)</f>
        <v xml:space="preserve"> </v>
      </c>
      <c r="F64" s="30" t="str">
        <f>IF(ISBLANK('Auditoria CEB'!F73)," ",+'Auditoria CEB'!F73)</f>
        <v xml:space="preserve"> </v>
      </c>
      <c r="G64" s="30" t="str">
        <f>IF(ISBLANK('Auditoria CEB'!I93)," ",+'Auditoria CEB'!I93)</f>
        <v xml:space="preserve"> </v>
      </c>
      <c r="H64" s="30" t="str">
        <f>IF(ISBLANK('Auditoria CEB'!AR93)," ",+'Auditoria CEB'!AR93)</f>
        <v xml:space="preserve"> </v>
      </c>
      <c r="I64" s="45" t="str">
        <f>IF(ISBLANK('Auditoria CEB'!K93)," ",+'Auditoria CEB'!K93)</f>
        <v xml:space="preserve"> </v>
      </c>
      <c r="J64" s="30" t="str">
        <f>IF(ISBLANK('Auditoria CEB'!AM93)," ",+'Auditoria CEB'!AM93)</f>
        <v xml:space="preserve"> </v>
      </c>
    </row>
    <row r="65" spans="1:10">
      <c r="A65" s="30" t="str">
        <f>IF(ISBLANK('Auditoria CEB'!$E$6)," ",'Auditoria CEB'!$E$6)</f>
        <v xml:space="preserve"> </v>
      </c>
      <c r="B65" s="30" t="s">
        <v>161</v>
      </c>
      <c r="C65" s="29" t="str">
        <f>IF(ISBLANK('Auditoria CEB'!B94)," ",+'Auditoria CEB'!B94)</f>
        <v xml:space="preserve"> </v>
      </c>
      <c r="D65" s="29" t="str">
        <f>IF(ISBLANK('Auditoria CEB'!D94)," ",+'Auditoria CEB'!D94)</f>
        <v xml:space="preserve"> </v>
      </c>
      <c r="E65" s="29" t="str">
        <f>IF(ISBLANK('Auditoria CEB'!E94)," ",+'Auditoria CEB'!E94)</f>
        <v xml:space="preserve"> </v>
      </c>
      <c r="F65" s="30" t="str">
        <f>IF(ISBLANK('Auditoria CEB'!F74)," ",+'Auditoria CEB'!F74)</f>
        <v xml:space="preserve"> </v>
      </c>
      <c r="G65" s="30" t="str">
        <f>IF(ISBLANK('Auditoria CEB'!I94)," ",+'Auditoria CEB'!I94)</f>
        <v xml:space="preserve"> </v>
      </c>
      <c r="H65" s="30" t="str">
        <f>IF(ISBLANK('Auditoria CEB'!AR94)," ",+'Auditoria CEB'!AR94)</f>
        <v xml:space="preserve"> </v>
      </c>
      <c r="I65" s="45" t="str">
        <f>IF(ISBLANK('Auditoria CEB'!K94)," ",+'Auditoria CEB'!K94)</f>
        <v xml:space="preserve"> </v>
      </c>
      <c r="J65" s="30" t="str">
        <f>IF(ISBLANK('Auditoria CEB'!AM94)," ",+'Auditoria CEB'!AM94)</f>
        <v xml:space="preserve"> </v>
      </c>
    </row>
    <row r="66" spans="1:10">
      <c r="A66" s="30" t="str">
        <f>IF(ISBLANK('Auditoria CEB'!$E$6)," ",'Auditoria CEB'!$E$6)</f>
        <v xml:space="preserve"> </v>
      </c>
      <c r="B66" s="30" t="s">
        <v>161</v>
      </c>
      <c r="C66" s="29" t="str">
        <f>IF(ISBLANK('Auditoria CEB'!B95)," ",+'Auditoria CEB'!B95)</f>
        <v xml:space="preserve"> </v>
      </c>
      <c r="D66" s="29" t="str">
        <f>IF(ISBLANK('Auditoria CEB'!D95)," ",+'Auditoria CEB'!D95)</f>
        <v xml:space="preserve"> </v>
      </c>
      <c r="E66" s="29" t="str">
        <f>IF(ISBLANK('Auditoria CEB'!E95)," ",+'Auditoria CEB'!E95)</f>
        <v xml:space="preserve"> </v>
      </c>
      <c r="F66" s="30" t="str">
        <f>IF(ISBLANK('Auditoria CEB'!F75)," ",+'Auditoria CEB'!F75)</f>
        <v xml:space="preserve"> </v>
      </c>
      <c r="G66" s="30" t="str">
        <f>IF(ISBLANK('Auditoria CEB'!I95)," ",+'Auditoria CEB'!I95)</f>
        <v xml:space="preserve"> </v>
      </c>
      <c r="H66" s="30" t="str">
        <f>IF(ISBLANK('Auditoria CEB'!AR95)," ",+'Auditoria CEB'!AR95)</f>
        <v xml:space="preserve"> </v>
      </c>
      <c r="I66" s="45" t="str">
        <f>IF(ISBLANK('Auditoria CEB'!K95)," ",+'Auditoria CEB'!K95)</f>
        <v xml:space="preserve"> </v>
      </c>
      <c r="J66" s="30" t="str">
        <f>IF(ISBLANK('Auditoria CEB'!AM95)," ",+'Auditoria CEB'!AM95)</f>
        <v xml:space="preserve"> </v>
      </c>
    </row>
    <row r="67" spans="1:10">
      <c r="A67" s="30" t="str">
        <f>IF(ISBLANK('Auditoria CEB'!$E$6)," ",'Auditoria CEB'!$E$6)</f>
        <v xml:space="preserve"> </v>
      </c>
      <c r="B67" s="30" t="s">
        <v>161</v>
      </c>
      <c r="C67" s="29" t="str">
        <f>IF(ISBLANK('Auditoria CEB'!B96)," ",+'Auditoria CEB'!B96)</f>
        <v xml:space="preserve"> </v>
      </c>
      <c r="D67" s="29" t="str">
        <f>IF(ISBLANK('Auditoria CEB'!D96)," ",+'Auditoria CEB'!D96)</f>
        <v xml:space="preserve"> </v>
      </c>
      <c r="E67" s="29" t="str">
        <f>IF(ISBLANK('Auditoria CEB'!E96)," ",+'Auditoria CEB'!E96)</f>
        <v xml:space="preserve"> </v>
      </c>
      <c r="F67" s="30" t="str">
        <f>IF(ISBLANK('Auditoria CEB'!F76)," ",+'Auditoria CEB'!F76)</f>
        <v xml:space="preserve"> </v>
      </c>
      <c r="G67" s="30" t="str">
        <f>IF(ISBLANK('Auditoria CEB'!I96)," ",+'Auditoria CEB'!I96)</f>
        <v xml:space="preserve"> </v>
      </c>
      <c r="H67" s="30" t="str">
        <f>IF(ISBLANK('Auditoria CEB'!AR96)," ",+'Auditoria CEB'!AR96)</f>
        <v xml:space="preserve"> </v>
      </c>
      <c r="I67" s="45" t="str">
        <f>IF(ISBLANK('Auditoria CEB'!K96)," ",+'Auditoria CEB'!K96)</f>
        <v xml:space="preserve"> </v>
      </c>
      <c r="J67" s="30" t="str">
        <f>IF(ISBLANK('Auditoria CEB'!AM96)," ",+'Auditoria CEB'!AM96)</f>
        <v xml:space="preserve"> </v>
      </c>
    </row>
    <row r="68" spans="1:10">
      <c r="A68" s="30" t="str">
        <f>IF(ISBLANK('Auditoria CEB'!$E$6)," ",'Auditoria CEB'!$E$6)</f>
        <v xml:space="preserve"> </v>
      </c>
      <c r="B68" s="30" t="s">
        <v>161</v>
      </c>
      <c r="C68" s="29" t="str">
        <f>IF(ISBLANK('Auditoria CEB'!B97)," ",+'Auditoria CEB'!B97)</f>
        <v xml:space="preserve"> </v>
      </c>
      <c r="D68" s="29" t="str">
        <f>IF(ISBLANK('Auditoria CEB'!D97)," ",+'Auditoria CEB'!D97)</f>
        <v xml:space="preserve"> </v>
      </c>
      <c r="E68" s="29" t="str">
        <f>IF(ISBLANK('Auditoria CEB'!E97)," ",+'Auditoria CEB'!E97)</f>
        <v xml:space="preserve"> </v>
      </c>
      <c r="F68" s="30" t="str">
        <f>IF(ISBLANK('Auditoria CEB'!F77)," ",+'Auditoria CEB'!F77)</f>
        <v xml:space="preserve"> </v>
      </c>
      <c r="G68" s="30" t="str">
        <f>IF(ISBLANK('Auditoria CEB'!I97)," ",+'Auditoria CEB'!I97)</f>
        <v xml:space="preserve"> </v>
      </c>
      <c r="H68" s="30" t="str">
        <f>IF(ISBLANK('Auditoria CEB'!AR97)," ",+'Auditoria CEB'!AR97)</f>
        <v xml:space="preserve"> </v>
      </c>
      <c r="I68" s="45" t="str">
        <f>IF(ISBLANK('Auditoria CEB'!K97)," ",+'Auditoria CEB'!K97)</f>
        <v xml:space="preserve"> </v>
      </c>
      <c r="J68" s="30" t="str">
        <f>IF(ISBLANK('Auditoria CEB'!AM97)," ",+'Auditoria CEB'!AM97)</f>
        <v xml:space="preserve"> </v>
      </c>
    </row>
    <row r="69" spans="1:10">
      <c r="A69" s="30" t="str">
        <f>IF(ISBLANK('Auditoria CEB'!$E$6)," ",'Auditoria CEB'!$E$6)</f>
        <v xml:space="preserve"> </v>
      </c>
      <c r="B69" s="30" t="s">
        <v>161</v>
      </c>
      <c r="C69" s="29" t="str">
        <f>IF(ISBLANK('Auditoria CEB'!B98)," ",+'Auditoria CEB'!B98)</f>
        <v xml:space="preserve"> </v>
      </c>
      <c r="D69" s="29" t="str">
        <f>IF(ISBLANK('Auditoria CEB'!D98)," ",+'Auditoria CEB'!D98)</f>
        <v xml:space="preserve"> </v>
      </c>
      <c r="E69" s="29" t="str">
        <f>IF(ISBLANK('Auditoria CEB'!E98)," ",+'Auditoria CEB'!E98)</f>
        <v xml:space="preserve"> </v>
      </c>
      <c r="F69" s="30" t="str">
        <f>IF(ISBLANK('Auditoria CEB'!F78)," ",+'Auditoria CEB'!F78)</f>
        <v xml:space="preserve"> </v>
      </c>
      <c r="G69" s="30" t="str">
        <f>IF(ISBLANK('Auditoria CEB'!I98)," ",+'Auditoria CEB'!I98)</f>
        <v xml:space="preserve"> </v>
      </c>
      <c r="H69" s="30" t="str">
        <f>IF(ISBLANK('Auditoria CEB'!AR98)," ",+'Auditoria CEB'!AR98)</f>
        <v xml:space="preserve"> </v>
      </c>
      <c r="I69" s="45" t="str">
        <f>IF(ISBLANK('Auditoria CEB'!K98)," ",+'Auditoria CEB'!K98)</f>
        <v xml:space="preserve"> </v>
      </c>
      <c r="J69" s="30" t="str">
        <f>IF(ISBLANK('Auditoria CEB'!AM98)," ",+'Auditoria CEB'!AM98)</f>
        <v xml:space="preserve"> </v>
      </c>
    </row>
    <row r="70" spans="1:10">
      <c r="A70" s="30" t="str">
        <f>IF(ISBLANK('Auditoria CEB'!$E$6)," ",'Auditoria CEB'!$E$6)</f>
        <v xml:space="preserve"> </v>
      </c>
      <c r="B70" s="30" t="s">
        <v>161</v>
      </c>
      <c r="C70" s="29" t="str">
        <f>IF(ISBLANK('Auditoria CEB'!B99)," ",+'Auditoria CEB'!B99)</f>
        <v xml:space="preserve"> </v>
      </c>
      <c r="D70" s="29" t="str">
        <f>IF(ISBLANK('Auditoria CEB'!D99)," ",+'Auditoria CEB'!D99)</f>
        <v xml:space="preserve"> </v>
      </c>
      <c r="E70" s="29" t="str">
        <f>IF(ISBLANK('Auditoria CEB'!E99)," ",+'Auditoria CEB'!E99)</f>
        <v xml:space="preserve"> </v>
      </c>
      <c r="F70" s="30" t="str">
        <f>IF(ISBLANK('Auditoria CEB'!F79)," ",+'Auditoria CEB'!F79)</f>
        <v xml:space="preserve"> </v>
      </c>
      <c r="G70" s="30" t="str">
        <f>IF(ISBLANK('Auditoria CEB'!I99)," ",+'Auditoria CEB'!I99)</f>
        <v xml:space="preserve"> </v>
      </c>
      <c r="H70" s="30" t="str">
        <f>IF(ISBLANK('Auditoria CEB'!AR99)," ",+'Auditoria CEB'!AR99)</f>
        <v xml:space="preserve"> </v>
      </c>
      <c r="I70" s="45" t="str">
        <f>IF(ISBLANK('Auditoria CEB'!K99)," ",+'Auditoria CEB'!K99)</f>
        <v xml:space="preserve"> </v>
      </c>
      <c r="J70" s="30" t="str">
        <f>IF(ISBLANK('Auditoria CEB'!AM99)," ",+'Auditoria CEB'!AM99)</f>
        <v xml:space="preserve"> </v>
      </c>
    </row>
    <row r="71" spans="1:10">
      <c r="A71" s="30" t="str">
        <f>IF(ISBLANK('Auditoria CEB'!$E$6)," ",'Auditoria CEB'!$E$6)</f>
        <v xml:space="preserve"> </v>
      </c>
      <c r="B71" s="30" t="s">
        <v>161</v>
      </c>
      <c r="C71" s="29" t="str">
        <f>IF(ISBLANK('Auditoria CEB'!B100)," ",+'Auditoria CEB'!B100)</f>
        <v xml:space="preserve"> </v>
      </c>
      <c r="D71" s="29" t="str">
        <f>IF(ISBLANK('Auditoria CEB'!D100)," ",+'Auditoria CEB'!D100)</f>
        <v xml:space="preserve"> </v>
      </c>
      <c r="E71" s="29" t="str">
        <f>IF(ISBLANK('Auditoria CEB'!E100)," ",+'Auditoria CEB'!E100)</f>
        <v xml:space="preserve"> </v>
      </c>
      <c r="F71" s="30" t="str">
        <f>IF(ISBLANK('Auditoria CEB'!F80)," ",+'Auditoria CEB'!F80)</f>
        <v xml:space="preserve"> </v>
      </c>
      <c r="G71" s="30" t="str">
        <f>IF(ISBLANK('Auditoria CEB'!I100)," ",+'Auditoria CEB'!I100)</f>
        <v xml:space="preserve"> </v>
      </c>
      <c r="H71" s="30" t="str">
        <f>IF(ISBLANK('Auditoria CEB'!AR100)," ",+'Auditoria CEB'!AR100)</f>
        <v xml:space="preserve"> </v>
      </c>
      <c r="I71" s="45" t="str">
        <f>IF(ISBLANK('Auditoria CEB'!K100)," ",+'Auditoria CEB'!K100)</f>
        <v xml:space="preserve"> </v>
      </c>
      <c r="J71" s="30" t="str">
        <f>IF(ISBLANK('Auditoria CEB'!AM100)," ",+'Auditoria CEB'!AM100)</f>
        <v xml:space="preserve"> </v>
      </c>
    </row>
    <row r="72" spans="1:10">
      <c r="A72" s="30" t="str">
        <f>IF(ISBLANK('Auditoria CEB'!$E$6)," ",'Auditoria CEB'!$E$6)</f>
        <v xml:space="preserve"> </v>
      </c>
      <c r="B72" s="30" t="s">
        <v>161</v>
      </c>
      <c r="C72" s="29" t="str">
        <f>IF(ISBLANK('Auditoria CEB'!B101)," ",+'Auditoria CEB'!B101)</f>
        <v xml:space="preserve"> </v>
      </c>
      <c r="D72" s="29" t="str">
        <f>IF(ISBLANK('Auditoria CEB'!D101)," ",+'Auditoria CEB'!D101)</f>
        <v xml:space="preserve"> </v>
      </c>
      <c r="E72" s="29" t="str">
        <f>IF(ISBLANK('Auditoria CEB'!E101)," ",+'Auditoria CEB'!E101)</f>
        <v xml:space="preserve"> </v>
      </c>
      <c r="F72" s="30" t="str">
        <f>IF(ISBLANK('Auditoria CEB'!F81)," ",+'Auditoria CEB'!F81)</f>
        <v xml:space="preserve"> </v>
      </c>
      <c r="G72" s="30" t="str">
        <f>IF(ISBLANK('Auditoria CEB'!I101)," ",+'Auditoria CEB'!I101)</f>
        <v xml:space="preserve"> </v>
      </c>
      <c r="H72" s="30" t="str">
        <f>IF(ISBLANK('Auditoria CEB'!AR101)," ",+'Auditoria CEB'!AR101)</f>
        <v xml:space="preserve"> </v>
      </c>
      <c r="I72" s="45" t="str">
        <f>IF(ISBLANK('Auditoria CEB'!K101)," ",+'Auditoria CEB'!K101)</f>
        <v xml:space="preserve"> </v>
      </c>
      <c r="J72" s="30" t="str">
        <f>IF(ISBLANK('Auditoria CEB'!AM101)," ",+'Auditoria CEB'!AM101)</f>
        <v xml:space="preserve"> </v>
      </c>
    </row>
    <row r="73" spans="1:10">
      <c r="A73" s="30" t="str">
        <f>IF(ISBLANK('Auditoria CEB'!$E$6)," ",'Auditoria CEB'!$E$6)</f>
        <v xml:space="preserve"> </v>
      </c>
      <c r="B73" s="30" t="s">
        <v>161</v>
      </c>
      <c r="C73" s="29" t="str">
        <f>IF(ISBLANK('Auditoria CEB'!B102)," ",+'Auditoria CEB'!B102)</f>
        <v xml:space="preserve"> </v>
      </c>
      <c r="D73" s="29" t="str">
        <f>IF(ISBLANK('Auditoria CEB'!D102)," ",+'Auditoria CEB'!D102)</f>
        <v xml:space="preserve"> </v>
      </c>
      <c r="E73" s="29" t="str">
        <f>IF(ISBLANK('Auditoria CEB'!E102)," ",+'Auditoria CEB'!E102)</f>
        <v xml:space="preserve"> </v>
      </c>
      <c r="F73" s="30" t="str">
        <f>IF(ISBLANK('Auditoria CEB'!F82)," ",+'Auditoria CEB'!F82)</f>
        <v xml:space="preserve"> </v>
      </c>
      <c r="G73" s="30" t="str">
        <f>IF(ISBLANK('Auditoria CEB'!I102)," ",+'Auditoria CEB'!I102)</f>
        <v xml:space="preserve"> </v>
      </c>
      <c r="H73" s="30" t="str">
        <f>IF(ISBLANK('Auditoria CEB'!AR102)," ",+'Auditoria CEB'!AR102)</f>
        <v xml:space="preserve"> </v>
      </c>
      <c r="I73" s="45" t="str">
        <f>IF(ISBLANK('Auditoria CEB'!K102)," ",+'Auditoria CEB'!K102)</f>
        <v xml:space="preserve"> </v>
      </c>
      <c r="J73" s="30" t="str">
        <f>IF(ISBLANK('Auditoria CEB'!AM102)," ",+'Auditoria CEB'!AM102)</f>
        <v xml:space="preserve"> </v>
      </c>
    </row>
    <row r="74" spans="1:10">
      <c r="A74" s="30" t="str">
        <f>IF(ISBLANK('Auditoria CEB'!$E$6)," ",'Auditoria CEB'!$E$6)</f>
        <v xml:space="preserve"> </v>
      </c>
      <c r="B74" s="30" t="s">
        <v>161</v>
      </c>
      <c r="C74" s="29" t="str">
        <f>IF(ISBLANK('Auditoria CEB'!B103)," ",+'Auditoria CEB'!B103)</f>
        <v xml:space="preserve"> </v>
      </c>
      <c r="D74" s="29" t="str">
        <f>IF(ISBLANK('Auditoria CEB'!D103)," ",+'Auditoria CEB'!D103)</f>
        <v xml:space="preserve"> </v>
      </c>
      <c r="E74" s="29" t="str">
        <f>IF(ISBLANK('Auditoria CEB'!E103)," ",+'Auditoria CEB'!E103)</f>
        <v xml:space="preserve"> </v>
      </c>
      <c r="F74" s="30" t="str">
        <f>IF(ISBLANK('Auditoria CEB'!F83)," ",+'Auditoria CEB'!F83)</f>
        <v xml:space="preserve"> </v>
      </c>
      <c r="G74" s="30" t="str">
        <f>IF(ISBLANK('Auditoria CEB'!I103)," ",+'Auditoria CEB'!I103)</f>
        <v xml:space="preserve"> </v>
      </c>
      <c r="H74" s="30" t="str">
        <f>IF(ISBLANK('Auditoria CEB'!AR103)," ",+'Auditoria CEB'!AR103)</f>
        <v xml:space="preserve"> </v>
      </c>
      <c r="I74" s="45" t="str">
        <f>IF(ISBLANK('Auditoria CEB'!K103)," ",+'Auditoria CEB'!K103)</f>
        <v xml:space="preserve"> </v>
      </c>
      <c r="J74" s="30" t="str">
        <f>IF(ISBLANK('Auditoria CEB'!AM103)," ",+'Auditoria CEB'!AM103)</f>
        <v xml:space="preserve"> </v>
      </c>
    </row>
    <row r="75" spans="1:10">
      <c r="A75" s="30" t="str">
        <f>IF(ISBLANK('Auditoria CEB'!$E$6)," ",'Auditoria CEB'!$E$6)</f>
        <v xml:space="preserve"> </v>
      </c>
      <c r="B75" s="30" t="s">
        <v>161</v>
      </c>
      <c r="C75" s="29" t="str">
        <f>IF(ISBLANK('Auditoria CEB'!B104)," ",+'Auditoria CEB'!B104)</f>
        <v xml:space="preserve"> </v>
      </c>
      <c r="D75" s="29" t="str">
        <f>IF(ISBLANK('Auditoria CEB'!D104)," ",+'Auditoria CEB'!D104)</f>
        <v xml:space="preserve"> </v>
      </c>
      <c r="E75" s="29" t="str">
        <f>IF(ISBLANK('Auditoria CEB'!E104)," ",+'Auditoria CEB'!E104)</f>
        <v xml:space="preserve"> </v>
      </c>
      <c r="F75" s="30" t="str">
        <f>IF(ISBLANK('Auditoria CEB'!F84)," ",+'Auditoria CEB'!F84)</f>
        <v xml:space="preserve"> </v>
      </c>
      <c r="G75" s="30" t="str">
        <f>IF(ISBLANK('Auditoria CEB'!I104)," ",+'Auditoria CEB'!I104)</f>
        <v xml:space="preserve"> </v>
      </c>
      <c r="H75" s="30" t="str">
        <f>IF(ISBLANK('Auditoria CEB'!AR104)," ",+'Auditoria CEB'!AR104)</f>
        <v xml:space="preserve"> </v>
      </c>
      <c r="I75" s="45" t="str">
        <f>IF(ISBLANK('Auditoria CEB'!K104)," ",+'Auditoria CEB'!K104)</f>
        <v xml:space="preserve"> </v>
      </c>
      <c r="J75" s="30" t="str">
        <f>IF(ISBLANK('Auditoria CEB'!AM104)," ",+'Auditoria CEB'!AM104)</f>
        <v xml:space="preserve"> </v>
      </c>
    </row>
    <row r="76" spans="1:10">
      <c r="A76" s="30" t="str">
        <f>IF(ISBLANK('Auditoria CEB'!$E$6)," ",'Auditoria CEB'!$E$6)</f>
        <v xml:space="preserve"> </v>
      </c>
      <c r="B76" s="30" t="s">
        <v>161</v>
      </c>
      <c r="C76" s="29" t="str">
        <f>IF(ISBLANK('Auditoria CEB'!B105)," ",+'Auditoria CEB'!B105)</f>
        <v xml:space="preserve"> </v>
      </c>
      <c r="D76" s="29" t="str">
        <f>IF(ISBLANK('Auditoria CEB'!D105)," ",+'Auditoria CEB'!D105)</f>
        <v xml:space="preserve"> </v>
      </c>
      <c r="E76" s="29" t="str">
        <f>IF(ISBLANK('Auditoria CEB'!E105)," ",+'Auditoria CEB'!E105)</f>
        <v xml:space="preserve"> </v>
      </c>
      <c r="F76" s="30" t="str">
        <f>IF(ISBLANK('Auditoria CEB'!F85)," ",+'Auditoria CEB'!F85)</f>
        <v xml:space="preserve"> </v>
      </c>
      <c r="G76" s="30" t="str">
        <f>IF(ISBLANK('Auditoria CEB'!I105)," ",+'Auditoria CEB'!I105)</f>
        <v xml:space="preserve"> </v>
      </c>
      <c r="H76" s="30" t="str">
        <f>IF(ISBLANK('Auditoria CEB'!AR105)," ",+'Auditoria CEB'!AR105)</f>
        <v xml:space="preserve"> </v>
      </c>
      <c r="I76" s="45" t="str">
        <f>IF(ISBLANK('Auditoria CEB'!K105)," ",+'Auditoria CEB'!K105)</f>
        <v xml:space="preserve"> </v>
      </c>
      <c r="J76" s="30" t="str">
        <f>IF(ISBLANK('Auditoria CEB'!AM105)," ",+'Auditoria CEB'!AM105)</f>
        <v xml:space="preserve"> </v>
      </c>
    </row>
    <row r="77" spans="1:10">
      <c r="A77" s="30" t="str">
        <f>IF(ISBLANK('Auditoria CEB'!$E$6)," ",'Auditoria CEB'!$E$6)</f>
        <v xml:space="preserve"> </v>
      </c>
      <c r="B77" s="30" t="s">
        <v>161</v>
      </c>
      <c r="C77" s="29" t="str">
        <f>IF(ISBLANK('Auditoria CEB'!B106)," ",+'Auditoria CEB'!B106)</f>
        <v xml:space="preserve"> </v>
      </c>
      <c r="D77" s="29" t="str">
        <f>IF(ISBLANK('Auditoria CEB'!D106)," ",+'Auditoria CEB'!D106)</f>
        <v xml:space="preserve"> </v>
      </c>
      <c r="E77" s="29" t="str">
        <f>IF(ISBLANK('Auditoria CEB'!E106)," ",+'Auditoria CEB'!E106)</f>
        <v xml:space="preserve"> </v>
      </c>
      <c r="F77" s="30" t="str">
        <f>IF(ISBLANK('Auditoria CEB'!F86)," ",+'Auditoria CEB'!F86)</f>
        <v xml:space="preserve"> </v>
      </c>
      <c r="G77" s="30" t="str">
        <f>IF(ISBLANK('Auditoria CEB'!I106)," ",+'Auditoria CEB'!I106)</f>
        <v xml:space="preserve"> </v>
      </c>
      <c r="H77" s="30" t="str">
        <f>IF(ISBLANK('Auditoria CEB'!AR106)," ",+'Auditoria CEB'!AR106)</f>
        <v xml:space="preserve"> </v>
      </c>
      <c r="I77" s="45" t="str">
        <f>IF(ISBLANK('Auditoria CEB'!K106)," ",+'Auditoria CEB'!K106)</f>
        <v xml:space="preserve"> </v>
      </c>
      <c r="J77" s="30" t="str">
        <f>IF(ISBLANK('Auditoria CEB'!AM106)," ",+'Auditoria CEB'!AM106)</f>
        <v xml:space="preserve"> </v>
      </c>
    </row>
    <row r="78" spans="1:10">
      <c r="A78" s="30" t="str">
        <f>IF(ISBLANK('Auditoria CEB'!$E$6)," ",'Auditoria CEB'!$E$6)</f>
        <v xml:space="preserve"> </v>
      </c>
      <c r="B78" s="30" t="s">
        <v>161</v>
      </c>
      <c r="C78" s="29" t="str">
        <f>IF(ISBLANK('Auditoria CEB'!B107)," ",+'Auditoria CEB'!B107)</f>
        <v xml:space="preserve"> </v>
      </c>
      <c r="D78" s="29" t="str">
        <f>IF(ISBLANK('Auditoria CEB'!D107)," ",+'Auditoria CEB'!D107)</f>
        <v xml:space="preserve"> </v>
      </c>
      <c r="E78" s="29" t="str">
        <f>IF(ISBLANK('Auditoria CEB'!E107)," ",+'Auditoria CEB'!E107)</f>
        <v xml:space="preserve"> </v>
      </c>
      <c r="F78" s="30" t="str">
        <f>IF(ISBLANK('Auditoria CEB'!F87)," ",+'Auditoria CEB'!F87)</f>
        <v xml:space="preserve"> </v>
      </c>
      <c r="G78" s="30" t="str">
        <f>IF(ISBLANK('Auditoria CEB'!I107)," ",+'Auditoria CEB'!I107)</f>
        <v xml:space="preserve"> </v>
      </c>
      <c r="H78" s="30" t="str">
        <f>IF(ISBLANK('Auditoria CEB'!AR107)," ",+'Auditoria CEB'!AR107)</f>
        <v xml:space="preserve"> </v>
      </c>
      <c r="I78" s="45" t="str">
        <f>IF(ISBLANK('Auditoria CEB'!K107)," ",+'Auditoria CEB'!K107)</f>
        <v xml:space="preserve"> </v>
      </c>
      <c r="J78" s="30" t="str">
        <f>IF(ISBLANK('Auditoria CEB'!AM107)," ",+'Auditoria CEB'!AM107)</f>
        <v xml:space="preserve"> </v>
      </c>
    </row>
    <row r="79" spans="1:10">
      <c r="A79" s="30" t="str">
        <f>IF(ISBLANK('Auditoria CEB'!$E$6)," ",'Auditoria CEB'!$E$6)</f>
        <v xml:space="preserve"> </v>
      </c>
      <c r="B79" s="30" t="s">
        <v>161</v>
      </c>
      <c r="C79" s="29" t="str">
        <f>IF(ISBLANK('Auditoria CEB'!B108)," ",+'Auditoria CEB'!B108)</f>
        <v xml:space="preserve"> </v>
      </c>
      <c r="D79" s="29" t="str">
        <f>IF(ISBLANK('Auditoria CEB'!D108)," ",+'Auditoria CEB'!D108)</f>
        <v xml:space="preserve"> </v>
      </c>
      <c r="E79" s="29" t="str">
        <f>IF(ISBLANK('Auditoria CEB'!E108)," ",+'Auditoria CEB'!E108)</f>
        <v xml:space="preserve"> </v>
      </c>
      <c r="F79" s="30" t="str">
        <f>IF(ISBLANK('Auditoria CEB'!F88)," ",+'Auditoria CEB'!F88)</f>
        <v xml:space="preserve"> </v>
      </c>
      <c r="G79" s="30" t="str">
        <f>IF(ISBLANK('Auditoria CEB'!I108)," ",+'Auditoria CEB'!I108)</f>
        <v xml:space="preserve"> </v>
      </c>
      <c r="H79" s="30" t="str">
        <f>IF(ISBLANK('Auditoria CEB'!AR108)," ",+'Auditoria CEB'!AR108)</f>
        <v xml:space="preserve"> </v>
      </c>
      <c r="I79" s="45" t="str">
        <f>IF(ISBLANK('Auditoria CEB'!K108)," ",+'Auditoria CEB'!K108)</f>
        <v xml:space="preserve"> </v>
      </c>
      <c r="J79" s="30" t="str">
        <f>IF(ISBLANK('Auditoria CEB'!AM108)," ",+'Auditoria CEB'!AM108)</f>
        <v xml:space="preserve"> </v>
      </c>
    </row>
    <row r="80" spans="1:10">
      <c r="A80" s="30" t="str">
        <f>IF(ISBLANK('Auditoria CEB'!$E$6)," ",'Auditoria CEB'!$E$6)</f>
        <v xml:space="preserve"> </v>
      </c>
      <c r="B80" s="30" t="s">
        <v>161</v>
      </c>
      <c r="C80" s="29" t="str">
        <f>IF(ISBLANK('Auditoria CEB'!B109)," ",+'Auditoria CEB'!B109)</f>
        <v xml:space="preserve"> </v>
      </c>
      <c r="D80" s="29" t="str">
        <f>IF(ISBLANK('Auditoria CEB'!D109)," ",+'Auditoria CEB'!D109)</f>
        <v xml:space="preserve"> </v>
      </c>
      <c r="E80" s="29" t="str">
        <f>IF(ISBLANK('Auditoria CEB'!E109)," ",+'Auditoria CEB'!E109)</f>
        <v xml:space="preserve"> </v>
      </c>
      <c r="F80" s="30" t="str">
        <f>IF(ISBLANK('Auditoria CEB'!F89)," ",+'Auditoria CEB'!F89)</f>
        <v xml:space="preserve"> </v>
      </c>
      <c r="G80" s="30" t="str">
        <f>IF(ISBLANK('Auditoria CEB'!I109)," ",+'Auditoria CEB'!I109)</f>
        <v xml:space="preserve"> </v>
      </c>
      <c r="H80" s="30" t="str">
        <f>IF(ISBLANK('Auditoria CEB'!AR109)," ",+'Auditoria CEB'!AR109)</f>
        <v xml:space="preserve"> </v>
      </c>
      <c r="I80" s="45" t="str">
        <f>IF(ISBLANK('Auditoria CEB'!K109)," ",+'Auditoria CEB'!K109)</f>
        <v xml:space="preserve"> </v>
      </c>
      <c r="J80" s="30" t="str">
        <f>IF(ISBLANK('Auditoria CEB'!AM109)," ",+'Auditoria CEB'!AM109)</f>
        <v xml:space="preserve"> </v>
      </c>
    </row>
    <row r="81" spans="1:10">
      <c r="A81" s="30" t="str">
        <f>IF(ISBLANK('Auditoria CEB'!$E$6)," ",'Auditoria CEB'!$E$6)</f>
        <v xml:space="preserve"> </v>
      </c>
      <c r="B81" s="30" t="s">
        <v>161</v>
      </c>
      <c r="C81" s="29" t="str">
        <f>IF(ISBLANK('Auditoria CEB'!B110)," ",+'Auditoria CEB'!B110)</f>
        <v xml:space="preserve"> </v>
      </c>
      <c r="D81" s="29" t="str">
        <f>IF(ISBLANK('Auditoria CEB'!D110)," ",+'Auditoria CEB'!D110)</f>
        <v xml:space="preserve"> </v>
      </c>
      <c r="E81" s="29" t="str">
        <f>IF(ISBLANK('Auditoria CEB'!E110)," ",+'Auditoria CEB'!E110)</f>
        <v xml:space="preserve"> </v>
      </c>
      <c r="F81" s="30" t="str">
        <f>IF(ISBLANK('Auditoria CEB'!F90)," ",+'Auditoria CEB'!F90)</f>
        <v xml:space="preserve"> </v>
      </c>
      <c r="G81" s="30" t="str">
        <f>IF(ISBLANK('Auditoria CEB'!I110)," ",+'Auditoria CEB'!I110)</f>
        <v xml:space="preserve"> </v>
      </c>
      <c r="H81" s="30" t="str">
        <f>IF(ISBLANK('Auditoria CEB'!AR110)," ",+'Auditoria CEB'!AR110)</f>
        <v xml:space="preserve"> </v>
      </c>
      <c r="I81" s="45" t="str">
        <f>IF(ISBLANK('Auditoria CEB'!K110)," ",+'Auditoria CEB'!K110)</f>
        <v xml:space="preserve"> </v>
      </c>
      <c r="J81" s="30" t="str">
        <f>IF(ISBLANK('Auditoria CEB'!AM110)," ",+'Auditoria CEB'!AM110)</f>
        <v xml:space="preserve"> </v>
      </c>
    </row>
    <row r="82" spans="1:10">
      <c r="A82" s="30" t="str">
        <f>IF(ISBLANK('Auditoria CEB'!$E$6)," ",'Auditoria CEB'!$E$6)</f>
        <v xml:space="preserve"> </v>
      </c>
      <c r="B82" s="30" t="s">
        <v>161</v>
      </c>
      <c r="C82" s="29" t="str">
        <f>IF(ISBLANK('Auditoria CEB'!B111)," ",+'Auditoria CEB'!B111)</f>
        <v xml:space="preserve"> </v>
      </c>
      <c r="D82" s="29" t="str">
        <f>IF(ISBLANK('Auditoria CEB'!D111)," ",+'Auditoria CEB'!D111)</f>
        <v xml:space="preserve"> </v>
      </c>
      <c r="E82" s="29" t="str">
        <f>IF(ISBLANK('Auditoria CEB'!E111)," ",+'Auditoria CEB'!E111)</f>
        <v xml:space="preserve"> </v>
      </c>
      <c r="F82" s="30" t="str">
        <f>IF(ISBLANK('Auditoria CEB'!F91)," ",+'Auditoria CEB'!F91)</f>
        <v xml:space="preserve"> </v>
      </c>
      <c r="G82" s="30" t="str">
        <f>IF(ISBLANK('Auditoria CEB'!I111)," ",+'Auditoria CEB'!I111)</f>
        <v xml:space="preserve"> </v>
      </c>
      <c r="H82" s="30" t="str">
        <f>IF(ISBLANK('Auditoria CEB'!AR111)," ",+'Auditoria CEB'!AR111)</f>
        <v xml:space="preserve"> </v>
      </c>
      <c r="I82" s="45" t="str">
        <f>IF(ISBLANK('Auditoria CEB'!K111)," ",+'Auditoria CEB'!K111)</f>
        <v xml:space="preserve"> </v>
      </c>
      <c r="J82" s="30" t="str">
        <f>IF(ISBLANK('Auditoria CEB'!AM111)," ",+'Auditoria CEB'!AM111)</f>
        <v xml:space="preserve"> </v>
      </c>
    </row>
    <row r="83" spans="1:10">
      <c r="A83" s="30" t="str">
        <f>IF(ISBLANK('Auditoria CEB'!$E$6)," ",'Auditoria CEB'!$E$6)</f>
        <v xml:space="preserve"> </v>
      </c>
      <c r="B83" s="30" t="s">
        <v>161</v>
      </c>
      <c r="C83" s="29" t="str">
        <f>IF(ISBLANK('Auditoria CEB'!B112)," ",+'Auditoria CEB'!B112)</f>
        <v xml:space="preserve"> </v>
      </c>
      <c r="D83" s="29" t="str">
        <f>IF(ISBLANK('Auditoria CEB'!D112)," ",+'Auditoria CEB'!D112)</f>
        <v xml:space="preserve"> </v>
      </c>
      <c r="E83" s="29" t="str">
        <f>IF(ISBLANK('Auditoria CEB'!E112)," ",+'Auditoria CEB'!E112)</f>
        <v xml:space="preserve"> </v>
      </c>
      <c r="F83" s="30" t="str">
        <f>IF(ISBLANK('Auditoria CEB'!F92)," ",+'Auditoria CEB'!F92)</f>
        <v xml:space="preserve"> </v>
      </c>
      <c r="G83" s="30" t="str">
        <f>IF(ISBLANK('Auditoria CEB'!I112)," ",+'Auditoria CEB'!I112)</f>
        <v xml:space="preserve"> </v>
      </c>
      <c r="H83" s="30" t="str">
        <f>IF(ISBLANK('Auditoria CEB'!AR112)," ",+'Auditoria CEB'!AR112)</f>
        <v xml:space="preserve"> </v>
      </c>
      <c r="I83" s="45" t="str">
        <f>IF(ISBLANK('Auditoria CEB'!K112)," ",+'Auditoria CEB'!K112)</f>
        <v xml:space="preserve"> </v>
      </c>
      <c r="J83" s="30" t="str">
        <f>IF(ISBLANK('Auditoria CEB'!AM112)," ",+'Auditoria CEB'!AM112)</f>
        <v xml:space="preserve"> </v>
      </c>
    </row>
    <row r="84" spans="1:10">
      <c r="A84" s="30" t="str">
        <f>IF(ISBLANK('Auditoria CEB'!$E$6)," ",'Auditoria CEB'!$E$6)</f>
        <v xml:space="preserve"> </v>
      </c>
      <c r="B84" s="30" t="s">
        <v>161</v>
      </c>
      <c r="C84" s="29" t="str">
        <f>IF(ISBLANK('Auditoria CEB'!B113)," ",+'Auditoria CEB'!B113)</f>
        <v xml:space="preserve"> </v>
      </c>
      <c r="D84" s="29" t="str">
        <f>IF(ISBLANK('Auditoria CEB'!D113)," ",+'Auditoria CEB'!D113)</f>
        <v xml:space="preserve"> </v>
      </c>
      <c r="E84" s="29" t="str">
        <f>IF(ISBLANK('Auditoria CEB'!E113)," ",+'Auditoria CEB'!E113)</f>
        <v xml:space="preserve"> </v>
      </c>
      <c r="F84" s="30" t="str">
        <f>IF(ISBLANK('Auditoria CEB'!F93)," ",+'Auditoria CEB'!F93)</f>
        <v xml:space="preserve"> </v>
      </c>
      <c r="G84" s="30" t="str">
        <f>IF(ISBLANK('Auditoria CEB'!I113)," ",+'Auditoria CEB'!I113)</f>
        <v xml:space="preserve"> </v>
      </c>
      <c r="H84" s="30" t="str">
        <f>IF(ISBLANK('Auditoria CEB'!AR113)," ",+'Auditoria CEB'!AR113)</f>
        <v xml:space="preserve"> </v>
      </c>
      <c r="I84" s="45" t="str">
        <f>IF(ISBLANK('Auditoria CEB'!K113)," ",+'Auditoria CEB'!K113)</f>
        <v xml:space="preserve"> </v>
      </c>
      <c r="J84" s="30" t="str">
        <f>IF(ISBLANK('Auditoria CEB'!AM113)," ",+'Auditoria CEB'!AM113)</f>
        <v xml:space="preserve"> </v>
      </c>
    </row>
    <row r="85" spans="1:10">
      <c r="A85" s="30" t="str">
        <f>IF(ISBLANK('Auditoria CEB'!$E$6)," ",'Auditoria CEB'!$E$6)</f>
        <v xml:space="preserve"> </v>
      </c>
      <c r="B85" s="30" t="s">
        <v>161</v>
      </c>
      <c r="C85" s="29" t="str">
        <f>IF(ISBLANK('Auditoria CEB'!B114)," ",+'Auditoria CEB'!B114)</f>
        <v xml:space="preserve"> </v>
      </c>
      <c r="D85" s="29" t="str">
        <f>IF(ISBLANK('Auditoria CEB'!D114)," ",+'Auditoria CEB'!D114)</f>
        <v xml:space="preserve"> </v>
      </c>
      <c r="E85" s="29" t="str">
        <f>IF(ISBLANK('Auditoria CEB'!E114)," ",+'Auditoria CEB'!E114)</f>
        <v xml:space="preserve"> </v>
      </c>
      <c r="F85" s="30" t="str">
        <f>IF(ISBLANK('Auditoria CEB'!F94)," ",+'Auditoria CEB'!F94)</f>
        <v xml:space="preserve"> </v>
      </c>
      <c r="G85" s="30" t="str">
        <f>IF(ISBLANK('Auditoria CEB'!I114)," ",+'Auditoria CEB'!I114)</f>
        <v xml:space="preserve"> </v>
      </c>
      <c r="H85" s="30" t="str">
        <f>IF(ISBLANK('Auditoria CEB'!AR114)," ",+'Auditoria CEB'!AR114)</f>
        <v xml:space="preserve"> </v>
      </c>
      <c r="I85" s="45" t="str">
        <f>IF(ISBLANK('Auditoria CEB'!K114)," ",+'Auditoria CEB'!K114)</f>
        <v xml:space="preserve"> </v>
      </c>
      <c r="J85" s="30" t="str">
        <f>IF(ISBLANK('Auditoria CEB'!AM114)," ",+'Auditoria CEB'!AM114)</f>
        <v xml:space="preserve"> </v>
      </c>
    </row>
    <row r="86" spans="1:10">
      <c r="A86" s="30" t="str">
        <f>IF(ISBLANK('Auditoria CEB'!$E$6)," ",'Auditoria CEB'!$E$6)</f>
        <v xml:space="preserve"> </v>
      </c>
      <c r="B86" s="30" t="s">
        <v>161</v>
      </c>
      <c r="C86" s="29" t="str">
        <f>IF(ISBLANK('Auditoria CEB'!B115)," ",+'Auditoria CEB'!B115)</f>
        <v xml:space="preserve"> </v>
      </c>
      <c r="D86" s="29" t="str">
        <f>IF(ISBLANK('Auditoria CEB'!D115)," ",+'Auditoria CEB'!D115)</f>
        <v xml:space="preserve"> </v>
      </c>
      <c r="E86" s="29" t="str">
        <f>IF(ISBLANK('Auditoria CEB'!E115)," ",+'Auditoria CEB'!E115)</f>
        <v xml:space="preserve"> </v>
      </c>
      <c r="F86" s="30" t="str">
        <f>IF(ISBLANK('Auditoria CEB'!F95)," ",+'Auditoria CEB'!F95)</f>
        <v xml:space="preserve"> </v>
      </c>
      <c r="G86" s="30" t="str">
        <f>IF(ISBLANK('Auditoria CEB'!I115)," ",+'Auditoria CEB'!I115)</f>
        <v xml:space="preserve"> </v>
      </c>
      <c r="H86" s="30" t="str">
        <f>IF(ISBLANK('Auditoria CEB'!AR115)," ",+'Auditoria CEB'!AR115)</f>
        <v xml:space="preserve"> </v>
      </c>
      <c r="I86" s="45" t="str">
        <f>IF(ISBLANK('Auditoria CEB'!K115)," ",+'Auditoria CEB'!K115)</f>
        <v xml:space="preserve"> </v>
      </c>
      <c r="J86" s="30" t="str">
        <f>IF(ISBLANK('Auditoria CEB'!AM115)," ",+'Auditoria CEB'!AM115)</f>
        <v xml:space="preserve"> </v>
      </c>
    </row>
    <row r="87" spans="1:10">
      <c r="A87" s="30" t="str">
        <f>IF(ISBLANK('Auditoria CEB'!$E$6)," ",'Auditoria CEB'!$E$6)</f>
        <v xml:space="preserve"> </v>
      </c>
      <c r="B87" s="30" t="s">
        <v>161</v>
      </c>
      <c r="C87" s="29" t="str">
        <f>IF(ISBLANK('Auditoria CEB'!B116)," ",+'Auditoria CEB'!B116)</f>
        <v xml:space="preserve"> </v>
      </c>
      <c r="D87" s="29" t="str">
        <f>IF(ISBLANK('Auditoria CEB'!D116)," ",+'Auditoria CEB'!D116)</f>
        <v xml:space="preserve"> </v>
      </c>
      <c r="E87" s="29" t="str">
        <f>IF(ISBLANK('Auditoria CEB'!E116)," ",+'Auditoria CEB'!E116)</f>
        <v xml:space="preserve"> </v>
      </c>
      <c r="F87" s="30" t="str">
        <f>IF(ISBLANK('Auditoria CEB'!F96)," ",+'Auditoria CEB'!F96)</f>
        <v xml:space="preserve"> </v>
      </c>
      <c r="G87" s="30" t="str">
        <f>IF(ISBLANK('Auditoria CEB'!I116)," ",+'Auditoria CEB'!I116)</f>
        <v xml:space="preserve"> </v>
      </c>
      <c r="H87" s="30" t="str">
        <f>IF(ISBLANK('Auditoria CEB'!AR116)," ",+'Auditoria CEB'!AR116)</f>
        <v xml:space="preserve"> </v>
      </c>
      <c r="I87" s="45" t="str">
        <f>IF(ISBLANK('Auditoria CEB'!K116)," ",+'Auditoria CEB'!K116)</f>
        <v xml:space="preserve"> </v>
      </c>
      <c r="J87" s="30" t="str">
        <f>IF(ISBLANK('Auditoria CEB'!AM116)," ",+'Auditoria CEB'!AM116)</f>
        <v xml:space="preserve"> </v>
      </c>
    </row>
    <row r="88" spans="1:10">
      <c r="A88" s="30" t="str">
        <f>IF(ISBLANK('Auditoria CEB'!$E$6)," ",'Auditoria CEB'!$E$6)</f>
        <v xml:space="preserve"> </v>
      </c>
      <c r="B88" s="30" t="s">
        <v>161</v>
      </c>
      <c r="C88" s="29" t="str">
        <f>IF(ISBLANK('Auditoria CEB'!B117)," ",+'Auditoria CEB'!B117)</f>
        <v xml:space="preserve"> </v>
      </c>
      <c r="D88" s="29" t="str">
        <f>IF(ISBLANK('Auditoria CEB'!D117)," ",+'Auditoria CEB'!D117)</f>
        <v xml:space="preserve"> </v>
      </c>
      <c r="E88" s="29" t="str">
        <f>IF(ISBLANK('Auditoria CEB'!E117)," ",+'Auditoria CEB'!E117)</f>
        <v xml:space="preserve"> </v>
      </c>
      <c r="F88" s="30" t="str">
        <f>IF(ISBLANK('Auditoria CEB'!F97)," ",+'Auditoria CEB'!F97)</f>
        <v xml:space="preserve"> </v>
      </c>
      <c r="G88" s="30" t="str">
        <f>IF(ISBLANK('Auditoria CEB'!I117)," ",+'Auditoria CEB'!I117)</f>
        <v xml:space="preserve"> </v>
      </c>
      <c r="H88" s="30" t="str">
        <f>IF(ISBLANK('Auditoria CEB'!AR117)," ",+'Auditoria CEB'!AR117)</f>
        <v xml:space="preserve"> </v>
      </c>
      <c r="I88" s="45" t="str">
        <f>IF(ISBLANK('Auditoria CEB'!K117)," ",+'Auditoria CEB'!K117)</f>
        <v xml:space="preserve"> </v>
      </c>
      <c r="J88" s="30" t="str">
        <f>IF(ISBLANK('Auditoria CEB'!AM117)," ",+'Auditoria CEB'!AM117)</f>
        <v xml:space="preserve"> </v>
      </c>
    </row>
    <row r="89" spans="1:10">
      <c r="A89" s="30" t="str">
        <f>IF(ISBLANK('Auditoria CEB'!$E$6)," ",'Auditoria CEB'!$E$6)</f>
        <v xml:space="preserve"> </v>
      </c>
      <c r="B89" s="30" t="s">
        <v>161</v>
      </c>
      <c r="C89" s="29" t="str">
        <f>IF(ISBLANK('Auditoria CEB'!B118)," ",+'Auditoria CEB'!B118)</f>
        <v xml:space="preserve"> </v>
      </c>
      <c r="D89" s="29" t="str">
        <f>IF(ISBLANK('Auditoria CEB'!D118)," ",+'Auditoria CEB'!D118)</f>
        <v xml:space="preserve"> </v>
      </c>
      <c r="E89" s="29" t="str">
        <f>IF(ISBLANK('Auditoria CEB'!E118)," ",+'Auditoria CEB'!E118)</f>
        <v xml:space="preserve"> </v>
      </c>
      <c r="F89" s="30" t="str">
        <f>IF(ISBLANK('Auditoria CEB'!F98)," ",+'Auditoria CEB'!F98)</f>
        <v xml:space="preserve"> </v>
      </c>
      <c r="G89" s="30" t="str">
        <f>IF(ISBLANK('Auditoria CEB'!I118)," ",+'Auditoria CEB'!I118)</f>
        <v xml:space="preserve"> </v>
      </c>
      <c r="H89" s="30" t="str">
        <f>IF(ISBLANK('Auditoria CEB'!AR118)," ",+'Auditoria CEB'!AR118)</f>
        <v xml:space="preserve"> </v>
      </c>
      <c r="I89" s="45" t="str">
        <f>IF(ISBLANK('Auditoria CEB'!K118)," ",+'Auditoria CEB'!K118)</f>
        <v xml:space="preserve"> </v>
      </c>
      <c r="J89" s="30" t="str">
        <f>IF(ISBLANK('Auditoria CEB'!AM118)," ",+'Auditoria CEB'!AM118)</f>
        <v xml:space="preserve"> </v>
      </c>
    </row>
    <row r="90" spans="1:10">
      <c r="A90" s="30" t="str">
        <f>IF(ISBLANK('Auditoria CEB'!$E$6)," ",'Auditoria CEB'!$E$6)</f>
        <v xml:space="preserve"> </v>
      </c>
      <c r="B90" s="30" t="s">
        <v>161</v>
      </c>
      <c r="C90" s="29" t="str">
        <f>IF(ISBLANK('Auditoria CEB'!B119)," ",+'Auditoria CEB'!B119)</f>
        <v xml:space="preserve"> </v>
      </c>
      <c r="D90" s="29" t="str">
        <f>IF(ISBLANK('Auditoria CEB'!D119)," ",+'Auditoria CEB'!D119)</f>
        <v xml:space="preserve"> </v>
      </c>
      <c r="E90" s="29" t="str">
        <f>IF(ISBLANK('Auditoria CEB'!E119)," ",+'Auditoria CEB'!E119)</f>
        <v xml:space="preserve"> </v>
      </c>
      <c r="F90" s="30" t="str">
        <f>IF(ISBLANK('Auditoria CEB'!F99)," ",+'Auditoria CEB'!F99)</f>
        <v xml:space="preserve"> </v>
      </c>
      <c r="G90" s="30" t="str">
        <f>IF(ISBLANK('Auditoria CEB'!I119)," ",+'Auditoria CEB'!I119)</f>
        <v xml:space="preserve"> </v>
      </c>
      <c r="H90" s="30" t="str">
        <f>IF(ISBLANK('Auditoria CEB'!AR119)," ",+'Auditoria CEB'!AR119)</f>
        <v xml:space="preserve"> </v>
      </c>
      <c r="I90" s="45" t="str">
        <f>IF(ISBLANK('Auditoria CEB'!K119)," ",+'Auditoria CEB'!K119)</f>
        <v xml:space="preserve"> </v>
      </c>
      <c r="J90" s="30" t="str">
        <f>IF(ISBLANK('Auditoria CEB'!AM119)," ",+'Auditoria CEB'!AM119)</f>
        <v xml:space="preserve"> </v>
      </c>
    </row>
    <row r="91" spans="1:10">
      <c r="A91" s="30" t="str">
        <f>IF(ISBLANK('Auditoria CEB'!$E$6)," ",'Auditoria CEB'!$E$6)</f>
        <v xml:space="preserve"> </v>
      </c>
      <c r="B91" s="30" t="s">
        <v>161</v>
      </c>
      <c r="C91" s="29" t="str">
        <f>IF(ISBLANK('Auditoria CEB'!B120)," ",+'Auditoria CEB'!B120)</f>
        <v xml:space="preserve"> </v>
      </c>
      <c r="D91" s="29" t="str">
        <f>IF(ISBLANK('Auditoria CEB'!D120)," ",+'Auditoria CEB'!D120)</f>
        <v xml:space="preserve"> </v>
      </c>
      <c r="E91" s="29" t="str">
        <f>IF(ISBLANK('Auditoria CEB'!E120)," ",+'Auditoria CEB'!E120)</f>
        <v xml:space="preserve"> </v>
      </c>
      <c r="F91" s="30" t="str">
        <f>IF(ISBLANK('Auditoria CEB'!F100)," ",+'Auditoria CEB'!F100)</f>
        <v xml:space="preserve"> </v>
      </c>
      <c r="G91" s="30" t="str">
        <f>IF(ISBLANK('Auditoria CEB'!I120)," ",+'Auditoria CEB'!I120)</f>
        <v xml:space="preserve"> </v>
      </c>
      <c r="H91" s="30" t="str">
        <f>IF(ISBLANK('Auditoria CEB'!AR120)," ",+'Auditoria CEB'!AR120)</f>
        <v xml:space="preserve"> </v>
      </c>
      <c r="I91" s="45" t="str">
        <f>IF(ISBLANK('Auditoria CEB'!K120)," ",+'Auditoria CEB'!K120)</f>
        <v xml:space="preserve"> </v>
      </c>
      <c r="J91" s="30" t="str">
        <f>IF(ISBLANK('Auditoria CEB'!AM120)," ",+'Auditoria CEB'!AM120)</f>
        <v xml:space="preserve"> </v>
      </c>
    </row>
    <row r="92" spans="1:10">
      <c r="A92" s="30" t="str">
        <f>IF(ISBLANK('Auditoria CEB'!$E$6)," ",'Auditoria CEB'!$E$6)</f>
        <v xml:space="preserve"> </v>
      </c>
      <c r="B92" s="30" t="s">
        <v>161</v>
      </c>
      <c r="C92" s="29" t="str">
        <f>IF(ISBLANK('Auditoria CEB'!B121)," ",+'Auditoria CEB'!B121)</f>
        <v xml:space="preserve"> </v>
      </c>
      <c r="D92" s="29" t="str">
        <f>IF(ISBLANK('Auditoria CEB'!D121)," ",+'Auditoria CEB'!D121)</f>
        <v xml:space="preserve"> </v>
      </c>
      <c r="E92" s="29" t="str">
        <f>IF(ISBLANK('Auditoria CEB'!E121)," ",+'Auditoria CEB'!E121)</f>
        <v xml:space="preserve"> </v>
      </c>
      <c r="F92" s="30" t="str">
        <f>IF(ISBLANK('Auditoria CEB'!F101)," ",+'Auditoria CEB'!F101)</f>
        <v xml:space="preserve"> </v>
      </c>
      <c r="G92" s="30" t="str">
        <f>IF(ISBLANK('Auditoria CEB'!I121)," ",+'Auditoria CEB'!I121)</f>
        <v xml:space="preserve"> </v>
      </c>
      <c r="H92" s="30" t="str">
        <f>IF(ISBLANK('Auditoria CEB'!AR121)," ",+'Auditoria CEB'!AR121)</f>
        <v xml:space="preserve"> </v>
      </c>
      <c r="I92" s="45" t="str">
        <f>IF(ISBLANK('Auditoria CEB'!K121)," ",+'Auditoria CEB'!K121)</f>
        <v xml:space="preserve"> </v>
      </c>
      <c r="J92" s="30" t="str">
        <f>IF(ISBLANK('Auditoria CEB'!AM121)," ",+'Auditoria CEB'!AM121)</f>
        <v xml:space="preserve"> </v>
      </c>
    </row>
    <row r="93" spans="1:10">
      <c r="A93" s="30" t="str">
        <f>IF(ISBLANK('Auditoria CEB'!$E$6)," ",'Auditoria CEB'!$E$6)</f>
        <v xml:space="preserve"> </v>
      </c>
      <c r="B93" s="30" t="s">
        <v>161</v>
      </c>
      <c r="C93" s="29" t="str">
        <f>IF(ISBLANK('Auditoria CEB'!B122)," ",+'Auditoria CEB'!B122)</f>
        <v xml:space="preserve"> </v>
      </c>
      <c r="D93" s="29" t="str">
        <f>IF(ISBLANK('Auditoria CEB'!D122)," ",+'Auditoria CEB'!D122)</f>
        <v xml:space="preserve"> </v>
      </c>
      <c r="E93" s="29" t="str">
        <f>IF(ISBLANK('Auditoria CEB'!E122)," ",+'Auditoria CEB'!E122)</f>
        <v xml:space="preserve"> </v>
      </c>
      <c r="F93" s="30" t="str">
        <f>IF(ISBLANK('Auditoria CEB'!F102)," ",+'Auditoria CEB'!F102)</f>
        <v xml:space="preserve"> </v>
      </c>
      <c r="G93" s="30" t="str">
        <f>IF(ISBLANK('Auditoria CEB'!I122)," ",+'Auditoria CEB'!I122)</f>
        <v xml:space="preserve"> </v>
      </c>
      <c r="H93" s="30" t="str">
        <f>IF(ISBLANK('Auditoria CEB'!AR122)," ",+'Auditoria CEB'!AR122)</f>
        <v xml:space="preserve"> </v>
      </c>
      <c r="I93" s="45" t="str">
        <f>IF(ISBLANK('Auditoria CEB'!K122)," ",+'Auditoria CEB'!K122)</f>
        <v xml:space="preserve"> </v>
      </c>
      <c r="J93" s="30" t="str">
        <f>IF(ISBLANK('Auditoria CEB'!AM122)," ",+'Auditoria CEB'!AM122)</f>
        <v xml:space="preserve"> </v>
      </c>
    </row>
    <row r="94" spans="1:10">
      <c r="A94" s="30" t="str">
        <f>IF(ISBLANK('Auditoria CEB'!$E$6)," ",'Auditoria CEB'!$E$6)</f>
        <v xml:space="preserve"> </v>
      </c>
      <c r="B94" s="30" t="s">
        <v>161</v>
      </c>
      <c r="C94" s="29" t="str">
        <f>IF(ISBLANK('Auditoria CEB'!B123)," ",+'Auditoria CEB'!B123)</f>
        <v xml:space="preserve"> </v>
      </c>
      <c r="D94" s="29" t="str">
        <f>IF(ISBLANK('Auditoria CEB'!D123)," ",+'Auditoria CEB'!D123)</f>
        <v xml:space="preserve"> </v>
      </c>
      <c r="E94" s="29" t="str">
        <f>IF(ISBLANK('Auditoria CEB'!E123)," ",+'Auditoria CEB'!E123)</f>
        <v xml:space="preserve"> </v>
      </c>
      <c r="F94" s="30" t="str">
        <f>IF(ISBLANK('Auditoria CEB'!F103)," ",+'Auditoria CEB'!F103)</f>
        <v xml:space="preserve"> </v>
      </c>
      <c r="G94" s="30" t="str">
        <f>IF(ISBLANK('Auditoria CEB'!I123)," ",+'Auditoria CEB'!I123)</f>
        <v xml:space="preserve"> </v>
      </c>
      <c r="H94" s="30" t="str">
        <f>IF(ISBLANK('Auditoria CEB'!AR123)," ",+'Auditoria CEB'!AR123)</f>
        <v xml:space="preserve"> </v>
      </c>
      <c r="I94" s="45" t="str">
        <f>IF(ISBLANK('Auditoria CEB'!K123)," ",+'Auditoria CEB'!K123)</f>
        <v xml:space="preserve"> </v>
      </c>
      <c r="J94" s="30" t="str">
        <f>IF(ISBLANK('Auditoria CEB'!AM123)," ",+'Auditoria CEB'!AM123)</f>
        <v xml:space="preserve"> </v>
      </c>
    </row>
    <row r="95" spans="1:10">
      <c r="A95" s="30" t="str">
        <f>IF(ISBLANK('Auditoria CEB'!$E$6)," ",'Auditoria CEB'!$E$6)</f>
        <v xml:space="preserve"> </v>
      </c>
      <c r="B95" s="30" t="s">
        <v>161</v>
      </c>
      <c r="C95" s="29" t="str">
        <f>IF(ISBLANK('Auditoria CEB'!B124)," ",+'Auditoria CEB'!B124)</f>
        <v xml:space="preserve"> </v>
      </c>
      <c r="D95" s="29" t="str">
        <f>IF(ISBLANK('Auditoria CEB'!D124)," ",+'Auditoria CEB'!D124)</f>
        <v xml:space="preserve"> </v>
      </c>
      <c r="E95" s="29" t="str">
        <f>IF(ISBLANK('Auditoria CEB'!E124)," ",+'Auditoria CEB'!E124)</f>
        <v xml:space="preserve"> </v>
      </c>
      <c r="F95" s="30" t="str">
        <f>IF(ISBLANK('Auditoria CEB'!F104)," ",+'Auditoria CEB'!F104)</f>
        <v xml:space="preserve"> </v>
      </c>
      <c r="G95" s="30" t="str">
        <f>IF(ISBLANK('Auditoria CEB'!I124)," ",+'Auditoria CEB'!I124)</f>
        <v xml:space="preserve"> </v>
      </c>
      <c r="H95" s="30" t="str">
        <f>IF(ISBLANK('Auditoria CEB'!AR124)," ",+'Auditoria CEB'!AR124)</f>
        <v xml:space="preserve"> </v>
      </c>
      <c r="I95" s="45" t="str">
        <f>IF(ISBLANK('Auditoria CEB'!K124)," ",+'Auditoria CEB'!K124)</f>
        <v xml:space="preserve"> </v>
      </c>
      <c r="J95" s="30" t="str">
        <f>IF(ISBLANK('Auditoria CEB'!AM124)," ",+'Auditoria CEB'!AM124)</f>
        <v xml:space="preserve"> </v>
      </c>
    </row>
    <row r="96" spans="1:10">
      <c r="A96" s="30" t="str">
        <f>IF(ISBLANK('Auditoria CEB'!$E$6)," ",'Auditoria CEB'!$E$6)</f>
        <v xml:space="preserve"> </v>
      </c>
      <c r="B96" s="30" t="s">
        <v>161</v>
      </c>
      <c r="C96" s="29" t="str">
        <f>IF(ISBLANK('Auditoria CEB'!B125)," ",+'Auditoria CEB'!B125)</f>
        <v xml:space="preserve"> </v>
      </c>
      <c r="D96" s="29" t="str">
        <f>IF(ISBLANK('Auditoria CEB'!D125)," ",+'Auditoria CEB'!D125)</f>
        <v xml:space="preserve"> </v>
      </c>
      <c r="E96" s="29" t="str">
        <f>IF(ISBLANK('Auditoria CEB'!E125)," ",+'Auditoria CEB'!E125)</f>
        <v xml:space="preserve"> </v>
      </c>
      <c r="F96" s="30" t="str">
        <f>IF(ISBLANK('Auditoria CEB'!F105)," ",+'Auditoria CEB'!F105)</f>
        <v xml:space="preserve"> </v>
      </c>
      <c r="G96" s="30" t="str">
        <f>IF(ISBLANK('Auditoria CEB'!I125)," ",+'Auditoria CEB'!I125)</f>
        <v xml:space="preserve"> </v>
      </c>
      <c r="H96" s="30" t="str">
        <f>IF(ISBLANK('Auditoria CEB'!AR125)," ",+'Auditoria CEB'!AR125)</f>
        <v xml:space="preserve"> </v>
      </c>
      <c r="I96" s="45" t="str">
        <f>IF(ISBLANK('Auditoria CEB'!K125)," ",+'Auditoria CEB'!K125)</f>
        <v xml:space="preserve"> </v>
      </c>
      <c r="J96" s="30" t="str">
        <f>IF(ISBLANK('Auditoria CEB'!AM125)," ",+'Auditoria CEB'!AM125)</f>
        <v xml:space="preserve"> </v>
      </c>
    </row>
    <row r="97" spans="1:10">
      <c r="A97" s="30" t="str">
        <f>IF(ISBLANK('Auditoria CEB'!$E$6)," ",'Auditoria CEB'!$E$6)</f>
        <v xml:space="preserve"> </v>
      </c>
      <c r="B97" s="30" t="s">
        <v>161</v>
      </c>
      <c r="C97" s="29" t="str">
        <f>IF(ISBLANK('Auditoria CEB'!B126)," ",+'Auditoria CEB'!B126)</f>
        <v xml:space="preserve"> </v>
      </c>
      <c r="D97" s="29" t="str">
        <f>IF(ISBLANK('Auditoria CEB'!D126)," ",+'Auditoria CEB'!D126)</f>
        <v xml:space="preserve"> </v>
      </c>
      <c r="E97" s="29" t="str">
        <f>IF(ISBLANK('Auditoria CEB'!E126)," ",+'Auditoria CEB'!E126)</f>
        <v xml:space="preserve"> </v>
      </c>
      <c r="F97" s="30" t="str">
        <f>IF(ISBLANK('Auditoria CEB'!F106)," ",+'Auditoria CEB'!F106)</f>
        <v xml:space="preserve"> </v>
      </c>
      <c r="G97" s="30" t="str">
        <f>IF(ISBLANK('Auditoria CEB'!I126)," ",+'Auditoria CEB'!I126)</f>
        <v xml:space="preserve"> </v>
      </c>
      <c r="H97" s="30" t="str">
        <f>IF(ISBLANK('Auditoria CEB'!AR126)," ",+'Auditoria CEB'!AR126)</f>
        <v xml:space="preserve"> </v>
      </c>
      <c r="I97" s="45" t="str">
        <f>IF(ISBLANK('Auditoria CEB'!K126)," ",+'Auditoria CEB'!K126)</f>
        <v xml:space="preserve"> </v>
      </c>
      <c r="J97" s="30" t="str">
        <f>IF(ISBLANK('Auditoria CEB'!AM126)," ",+'Auditoria CEB'!AM126)</f>
        <v xml:space="preserve"> </v>
      </c>
    </row>
    <row r="98" spans="1:10">
      <c r="A98" s="30" t="str">
        <f>IF(ISBLANK('Auditoria CEB'!$E$6)," ",'Auditoria CEB'!$E$6)</f>
        <v xml:space="preserve"> </v>
      </c>
      <c r="B98" s="30" t="s">
        <v>161</v>
      </c>
      <c r="C98" s="29" t="str">
        <f>IF(ISBLANK('Auditoria CEB'!B127)," ",+'Auditoria CEB'!B127)</f>
        <v xml:space="preserve"> </v>
      </c>
      <c r="D98" s="29" t="str">
        <f>IF(ISBLANK('Auditoria CEB'!D127)," ",+'Auditoria CEB'!D127)</f>
        <v xml:space="preserve"> </v>
      </c>
      <c r="E98" s="29" t="str">
        <f>IF(ISBLANK('Auditoria CEB'!E127)," ",+'Auditoria CEB'!E127)</f>
        <v xml:space="preserve"> </v>
      </c>
      <c r="F98" s="30" t="str">
        <f>IF(ISBLANK('Auditoria CEB'!F107)," ",+'Auditoria CEB'!F107)</f>
        <v xml:space="preserve"> </v>
      </c>
      <c r="G98" s="30" t="str">
        <f>IF(ISBLANK('Auditoria CEB'!I127)," ",+'Auditoria CEB'!I127)</f>
        <v xml:space="preserve"> </v>
      </c>
      <c r="H98" s="30" t="str">
        <f>IF(ISBLANK('Auditoria CEB'!AR127)," ",+'Auditoria CEB'!AR127)</f>
        <v xml:space="preserve"> </v>
      </c>
      <c r="I98" s="45" t="str">
        <f>IF(ISBLANK('Auditoria CEB'!K127)," ",+'Auditoria CEB'!K127)</f>
        <v xml:space="preserve"> </v>
      </c>
      <c r="J98" s="30" t="str">
        <f>IF(ISBLANK('Auditoria CEB'!AM127)," ",+'Auditoria CEB'!AM127)</f>
        <v xml:space="preserve"> </v>
      </c>
    </row>
    <row r="99" spans="1:10">
      <c r="A99" s="30" t="str">
        <f>IF(ISBLANK('Auditoria CEB'!$E$6)," ",'Auditoria CEB'!$E$6)</f>
        <v xml:space="preserve"> </v>
      </c>
      <c r="B99" s="30" t="s">
        <v>161</v>
      </c>
      <c r="C99" s="29" t="str">
        <f>IF(ISBLANK('Auditoria CEB'!B128)," ",+'Auditoria CEB'!B128)</f>
        <v xml:space="preserve"> </v>
      </c>
      <c r="D99" s="29" t="str">
        <f>IF(ISBLANK('Auditoria CEB'!D128)," ",+'Auditoria CEB'!D128)</f>
        <v xml:space="preserve"> </v>
      </c>
      <c r="E99" s="29" t="str">
        <f>IF(ISBLANK('Auditoria CEB'!E128)," ",+'Auditoria CEB'!E128)</f>
        <v xml:space="preserve"> </v>
      </c>
      <c r="F99" s="30" t="str">
        <f>IF(ISBLANK('Auditoria CEB'!F108)," ",+'Auditoria CEB'!F108)</f>
        <v xml:space="preserve"> </v>
      </c>
      <c r="G99" s="30" t="str">
        <f>IF(ISBLANK('Auditoria CEB'!I128)," ",+'Auditoria CEB'!I128)</f>
        <v xml:space="preserve"> </v>
      </c>
      <c r="H99" s="30" t="str">
        <f>IF(ISBLANK('Auditoria CEB'!AR128)," ",+'Auditoria CEB'!AR128)</f>
        <v xml:space="preserve"> </v>
      </c>
      <c r="I99" s="45" t="str">
        <f>IF(ISBLANK('Auditoria CEB'!K128)," ",+'Auditoria CEB'!K128)</f>
        <v xml:space="preserve"> </v>
      </c>
      <c r="J99" s="30" t="str">
        <f>IF(ISBLANK('Auditoria CEB'!AM128)," ",+'Auditoria CEB'!AM128)</f>
        <v xml:space="preserve"> </v>
      </c>
    </row>
    <row r="100" spans="1:10">
      <c r="A100" s="30" t="str">
        <f>IF(ISBLANK('Auditoria CEB'!$E$6)," ",'Auditoria CEB'!$E$6)</f>
        <v xml:space="preserve"> </v>
      </c>
      <c r="B100" s="30" t="s">
        <v>161</v>
      </c>
      <c r="C100" s="29" t="str">
        <f>IF(ISBLANK('Auditoria CEB'!B129)," ",+'Auditoria CEB'!B129)</f>
        <v xml:space="preserve"> </v>
      </c>
      <c r="D100" s="29" t="str">
        <f>IF(ISBLANK('Auditoria CEB'!D129)," ",+'Auditoria CEB'!D129)</f>
        <v xml:space="preserve"> </v>
      </c>
      <c r="E100" s="29" t="str">
        <f>IF(ISBLANK('Auditoria CEB'!E129)," ",+'Auditoria CEB'!E129)</f>
        <v xml:space="preserve"> </v>
      </c>
      <c r="F100" s="30" t="str">
        <f>IF(ISBLANK('Auditoria CEB'!F109)," ",+'Auditoria CEB'!F109)</f>
        <v xml:space="preserve"> </v>
      </c>
      <c r="G100" s="30" t="str">
        <f>IF(ISBLANK('Auditoria CEB'!I129)," ",+'Auditoria CEB'!I129)</f>
        <v xml:space="preserve"> </v>
      </c>
      <c r="H100" s="30" t="str">
        <f>IF(ISBLANK('Auditoria CEB'!AR129)," ",+'Auditoria CEB'!AR129)</f>
        <v xml:space="preserve"> </v>
      </c>
      <c r="I100" s="45" t="str">
        <f>IF(ISBLANK('Auditoria CEB'!K129)," ",+'Auditoria CEB'!K129)</f>
        <v xml:space="preserve"> </v>
      </c>
      <c r="J100" s="30" t="str">
        <f>IF(ISBLANK('Auditoria CEB'!AM129)," ",+'Auditoria CEB'!AM129)</f>
        <v xml:space="preserve"> </v>
      </c>
    </row>
    <row r="101" spans="1:10">
      <c r="A101" s="30" t="str">
        <f>IF(ISBLANK('Auditoria CEB'!$E$6)," ",'Auditoria CEB'!$E$6)</f>
        <v xml:space="preserve"> </v>
      </c>
      <c r="B101" s="30" t="s">
        <v>161</v>
      </c>
      <c r="C101" s="29" t="str">
        <f>IF(ISBLANK('Auditoria CEB'!B130)," ",+'Auditoria CEB'!B130)</f>
        <v xml:space="preserve"> </v>
      </c>
      <c r="D101" s="29" t="str">
        <f>IF(ISBLANK('Auditoria CEB'!D130)," ",+'Auditoria CEB'!D130)</f>
        <v xml:space="preserve"> </v>
      </c>
      <c r="E101" s="29" t="str">
        <f>IF(ISBLANK('Auditoria CEB'!E130)," ",+'Auditoria CEB'!E130)</f>
        <v xml:space="preserve"> </v>
      </c>
      <c r="F101" s="30" t="str">
        <f>IF(ISBLANK('Auditoria CEB'!F110)," ",+'Auditoria CEB'!F110)</f>
        <v xml:space="preserve"> </v>
      </c>
      <c r="G101" s="30" t="str">
        <f>IF(ISBLANK('Auditoria CEB'!I130)," ",+'Auditoria CEB'!I130)</f>
        <v xml:space="preserve"> </v>
      </c>
      <c r="H101" s="30" t="str">
        <f>IF(ISBLANK('Auditoria CEB'!AR130)," ",+'Auditoria CEB'!AR130)</f>
        <v xml:space="preserve"> </v>
      </c>
      <c r="I101" s="45" t="str">
        <f>IF(ISBLANK('Auditoria CEB'!K130)," ",+'Auditoria CEB'!K130)</f>
        <v xml:space="preserve"> </v>
      </c>
      <c r="J101" s="30" t="str">
        <f>IF(ISBLANK('Auditoria CEB'!AM130)," ",+'Auditoria CEB'!AM130)</f>
        <v xml:space="preserve"> </v>
      </c>
    </row>
    <row r="102" spans="1:10">
      <c r="A102" s="30" t="str">
        <f>IF(ISBLANK('Auditoria CEB'!$E$6)," ",'Auditoria CEB'!$E$6)</f>
        <v xml:space="preserve"> </v>
      </c>
      <c r="B102" s="30" t="s">
        <v>161</v>
      </c>
      <c r="C102" s="29" t="str">
        <f>IF(ISBLANK('Auditoria CEB'!B131)," ",+'Auditoria CEB'!B131)</f>
        <v xml:space="preserve"> </v>
      </c>
      <c r="D102" s="29" t="str">
        <f>IF(ISBLANK('Auditoria CEB'!D131)," ",+'Auditoria CEB'!D131)</f>
        <v xml:space="preserve"> </v>
      </c>
      <c r="E102" s="29" t="str">
        <f>IF(ISBLANK('Auditoria CEB'!E131)," ",+'Auditoria CEB'!E131)</f>
        <v xml:space="preserve"> </v>
      </c>
      <c r="F102" s="30" t="str">
        <f>IF(ISBLANK('Auditoria CEB'!F111)," ",+'Auditoria CEB'!F111)</f>
        <v xml:space="preserve"> </v>
      </c>
      <c r="G102" s="30" t="str">
        <f>IF(ISBLANK('Auditoria CEB'!I131)," ",+'Auditoria CEB'!I131)</f>
        <v xml:space="preserve"> </v>
      </c>
      <c r="H102" s="30" t="str">
        <f>IF(ISBLANK('Auditoria CEB'!AR131)," ",+'Auditoria CEB'!AR131)</f>
        <v xml:space="preserve"> </v>
      </c>
      <c r="I102" s="45" t="str">
        <f>IF(ISBLANK('Auditoria CEB'!K131)," ",+'Auditoria CEB'!K131)</f>
        <v xml:space="preserve"> </v>
      </c>
      <c r="J102" s="30" t="str">
        <f>IF(ISBLANK('Auditoria CEB'!AM131)," ",+'Auditoria CEB'!AM131)</f>
        <v xml:space="preserve"> </v>
      </c>
    </row>
    <row r="103" spans="1:10">
      <c r="A103" s="30" t="str">
        <f>IF(ISBLANK('Auditoria CEB'!$E$6)," ",'Auditoria CEB'!$E$6)</f>
        <v xml:space="preserve"> </v>
      </c>
      <c r="B103" s="30" t="s">
        <v>161</v>
      </c>
      <c r="C103" s="29" t="str">
        <f>IF(ISBLANK('Auditoria CEB'!B132)," ",+'Auditoria CEB'!B132)</f>
        <v xml:space="preserve"> </v>
      </c>
      <c r="D103" s="29" t="str">
        <f>IF(ISBLANK('Auditoria CEB'!D132)," ",+'Auditoria CEB'!D132)</f>
        <v xml:space="preserve"> </v>
      </c>
      <c r="E103" s="29" t="str">
        <f>IF(ISBLANK('Auditoria CEB'!E132)," ",+'Auditoria CEB'!E132)</f>
        <v xml:space="preserve"> </v>
      </c>
      <c r="F103" s="30" t="str">
        <f>IF(ISBLANK('Auditoria CEB'!F112)," ",+'Auditoria CEB'!F112)</f>
        <v xml:space="preserve"> </v>
      </c>
      <c r="G103" s="30" t="str">
        <f>IF(ISBLANK('Auditoria CEB'!I132)," ",+'Auditoria CEB'!I132)</f>
        <v xml:space="preserve"> </v>
      </c>
      <c r="H103" s="30" t="str">
        <f>IF(ISBLANK('Auditoria CEB'!AR132)," ",+'Auditoria CEB'!AR132)</f>
        <v xml:space="preserve"> </v>
      </c>
      <c r="I103" s="45" t="str">
        <f>IF(ISBLANK('Auditoria CEB'!K132)," ",+'Auditoria CEB'!K132)</f>
        <v xml:space="preserve"> </v>
      </c>
      <c r="J103" s="30" t="str">
        <f>IF(ISBLANK('Auditoria CEB'!AM132)," ",+'Auditoria CEB'!AM132)</f>
        <v xml:space="preserve"> </v>
      </c>
    </row>
    <row r="104" spans="1:10">
      <c r="A104" s="30" t="str">
        <f>IF(ISBLANK('Auditoria CEB'!$E$6)," ",'Auditoria CEB'!$E$6)</f>
        <v xml:space="preserve"> </v>
      </c>
      <c r="B104" s="30" t="s">
        <v>161</v>
      </c>
      <c r="C104" s="29" t="str">
        <f>IF(ISBLANK('Auditoria CEB'!B133)," ",+'Auditoria CEB'!B133)</f>
        <v xml:space="preserve"> </v>
      </c>
      <c r="D104" s="29" t="str">
        <f>IF(ISBLANK('Auditoria CEB'!D133)," ",+'Auditoria CEB'!D133)</f>
        <v xml:space="preserve"> </v>
      </c>
      <c r="E104" s="29" t="str">
        <f>IF(ISBLANK('Auditoria CEB'!E133)," ",+'Auditoria CEB'!E133)</f>
        <v xml:space="preserve"> </v>
      </c>
      <c r="F104" s="30" t="str">
        <f>IF(ISBLANK('Auditoria CEB'!F113)," ",+'Auditoria CEB'!F113)</f>
        <v xml:space="preserve"> </v>
      </c>
      <c r="G104" s="30" t="str">
        <f>IF(ISBLANK('Auditoria CEB'!I133)," ",+'Auditoria CEB'!I133)</f>
        <v xml:space="preserve"> </v>
      </c>
      <c r="H104" s="30" t="str">
        <f>IF(ISBLANK('Auditoria CEB'!AR133)," ",+'Auditoria CEB'!AR133)</f>
        <v xml:space="preserve"> </v>
      </c>
      <c r="I104" s="45" t="str">
        <f>IF(ISBLANK('Auditoria CEB'!K133)," ",+'Auditoria CEB'!K133)</f>
        <v xml:space="preserve"> </v>
      </c>
      <c r="J104" s="30" t="str">
        <f>IF(ISBLANK('Auditoria CEB'!AM133)," ",+'Auditoria CEB'!AM133)</f>
        <v xml:space="preserve"> </v>
      </c>
    </row>
    <row r="105" spans="1:10">
      <c r="A105" s="30" t="str">
        <f>IF(ISBLANK('Auditoria CEB'!$E$6)," ",'Auditoria CEB'!$E$6)</f>
        <v xml:space="preserve"> </v>
      </c>
      <c r="B105" s="30" t="s">
        <v>161</v>
      </c>
      <c r="C105" s="29" t="str">
        <f>IF(ISBLANK('Auditoria CEB'!B134)," ",+'Auditoria CEB'!B134)</f>
        <v xml:space="preserve"> </v>
      </c>
      <c r="D105" s="29" t="str">
        <f>IF(ISBLANK('Auditoria CEB'!D134)," ",+'Auditoria CEB'!D134)</f>
        <v xml:space="preserve"> </v>
      </c>
      <c r="E105" s="29" t="str">
        <f>IF(ISBLANK('Auditoria CEB'!E134)," ",+'Auditoria CEB'!E134)</f>
        <v xml:space="preserve"> </v>
      </c>
      <c r="F105" s="30" t="str">
        <f>IF(ISBLANK('Auditoria CEB'!F114)," ",+'Auditoria CEB'!F114)</f>
        <v xml:space="preserve"> </v>
      </c>
      <c r="G105" s="30" t="str">
        <f>IF(ISBLANK('Auditoria CEB'!I134)," ",+'Auditoria CEB'!I134)</f>
        <v xml:space="preserve"> </v>
      </c>
      <c r="H105" s="30" t="str">
        <f>IF(ISBLANK('Auditoria CEB'!AR134)," ",+'Auditoria CEB'!AR134)</f>
        <v xml:space="preserve"> </v>
      </c>
      <c r="I105" s="45" t="str">
        <f>IF(ISBLANK('Auditoria CEB'!K134)," ",+'Auditoria CEB'!K134)</f>
        <v xml:space="preserve"> </v>
      </c>
      <c r="J105" s="30" t="str">
        <f>IF(ISBLANK('Auditoria CEB'!AM134)," ",+'Auditoria CEB'!AM134)</f>
        <v xml:space="preserve"> </v>
      </c>
    </row>
    <row r="106" spans="1:10">
      <c r="A106" s="30" t="str">
        <f>IF(ISBLANK('Auditoria CEB'!$E$6)," ",'Auditoria CEB'!$E$6)</f>
        <v xml:space="preserve"> </v>
      </c>
      <c r="B106" s="30" t="s">
        <v>161</v>
      </c>
      <c r="C106" s="29" t="str">
        <f>IF(ISBLANK('Auditoria CEB'!B135)," ",+'Auditoria CEB'!B135)</f>
        <v xml:space="preserve"> </v>
      </c>
      <c r="D106" s="29" t="str">
        <f>IF(ISBLANK('Auditoria CEB'!D135)," ",+'Auditoria CEB'!D135)</f>
        <v xml:space="preserve"> </v>
      </c>
      <c r="E106" s="29" t="str">
        <f>IF(ISBLANK('Auditoria CEB'!E135)," ",+'Auditoria CEB'!E135)</f>
        <v xml:space="preserve"> </v>
      </c>
      <c r="F106" s="30" t="str">
        <f>IF(ISBLANK('Auditoria CEB'!F115)," ",+'Auditoria CEB'!F115)</f>
        <v xml:space="preserve"> </v>
      </c>
      <c r="G106" s="30" t="str">
        <f>IF(ISBLANK('Auditoria CEB'!I135)," ",+'Auditoria CEB'!I135)</f>
        <v xml:space="preserve"> </v>
      </c>
      <c r="H106" s="30" t="str">
        <f>IF(ISBLANK('Auditoria CEB'!AR135)," ",+'Auditoria CEB'!AR135)</f>
        <v xml:space="preserve"> </v>
      </c>
      <c r="I106" s="45" t="str">
        <f>IF(ISBLANK('Auditoria CEB'!K135)," ",+'Auditoria CEB'!K135)</f>
        <v xml:space="preserve"> </v>
      </c>
      <c r="J106" s="30" t="str">
        <f>IF(ISBLANK('Auditoria CEB'!AM135)," ",+'Auditoria CEB'!AM135)</f>
        <v xml:space="preserve"> </v>
      </c>
    </row>
    <row r="107" spans="1:10">
      <c r="A107" s="30" t="str">
        <f>IF(ISBLANK('Auditoria CEB'!$E$6)," ",'Auditoria CEB'!$E$6)</f>
        <v xml:space="preserve"> </v>
      </c>
      <c r="B107" s="30" t="s">
        <v>161</v>
      </c>
      <c r="C107" s="29" t="str">
        <f>IF(ISBLANK('Auditoria CEB'!B136)," ",+'Auditoria CEB'!B136)</f>
        <v xml:space="preserve"> </v>
      </c>
      <c r="D107" s="29" t="str">
        <f>IF(ISBLANK('Auditoria CEB'!D136)," ",+'Auditoria CEB'!D136)</f>
        <v xml:space="preserve"> </v>
      </c>
      <c r="E107" s="29" t="str">
        <f>IF(ISBLANK('Auditoria CEB'!E136)," ",+'Auditoria CEB'!E136)</f>
        <v xml:space="preserve"> </v>
      </c>
      <c r="F107" s="30" t="str">
        <f>IF(ISBLANK('Auditoria CEB'!F116)," ",+'Auditoria CEB'!F116)</f>
        <v xml:space="preserve"> </v>
      </c>
      <c r="G107" s="30" t="str">
        <f>IF(ISBLANK('Auditoria CEB'!I136)," ",+'Auditoria CEB'!I136)</f>
        <v xml:space="preserve"> </v>
      </c>
      <c r="H107" s="30" t="str">
        <f>IF(ISBLANK('Auditoria CEB'!AR136)," ",+'Auditoria CEB'!AR136)</f>
        <v xml:space="preserve"> </v>
      </c>
      <c r="I107" s="45" t="str">
        <f>IF(ISBLANK('Auditoria CEB'!K136)," ",+'Auditoria CEB'!K136)</f>
        <v xml:space="preserve"> </v>
      </c>
      <c r="J107" s="30" t="str">
        <f>IF(ISBLANK('Auditoria CEB'!AM136)," ",+'Auditoria CEB'!AM136)</f>
        <v xml:space="preserve"> </v>
      </c>
    </row>
    <row r="108" spans="1:10">
      <c r="A108" s="30" t="str">
        <f>IF(ISBLANK('Auditoria CEB'!$E$6)," ",'Auditoria CEB'!$E$6)</f>
        <v xml:space="preserve"> </v>
      </c>
      <c r="B108" s="30" t="s">
        <v>161</v>
      </c>
      <c r="C108" s="29" t="str">
        <f>IF(ISBLANK('Auditoria CEB'!B137)," ",+'Auditoria CEB'!B137)</f>
        <v xml:space="preserve"> </v>
      </c>
      <c r="D108" s="29" t="str">
        <f>IF(ISBLANK('Auditoria CEB'!D137)," ",+'Auditoria CEB'!D137)</f>
        <v xml:space="preserve"> </v>
      </c>
      <c r="E108" s="29" t="str">
        <f>IF(ISBLANK('Auditoria CEB'!E137)," ",+'Auditoria CEB'!E137)</f>
        <v xml:space="preserve"> </v>
      </c>
      <c r="F108" s="30" t="str">
        <f>IF(ISBLANK('Auditoria CEB'!F117)," ",+'Auditoria CEB'!F117)</f>
        <v xml:space="preserve"> </v>
      </c>
      <c r="G108" s="30" t="str">
        <f>IF(ISBLANK('Auditoria CEB'!I137)," ",+'Auditoria CEB'!I137)</f>
        <v xml:space="preserve"> </v>
      </c>
      <c r="H108" s="30" t="str">
        <f>IF(ISBLANK('Auditoria CEB'!AR137)," ",+'Auditoria CEB'!AR137)</f>
        <v xml:space="preserve"> </v>
      </c>
      <c r="I108" s="45" t="str">
        <f>IF(ISBLANK('Auditoria CEB'!K137)," ",+'Auditoria CEB'!K137)</f>
        <v xml:space="preserve"> </v>
      </c>
      <c r="J108" s="30" t="str">
        <f>IF(ISBLANK('Auditoria CEB'!AM137)," ",+'Auditoria CEB'!AM137)</f>
        <v xml:space="preserve"> </v>
      </c>
    </row>
    <row r="109" spans="1:10">
      <c r="A109" s="30" t="str">
        <f>IF(ISBLANK('Auditoria CEB'!$E$6)," ",'Auditoria CEB'!$E$6)</f>
        <v xml:space="preserve"> </v>
      </c>
      <c r="B109" s="30" t="s">
        <v>161</v>
      </c>
      <c r="C109" s="29" t="str">
        <f>IF(ISBLANK('Auditoria CEB'!B138)," ",+'Auditoria CEB'!B138)</f>
        <v xml:space="preserve"> </v>
      </c>
      <c r="D109" s="29" t="str">
        <f>IF(ISBLANK('Auditoria CEB'!D138)," ",+'Auditoria CEB'!D138)</f>
        <v xml:space="preserve"> </v>
      </c>
      <c r="E109" s="29" t="str">
        <f>IF(ISBLANK('Auditoria CEB'!E138)," ",+'Auditoria CEB'!E138)</f>
        <v xml:space="preserve"> </v>
      </c>
      <c r="F109" s="30" t="str">
        <f>IF(ISBLANK('Auditoria CEB'!F118)," ",+'Auditoria CEB'!F118)</f>
        <v xml:space="preserve"> </v>
      </c>
      <c r="G109" s="30" t="str">
        <f>IF(ISBLANK('Auditoria CEB'!I138)," ",+'Auditoria CEB'!I138)</f>
        <v xml:space="preserve"> </v>
      </c>
      <c r="H109" s="30" t="str">
        <f>IF(ISBLANK('Auditoria CEB'!AR138)," ",+'Auditoria CEB'!AR138)</f>
        <v xml:space="preserve"> </v>
      </c>
      <c r="I109" s="45" t="str">
        <f>IF(ISBLANK('Auditoria CEB'!K138)," ",+'Auditoria CEB'!K138)</f>
        <v xml:space="preserve"> </v>
      </c>
      <c r="J109" s="30" t="str">
        <f>IF(ISBLANK('Auditoria CEB'!AM138)," ",+'Auditoria CEB'!AM138)</f>
        <v xml:space="preserve"> </v>
      </c>
    </row>
    <row r="110" spans="1:10">
      <c r="A110" s="30" t="str">
        <f>IF(ISBLANK('Auditoria CEB'!$E$6)," ",'Auditoria CEB'!$E$6)</f>
        <v xml:space="preserve"> </v>
      </c>
      <c r="B110" s="30" t="s">
        <v>161</v>
      </c>
      <c r="C110" s="29" t="str">
        <f>IF(ISBLANK('Auditoria CEB'!B139)," ",+'Auditoria CEB'!B139)</f>
        <v xml:space="preserve"> </v>
      </c>
      <c r="D110" s="29" t="str">
        <f>IF(ISBLANK('Auditoria CEB'!D139)," ",+'Auditoria CEB'!D139)</f>
        <v xml:space="preserve"> </v>
      </c>
      <c r="E110" s="29" t="str">
        <f>IF(ISBLANK('Auditoria CEB'!E139)," ",+'Auditoria CEB'!E139)</f>
        <v xml:space="preserve"> </v>
      </c>
      <c r="F110" s="30" t="str">
        <f>IF(ISBLANK('Auditoria CEB'!F119)," ",+'Auditoria CEB'!F119)</f>
        <v xml:space="preserve"> </v>
      </c>
      <c r="G110" s="30" t="str">
        <f>IF(ISBLANK('Auditoria CEB'!I139)," ",+'Auditoria CEB'!I139)</f>
        <v xml:space="preserve"> </v>
      </c>
      <c r="H110" s="30" t="str">
        <f>IF(ISBLANK('Auditoria CEB'!AR139)," ",+'Auditoria CEB'!AR139)</f>
        <v xml:space="preserve"> </v>
      </c>
      <c r="I110" s="45" t="str">
        <f>IF(ISBLANK('Auditoria CEB'!K139)," ",+'Auditoria CEB'!K139)</f>
        <v xml:space="preserve"> </v>
      </c>
      <c r="J110" s="30" t="str">
        <f>IF(ISBLANK('Auditoria CEB'!AM139)," ",+'Auditoria CEB'!AM139)</f>
        <v xml:space="preserve"> </v>
      </c>
    </row>
    <row r="111" spans="1:10">
      <c r="A111" s="30" t="str">
        <f>IF(ISBLANK('Auditoria CEB'!$E$6)," ",'Auditoria CEB'!$E$6)</f>
        <v xml:space="preserve"> </v>
      </c>
      <c r="B111" s="30" t="s">
        <v>161</v>
      </c>
      <c r="C111" s="29" t="str">
        <f>IF(ISBLANK('Auditoria CEB'!B140)," ",+'Auditoria CEB'!B140)</f>
        <v xml:space="preserve"> </v>
      </c>
      <c r="D111" s="29" t="str">
        <f>IF(ISBLANK('Auditoria CEB'!D140)," ",+'Auditoria CEB'!D140)</f>
        <v xml:space="preserve"> </v>
      </c>
      <c r="E111" s="29" t="str">
        <f>IF(ISBLANK('Auditoria CEB'!E140)," ",+'Auditoria CEB'!E140)</f>
        <v xml:space="preserve"> </v>
      </c>
      <c r="F111" s="30" t="str">
        <f>IF(ISBLANK('Auditoria CEB'!F120)," ",+'Auditoria CEB'!F120)</f>
        <v xml:space="preserve"> </v>
      </c>
      <c r="G111" s="30" t="str">
        <f>IF(ISBLANK('Auditoria CEB'!I140)," ",+'Auditoria CEB'!I140)</f>
        <v xml:space="preserve"> </v>
      </c>
      <c r="H111" s="30" t="str">
        <f>IF(ISBLANK('Auditoria CEB'!AR140)," ",+'Auditoria CEB'!AR140)</f>
        <v xml:space="preserve"> </v>
      </c>
      <c r="I111" s="45" t="str">
        <f>IF(ISBLANK('Auditoria CEB'!K140)," ",+'Auditoria CEB'!K140)</f>
        <v xml:space="preserve"> </v>
      </c>
      <c r="J111" s="30" t="str">
        <f>IF(ISBLANK('Auditoria CEB'!AM140)," ",+'Auditoria CEB'!AM140)</f>
        <v xml:space="preserve"> </v>
      </c>
    </row>
    <row r="112" spans="1:10">
      <c r="A112" s="30" t="str">
        <f>IF(ISBLANK('Auditoria CEB'!$E$6)," ",'Auditoria CEB'!$E$6)</f>
        <v xml:space="preserve"> </v>
      </c>
      <c r="B112" s="30" t="s">
        <v>161</v>
      </c>
      <c r="C112" s="29" t="str">
        <f>IF(ISBLANK('Auditoria CEB'!B141)," ",+'Auditoria CEB'!B141)</f>
        <v xml:space="preserve"> </v>
      </c>
      <c r="D112" s="29" t="str">
        <f>IF(ISBLANK('Auditoria CEB'!D141)," ",+'Auditoria CEB'!D141)</f>
        <v xml:space="preserve"> </v>
      </c>
      <c r="E112" s="29" t="str">
        <f>IF(ISBLANK('Auditoria CEB'!E141)," ",+'Auditoria CEB'!E141)</f>
        <v xml:space="preserve"> </v>
      </c>
      <c r="F112" s="30" t="str">
        <f>IF(ISBLANK('Auditoria CEB'!F121)," ",+'Auditoria CEB'!F121)</f>
        <v xml:space="preserve"> </v>
      </c>
      <c r="G112" s="30" t="str">
        <f>IF(ISBLANK('Auditoria CEB'!I141)," ",+'Auditoria CEB'!I141)</f>
        <v xml:space="preserve"> </v>
      </c>
      <c r="H112" s="30" t="str">
        <f>IF(ISBLANK('Auditoria CEB'!AR141)," ",+'Auditoria CEB'!AR141)</f>
        <v xml:space="preserve"> </v>
      </c>
      <c r="I112" s="45" t="str">
        <f>IF(ISBLANK('Auditoria CEB'!K141)," ",+'Auditoria CEB'!K141)</f>
        <v xml:space="preserve"> </v>
      </c>
      <c r="J112" s="30" t="str">
        <f>IF(ISBLANK('Auditoria CEB'!AM141)," ",+'Auditoria CEB'!AM141)</f>
        <v xml:space="preserve"> </v>
      </c>
    </row>
    <row r="113" spans="1:10">
      <c r="A113" s="30" t="str">
        <f>IF(ISBLANK('Auditoria CEB'!$E$6)," ",'Auditoria CEB'!$E$6)</f>
        <v xml:space="preserve"> </v>
      </c>
      <c r="B113" s="30" t="s">
        <v>161</v>
      </c>
      <c r="C113" s="29" t="str">
        <f>IF(ISBLANK('Auditoria CEB'!B142)," ",+'Auditoria CEB'!B142)</f>
        <v xml:space="preserve"> </v>
      </c>
      <c r="D113" s="29" t="str">
        <f>IF(ISBLANK('Auditoria CEB'!D142)," ",+'Auditoria CEB'!D142)</f>
        <v xml:space="preserve"> </v>
      </c>
      <c r="E113" s="29" t="str">
        <f>IF(ISBLANK('Auditoria CEB'!E142)," ",+'Auditoria CEB'!E142)</f>
        <v xml:space="preserve"> </v>
      </c>
      <c r="F113" s="30" t="str">
        <f>IF(ISBLANK('Auditoria CEB'!F122)," ",+'Auditoria CEB'!F122)</f>
        <v xml:space="preserve"> </v>
      </c>
      <c r="G113" s="30" t="str">
        <f>IF(ISBLANK('Auditoria CEB'!I142)," ",+'Auditoria CEB'!I142)</f>
        <v xml:space="preserve"> </v>
      </c>
      <c r="H113" s="30" t="str">
        <f>IF(ISBLANK('Auditoria CEB'!AR142)," ",+'Auditoria CEB'!AR142)</f>
        <v xml:space="preserve"> </v>
      </c>
      <c r="I113" s="45" t="str">
        <f>IF(ISBLANK('Auditoria CEB'!K142)," ",+'Auditoria CEB'!K142)</f>
        <v xml:space="preserve"> </v>
      </c>
      <c r="J113" s="30" t="str">
        <f>IF(ISBLANK('Auditoria CEB'!AM142)," ",+'Auditoria CEB'!AM142)</f>
        <v xml:space="preserve"> </v>
      </c>
    </row>
    <row r="114" spans="1:10">
      <c r="A114" s="30" t="str">
        <f>IF(ISBLANK('Auditoria CEB'!$E$6)," ",'Auditoria CEB'!$E$6)</f>
        <v xml:space="preserve"> </v>
      </c>
      <c r="B114" s="30" t="s">
        <v>161</v>
      </c>
      <c r="C114" s="29" t="str">
        <f>IF(ISBLANK('Auditoria CEB'!B143)," ",+'Auditoria CEB'!B143)</f>
        <v xml:space="preserve"> </v>
      </c>
      <c r="D114" s="29" t="str">
        <f>IF(ISBLANK('Auditoria CEB'!D143)," ",+'Auditoria CEB'!D143)</f>
        <v xml:space="preserve"> </v>
      </c>
      <c r="E114" s="29" t="str">
        <f>IF(ISBLANK('Auditoria CEB'!E143)," ",+'Auditoria CEB'!E143)</f>
        <v xml:space="preserve"> </v>
      </c>
      <c r="F114" s="30" t="str">
        <f>IF(ISBLANK('Auditoria CEB'!F123)," ",+'Auditoria CEB'!F123)</f>
        <v xml:space="preserve"> </v>
      </c>
      <c r="G114" s="30" t="str">
        <f>IF(ISBLANK('Auditoria CEB'!I143)," ",+'Auditoria CEB'!I143)</f>
        <v xml:space="preserve"> </v>
      </c>
      <c r="H114" s="30" t="str">
        <f>IF(ISBLANK('Auditoria CEB'!AR143)," ",+'Auditoria CEB'!AR143)</f>
        <v xml:space="preserve"> </v>
      </c>
      <c r="I114" s="45" t="str">
        <f>IF(ISBLANK('Auditoria CEB'!K143)," ",+'Auditoria CEB'!K143)</f>
        <v xml:space="preserve"> </v>
      </c>
      <c r="J114" s="30" t="str">
        <f>IF(ISBLANK('Auditoria CEB'!AM143)," ",+'Auditoria CEB'!AM143)</f>
        <v xml:space="preserve"> </v>
      </c>
    </row>
    <row r="115" spans="1:10">
      <c r="A115" s="30" t="str">
        <f>IF(ISBLANK('Auditoria CEB'!$E$6)," ",'Auditoria CEB'!$E$6)</f>
        <v xml:space="preserve"> </v>
      </c>
      <c r="B115" s="30" t="s">
        <v>161</v>
      </c>
      <c r="C115" s="29" t="str">
        <f>IF(ISBLANK('Auditoria CEB'!B144)," ",+'Auditoria CEB'!B144)</f>
        <v xml:space="preserve"> </v>
      </c>
      <c r="D115" s="29" t="str">
        <f>IF(ISBLANK('Auditoria CEB'!D144)," ",+'Auditoria CEB'!D144)</f>
        <v xml:space="preserve"> </v>
      </c>
      <c r="E115" s="29" t="str">
        <f>IF(ISBLANK('Auditoria CEB'!E144)," ",+'Auditoria CEB'!E144)</f>
        <v xml:space="preserve"> </v>
      </c>
      <c r="F115" s="30" t="str">
        <f>IF(ISBLANK('Auditoria CEB'!F124)," ",+'Auditoria CEB'!F124)</f>
        <v xml:space="preserve"> </v>
      </c>
      <c r="G115" s="30" t="str">
        <f>IF(ISBLANK('Auditoria CEB'!I144)," ",+'Auditoria CEB'!I144)</f>
        <v xml:space="preserve"> </v>
      </c>
      <c r="H115" s="30" t="str">
        <f>IF(ISBLANK('Auditoria CEB'!AR144)," ",+'Auditoria CEB'!AR144)</f>
        <v xml:space="preserve"> </v>
      </c>
      <c r="I115" s="45" t="str">
        <f>IF(ISBLANK('Auditoria CEB'!K144)," ",+'Auditoria CEB'!K144)</f>
        <v xml:space="preserve"> </v>
      </c>
      <c r="J115" s="30" t="str">
        <f>IF(ISBLANK('Auditoria CEB'!AM144)," ",+'Auditoria CEB'!AM144)</f>
        <v xml:space="preserve"> </v>
      </c>
    </row>
    <row r="116" spans="1:10">
      <c r="A116" s="30" t="str">
        <f>IF(ISBLANK('Auditoria CEB'!$E$6)," ",'Auditoria CEB'!$E$6)</f>
        <v xml:space="preserve"> </v>
      </c>
      <c r="B116" s="30" t="s">
        <v>161</v>
      </c>
      <c r="C116" s="29" t="str">
        <f>IF(ISBLANK('Auditoria CEB'!B145)," ",+'Auditoria CEB'!B145)</f>
        <v xml:space="preserve"> </v>
      </c>
      <c r="D116" s="29" t="str">
        <f>IF(ISBLANK('Auditoria CEB'!D145)," ",+'Auditoria CEB'!D145)</f>
        <v xml:space="preserve"> </v>
      </c>
      <c r="E116" s="29" t="str">
        <f>IF(ISBLANK('Auditoria CEB'!E145)," ",+'Auditoria CEB'!E145)</f>
        <v xml:space="preserve"> </v>
      </c>
      <c r="F116" s="30" t="str">
        <f>IF(ISBLANK('Auditoria CEB'!F125)," ",+'Auditoria CEB'!F125)</f>
        <v xml:space="preserve"> </v>
      </c>
      <c r="G116" s="30" t="str">
        <f>IF(ISBLANK('Auditoria CEB'!I145)," ",+'Auditoria CEB'!I145)</f>
        <v xml:space="preserve"> </v>
      </c>
      <c r="H116" s="30" t="str">
        <f>IF(ISBLANK('Auditoria CEB'!AR145)," ",+'Auditoria CEB'!AR145)</f>
        <v xml:space="preserve"> </v>
      </c>
      <c r="I116" s="45" t="str">
        <f>IF(ISBLANK('Auditoria CEB'!K145)," ",+'Auditoria CEB'!K145)</f>
        <v xml:space="preserve"> </v>
      </c>
      <c r="J116" s="30" t="str">
        <f>IF(ISBLANK('Auditoria CEB'!AM145)," ",+'Auditoria CEB'!AM145)</f>
        <v xml:space="preserve"> </v>
      </c>
    </row>
    <row r="117" spans="1:10">
      <c r="A117" s="30" t="str">
        <f>IF(ISBLANK('Auditoria CEB'!$E$6)," ",'Auditoria CEB'!$E$6)</f>
        <v xml:space="preserve"> </v>
      </c>
      <c r="B117" s="30" t="s">
        <v>161</v>
      </c>
      <c r="C117" s="29" t="str">
        <f>IF(ISBLANK('Auditoria CEB'!B146)," ",+'Auditoria CEB'!B146)</f>
        <v xml:space="preserve"> </v>
      </c>
      <c r="D117" s="29" t="str">
        <f>IF(ISBLANK('Auditoria CEB'!D146)," ",+'Auditoria CEB'!D146)</f>
        <v xml:space="preserve"> </v>
      </c>
      <c r="E117" s="29" t="str">
        <f>IF(ISBLANK('Auditoria CEB'!E146)," ",+'Auditoria CEB'!E146)</f>
        <v xml:space="preserve"> </v>
      </c>
      <c r="F117" s="30" t="str">
        <f>IF(ISBLANK('Auditoria CEB'!F126)," ",+'Auditoria CEB'!F126)</f>
        <v xml:space="preserve"> </v>
      </c>
      <c r="G117" s="30" t="str">
        <f>IF(ISBLANK('Auditoria CEB'!I146)," ",+'Auditoria CEB'!I146)</f>
        <v xml:space="preserve"> </v>
      </c>
      <c r="H117" s="30" t="str">
        <f>IF(ISBLANK('Auditoria CEB'!AR146)," ",+'Auditoria CEB'!AR146)</f>
        <v xml:space="preserve"> </v>
      </c>
      <c r="I117" s="45" t="str">
        <f>IF(ISBLANK('Auditoria CEB'!K146)," ",+'Auditoria CEB'!K146)</f>
        <v xml:space="preserve"> </v>
      </c>
      <c r="J117" s="30" t="str">
        <f>IF(ISBLANK('Auditoria CEB'!AM146)," ",+'Auditoria CEB'!AM146)</f>
        <v xml:space="preserve"> </v>
      </c>
    </row>
    <row r="118" spans="1:10">
      <c r="A118" s="30" t="str">
        <f>IF(ISBLANK('Auditoria CEB'!$E$6)," ",'Auditoria CEB'!$E$6)</f>
        <v xml:space="preserve"> </v>
      </c>
      <c r="B118" s="30" t="s">
        <v>161</v>
      </c>
      <c r="C118" s="29" t="str">
        <f>IF(ISBLANK('Auditoria CEB'!B147)," ",+'Auditoria CEB'!B147)</f>
        <v xml:space="preserve"> </v>
      </c>
      <c r="D118" s="29" t="str">
        <f>IF(ISBLANK('Auditoria CEB'!D147)," ",+'Auditoria CEB'!D147)</f>
        <v xml:space="preserve"> </v>
      </c>
      <c r="E118" s="29" t="str">
        <f>IF(ISBLANK('Auditoria CEB'!E147)," ",+'Auditoria CEB'!E147)</f>
        <v xml:space="preserve"> </v>
      </c>
      <c r="F118" s="30" t="str">
        <f>IF(ISBLANK('Auditoria CEB'!F127)," ",+'Auditoria CEB'!F127)</f>
        <v xml:space="preserve"> </v>
      </c>
      <c r="G118" s="30" t="str">
        <f>IF(ISBLANK('Auditoria CEB'!I147)," ",+'Auditoria CEB'!I147)</f>
        <v xml:space="preserve"> </v>
      </c>
      <c r="H118" s="30" t="str">
        <f>IF(ISBLANK('Auditoria CEB'!AR147)," ",+'Auditoria CEB'!AR147)</f>
        <v xml:space="preserve"> </v>
      </c>
      <c r="I118" s="45" t="str">
        <f>IF(ISBLANK('Auditoria CEB'!K147)," ",+'Auditoria CEB'!K147)</f>
        <v xml:space="preserve"> </v>
      </c>
      <c r="J118" s="30" t="str">
        <f>IF(ISBLANK('Auditoria CEB'!AM147)," ",+'Auditoria CEB'!AM147)</f>
        <v xml:space="preserve"> </v>
      </c>
    </row>
    <row r="119" spans="1:10">
      <c r="A119" s="30" t="str">
        <f>IF(ISBLANK('Auditoria CEB'!$E$6)," ",'Auditoria CEB'!$E$6)</f>
        <v xml:space="preserve"> </v>
      </c>
      <c r="B119" s="30" t="s">
        <v>161</v>
      </c>
      <c r="C119" s="29" t="str">
        <f>IF(ISBLANK('Auditoria CEB'!B148)," ",+'Auditoria CEB'!B148)</f>
        <v xml:space="preserve"> </v>
      </c>
      <c r="D119" s="29" t="str">
        <f>IF(ISBLANK('Auditoria CEB'!D148)," ",+'Auditoria CEB'!D148)</f>
        <v xml:space="preserve"> </v>
      </c>
      <c r="E119" s="29" t="str">
        <f>IF(ISBLANK('Auditoria CEB'!E148)," ",+'Auditoria CEB'!E148)</f>
        <v xml:space="preserve"> </v>
      </c>
      <c r="F119" s="30" t="str">
        <f>IF(ISBLANK('Auditoria CEB'!F128)," ",+'Auditoria CEB'!F128)</f>
        <v xml:space="preserve"> </v>
      </c>
      <c r="G119" s="30" t="str">
        <f>IF(ISBLANK('Auditoria CEB'!I148)," ",+'Auditoria CEB'!I148)</f>
        <v xml:space="preserve"> </v>
      </c>
      <c r="H119" s="30" t="str">
        <f>IF(ISBLANK('Auditoria CEB'!AR148)," ",+'Auditoria CEB'!AR148)</f>
        <v xml:space="preserve"> </v>
      </c>
      <c r="I119" s="45" t="str">
        <f>IF(ISBLANK('Auditoria CEB'!K148)," ",+'Auditoria CEB'!K148)</f>
        <v xml:space="preserve"> </v>
      </c>
      <c r="J119" s="30" t="str">
        <f>IF(ISBLANK('Auditoria CEB'!AM148)," ",+'Auditoria CEB'!AM148)</f>
        <v xml:space="preserve"> </v>
      </c>
    </row>
    <row r="120" spans="1:10">
      <c r="A120" s="30" t="str">
        <f>IF(ISBLANK('Auditoria CEB'!$E$6)," ",'Auditoria CEB'!$E$6)</f>
        <v xml:space="preserve"> </v>
      </c>
      <c r="B120" s="30" t="s">
        <v>161</v>
      </c>
      <c r="C120" s="29" t="str">
        <f>IF(ISBLANK('Auditoria CEB'!B149)," ",+'Auditoria CEB'!B149)</f>
        <v xml:space="preserve"> </v>
      </c>
      <c r="D120" s="29" t="str">
        <f>IF(ISBLANK('Auditoria CEB'!D149)," ",+'Auditoria CEB'!D149)</f>
        <v xml:space="preserve"> </v>
      </c>
      <c r="E120" s="29" t="str">
        <f>IF(ISBLANK('Auditoria CEB'!E149)," ",+'Auditoria CEB'!E149)</f>
        <v xml:space="preserve"> </v>
      </c>
      <c r="F120" s="30" t="str">
        <f>IF(ISBLANK('Auditoria CEB'!F129)," ",+'Auditoria CEB'!F129)</f>
        <v xml:space="preserve"> </v>
      </c>
      <c r="G120" s="30" t="str">
        <f>IF(ISBLANK('Auditoria CEB'!I149)," ",+'Auditoria CEB'!I149)</f>
        <v xml:space="preserve"> </v>
      </c>
      <c r="H120" s="30" t="str">
        <f>IF(ISBLANK('Auditoria CEB'!AR149)," ",+'Auditoria CEB'!AR149)</f>
        <v xml:space="preserve"> </v>
      </c>
      <c r="I120" s="45" t="str">
        <f>IF(ISBLANK('Auditoria CEB'!K149)," ",+'Auditoria CEB'!K149)</f>
        <v xml:space="preserve"> </v>
      </c>
      <c r="J120" s="30" t="str">
        <f>IF(ISBLANK('Auditoria CEB'!AM149)," ",+'Auditoria CEB'!AM149)</f>
        <v xml:space="preserve"> </v>
      </c>
    </row>
    <row r="121" spans="1:10">
      <c r="A121" s="30" t="str">
        <f>IF(ISBLANK('Auditoria CEB'!$E$6)," ",'Auditoria CEB'!$E$6)</f>
        <v xml:space="preserve"> </v>
      </c>
      <c r="B121" s="30" t="s">
        <v>161</v>
      </c>
      <c r="C121" s="29" t="str">
        <f>IF(ISBLANK('Auditoria CEB'!B150)," ",+'Auditoria CEB'!B150)</f>
        <v xml:space="preserve"> </v>
      </c>
      <c r="D121" s="29" t="str">
        <f>IF(ISBLANK('Auditoria CEB'!D150)," ",+'Auditoria CEB'!D150)</f>
        <v xml:space="preserve"> </v>
      </c>
      <c r="E121" s="29" t="str">
        <f>IF(ISBLANK('Auditoria CEB'!E150)," ",+'Auditoria CEB'!E150)</f>
        <v xml:space="preserve"> </v>
      </c>
      <c r="F121" s="30" t="str">
        <f>IF(ISBLANK('Auditoria CEB'!F130)," ",+'Auditoria CEB'!F130)</f>
        <v xml:space="preserve"> </v>
      </c>
      <c r="G121" s="30" t="str">
        <f>IF(ISBLANK('Auditoria CEB'!I150)," ",+'Auditoria CEB'!I150)</f>
        <v xml:space="preserve"> </v>
      </c>
      <c r="H121" s="30" t="str">
        <f>IF(ISBLANK('Auditoria CEB'!AR150)," ",+'Auditoria CEB'!AR150)</f>
        <v xml:space="preserve"> </v>
      </c>
      <c r="I121" s="45" t="str">
        <f>IF(ISBLANK('Auditoria CEB'!K150)," ",+'Auditoria CEB'!K150)</f>
        <v xml:space="preserve"> </v>
      </c>
      <c r="J121" s="30" t="str">
        <f>IF(ISBLANK('Auditoria CEB'!AM150)," ",+'Auditoria CEB'!AM150)</f>
        <v xml:space="preserve"> </v>
      </c>
    </row>
    <row r="122" spans="1:10">
      <c r="A122" s="30" t="str">
        <f>IF(ISBLANK('Auditoria CEB'!$E$6)," ",'Auditoria CEB'!$E$6)</f>
        <v xml:space="preserve"> </v>
      </c>
      <c r="B122" s="30" t="s">
        <v>161</v>
      </c>
      <c r="C122" s="29" t="str">
        <f>IF(ISBLANK('Auditoria CEB'!B151)," ",+'Auditoria CEB'!B151)</f>
        <v xml:space="preserve"> </v>
      </c>
      <c r="D122" s="29" t="str">
        <f>IF(ISBLANK('Auditoria CEB'!D151)," ",+'Auditoria CEB'!D151)</f>
        <v xml:space="preserve"> </v>
      </c>
      <c r="E122" s="29" t="str">
        <f>IF(ISBLANK('Auditoria CEB'!E151)," ",+'Auditoria CEB'!E151)</f>
        <v xml:space="preserve"> </v>
      </c>
      <c r="F122" s="30" t="str">
        <f>IF(ISBLANK('Auditoria CEB'!F131)," ",+'Auditoria CEB'!F131)</f>
        <v xml:space="preserve"> </v>
      </c>
      <c r="G122" s="30" t="str">
        <f>IF(ISBLANK('Auditoria CEB'!I151)," ",+'Auditoria CEB'!I151)</f>
        <v xml:space="preserve"> </v>
      </c>
      <c r="H122" s="30" t="str">
        <f>IF(ISBLANK('Auditoria CEB'!AR151)," ",+'Auditoria CEB'!AR151)</f>
        <v xml:space="preserve"> </v>
      </c>
      <c r="I122" s="45" t="str">
        <f>IF(ISBLANK('Auditoria CEB'!K151)," ",+'Auditoria CEB'!K151)</f>
        <v xml:space="preserve"> </v>
      </c>
      <c r="J122" s="30" t="str">
        <f>IF(ISBLANK('Auditoria CEB'!AM151)," ",+'Auditoria CEB'!AM151)</f>
        <v xml:space="preserve"> </v>
      </c>
    </row>
    <row r="123" spans="1:10">
      <c r="A123" s="30" t="str">
        <f>IF(ISBLANK('Auditoria CEB'!$E$6)," ",'Auditoria CEB'!$E$6)</f>
        <v xml:space="preserve"> </v>
      </c>
      <c r="B123" s="30" t="s">
        <v>161</v>
      </c>
      <c r="C123" s="29" t="str">
        <f>IF(ISBLANK('Auditoria CEB'!B152)," ",+'Auditoria CEB'!B152)</f>
        <v xml:space="preserve"> </v>
      </c>
      <c r="D123" s="29" t="str">
        <f>IF(ISBLANK('Auditoria CEB'!D152)," ",+'Auditoria CEB'!D152)</f>
        <v xml:space="preserve"> </v>
      </c>
      <c r="E123" s="29" t="str">
        <f>IF(ISBLANK('Auditoria CEB'!E152)," ",+'Auditoria CEB'!E152)</f>
        <v xml:space="preserve"> </v>
      </c>
      <c r="F123" s="30" t="str">
        <f>IF(ISBLANK('Auditoria CEB'!F132)," ",+'Auditoria CEB'!F132)</f>
        <v xml:space="preserve"> </v>
      </c>
      <c r="G123" s="30" t="str">
        <f>IF(ISBLANK('Auditoria CEB'!I152)," ",+'Auditoria CEB'!I152)</f>
        <v xml:space="preserve"> </v>
      </c>
      <c r="H123" s="30" t="str">
        <f>IF(ISBLANK('Auditoria CEB'!AR152)," ",+'Auditoria CEB'!AR152)</f>
        <v xml:space="preserve"> </v>
      </c>
      <c r="I123" s="45" t="str">
        <f>IF(ISBLANK('Auditoria CEB'!K152)," ",+'Auditoria CEB'!K152)</f>
        <v xml:space="preserve"> </v>
      </c>
      <c r="J123" s="30" t="str">
        <f>IF(ISBLANK('Auditoria CEB'!AM152)," ",+'Auditoria CEB'!AM152)</f>
        <v xml:space="preserve"> </v>
      </c>
    </row>
    <row r="124" spans="1:10">
      <c r="A124" s="30" t="str">
        <f>IF(ISBLANK('Auditoria CEB'!$E$6)," ",'Auditoria CEB'!$E$6)</f>
        <v xml:space="preserve"> </v>
      </c>
      <c r="B124" s="30" t="s">
        <v>161</v>
      </c>
      <c r="C124" s="29" t="str">
        <f>IF(ISBLANK('Auditoria CEB'!B153)," ",+'Auditoria CEB'!B153)</f>
        <v xml:space="preserve"> </v>
      </c>
      <c r="D124" s="29" t="str">
        <f>IF(ISBLANK('Auditoria CEB'!D153)," ",+'Auditoria CEB'!D153)</f>
        <v xml:space="preserve"> </v>
      </c>
      <c r="E124" s="29" t="str">
        <f>IF(ISBLANK('Auditoria CEB'!E153)," ",+'Auditoria CEB'!E153)</f>
        <v xml:space="preserve"> </v>
      </c>
      <c r="F124" s="30" t="str">
        <f>IF(ISBLANK('Auditoria CEB'!F133)," ",+'Auditoria CEB'!F133)</f>
        <v xml:space="preserve"> </v>
      </c>
      <c r="G124" s="30" t="str">
        <f>IF(ISBLANK('Auditoria CEB'!I153)," ",+'Auditoria CEB'!I153)</f>
        <v xml:space="preserve"> </v>
      </c>
      <c r="H124" s="30" t="str">
        <f>IF(ISBLANK('Auditoria CEB'!AR153)," ",+'Auditoria CEB'!AR153)</f>
        <v xml:space="preserve"> </v>
      </c>
      <c r="I124" s="45" t="str">
        <f>IF(ISBLANK('Auditoria CEB'!K153)," ",+'Auditoria CEB'!K153)</f>
        <v xml:space="preserve"> </v>
      </c>
      <c r="J124" s="30" t="str">
        <f>IF(ISBLANK('Auditoria CEB'!AM153)," ",+'Auditoria CEB'!AM153)</f>
        <v xml:space="preserve"> </v>
      </c>
    </row>
    <row r="125" spans="1:10">
      <c r="A125" s="30" t="str">
        <f>IF(ISBLANK('Auditoria CEB'!$E$6)," ",'Auditoria CEB'!$E$6)</f>
        <v xml:space="preserve"> </v>
      </c>
      <c r="B125" s="30" t="s">
        <v>161</v>
      </c>
      <c r="C125" s="29" t="str">
        <f>IF(ISBLANK('Auditoria CEB'!B154)," ",+'Auditoria CEB'!B154)</f>
        <v xml:space="preserve"> </v>
      </c>
      <c r="D125" s="29" t="str">
        <f>IF(ISBLANK('Auditoria CEB'!D154)," ",+'Auditoria CEB'!D154)</f>
        <v xml:space="preserve"> </v>
      </c>
      <c r="E125" s="29" t="str">
        <f>IF(ISBLANK('Auditoria CEB'!E154)," ",+'Auditoria CEB'!E154)</f>
        <v xml:space="preserve"> </v>
      </c>
      <c r="F125" s="30" t="str">
        <f>IF(ISBLANK('Auditoria CEB'!F134)," ",+'Auditoria CEB'!F134)</f>
        <v xml:space="preserve"> </v>
      </c>
      <c r="G125" s="30" t="str">
        <f>IF(ISBLANK('Auditoria CEB'!I154)," ",+'Auditoria CEB'!I154)</f>
        <v xml:space="preserve"> </v>
      </c>
      <c r="H125" s="30" t="str">
        <f>IF(ISBLANK('Auditoria CEB'!AR154)," ",+'Auditoria CEB'!AR154)</f>
        <v xml:space="preserve"> </v>
      </c>
      <c r="I125" s="45" t="str">
        <f>IF(ISBLANK('Auditoria CEB'!K154)," ",+'Auditoria CEB'!K154)</f>
        <v xml:space="preserve"> </v>
      </c>
      <c r="J125" s="30" t="str">
        <f>IF(ISBLANK('Auditoria CEB'!AM154)," ",+'Auditoria CEB'!AM154)</f>
        <v xml:space="preserve"> </v>
      </c>
    </row>
    <row r="126" spans="1:10">
      <c r="A126" s="30" t="str">
        <f>IF(ISBLANK('Auditoria CEB'!$E$6)," ",'Auditoria CEB'!$E$6)</f>
        <v xml:space="preserve"> </v>
      </c>
      <c r="B126" s="30" t="s">
        <v>161</v>
      </c>
      <c r="C126" s="29" t="str">
        <f>IF(ISBLANK('Auditoria CEB'!B155)," ",+'Auditoria CEB'!B155)</f>
        <v xml:space="preserve"> </v>
      </c>
      <c r="D126" s="29" t="str">
        <f>IF(ISBLANK('Auditoria CEB'!D155)," ",+'Auditoria CEB'!D155)</f>
        <v xml:space="preserve"> </v>
      </c>
      <c r="E126" s="29" t="str">
        <f>IF(ISBLANK('Auditoria CEB'!E155)," ",+'Auditoria CEB'!E155)</f>
        <v xml:space="preserve"> </v>
      </c>
      <c r="F126" s="30" t="str">
        <f>IF(ISBLANK('Auditoria CEB'!F135)," ",+'Auditoria CEB'!F135)</f>
        <v xml:space="preserve"> </v>
      </c>
      <c r="G126" s="30" t="str">
        <f>IF(ISBLANK('Auditoria CEB'!I155)," ",+'Auditoria CEB'!I155)</f>
        <v xml:space="preserve"> </v>
      </c>
      <c r="H126" s="30" t="str">
        <f>IF(ISBLANK('Auditoria CEB'!AR155)," ",+'Auditoria CEB'!AR155)</f>
        <v xml:space="preserve"> </v>
      </c>
      <c r="I126" s="45" t="str">
        <f>IF(ISBLANK('Auditoria CEB'!K155)," ",+'Auditoria CEB'!K155)</f>
        <v xml:space="preserve"> </v>
      </c>
      <c r="J126" s="30" t="str">
        <f>IF(ISBLANK('Auditoria CEB'!AM155)," ",+'Auditoria CEB'!AM155)</f>
        <v xml:space="preserve"> </v>
      </c>
    </row>
    <row r="127" spans="1:10">
      <c r="A127" s="30" t="str">
        <f>IF(ISBLANK('Auditoria CEB'!$E$6)," ",'Auditoria CEB'!$E$6)</f>
        <v xml:space="preserve"> </v>
      </c>
      <c r="B127" s="30" t="s">
        <v>161</v>
      </c>
      <c r="C127" s="29" t="str">
        <f>IF(ISBLANK('Auditoria CEB'!B156)," ",+'Auditoria CEB'!B156)</f>
        <v xml:space="preserve"> </v>
      </c>
      <c r="D127" s="29" t="str">
        <f>IF(ISBLANK('Auditoria CEB'!D156)," ",+'Auditoria CEB'!D156)</f>
        <v xml:space="preserve"> </v>
      </c>
      <c r="E127" s="29" t="str">
        <f>IF(ISBLANK('Auditoria CEB'!E156)," ",+'Auditoria CEB'!E156)</f>
        <v xml:space="preserve"> </v>
      </c>
      <c r="F127" s="30" t="str">
        <f>IF(ISBLANK('Auditoria CEB'!F136)," ",+'Auditoria CEB'!F136)</f>
        <v xml:space="preserve"> </v>
      </c>
      <c r="G127" s="30" t="str">
        <f>IF(ISBLANK('Auditoria CEB'!I156)," ",+'Auditoria CEB'!I156)</f>
        <v xml:space="preserve"> </v>
      </c>
      <c r="H127" s="30" t="str">
        <f>IF(ISBLANK('Auditoria CEB'!AR156)," ",+'Auditoria CEB'!AR156)</f>
        <v xml:space="preserve"> </v>
      </c>
      <c r="I127" s="45" t="str">
        <f>IF(ISBLANK('Auditoria CEB'!K156)," ",+'Auditoria CEB'!K156)</f>
        <v xml:space="preserve"> </v>
      </c>
      <c r="J127" s="30" t="str">
        <f>IF(ISBLANK('Auditoria CEB'!AM156)," ",+'Auditoria CEB'!AM156)</f>
        <v xml:space="preserve"> </v>
      </c>
    </row>
    <row r="128" spans="1:10">
      <c r="A128" s="30" t="str">
        <f>IF(ISBLANK('Auditoria CEB'!$E$6)," ",'Auditoria CEB'!$E$6)</f>
        <v xml:space="preserve"> </v>
      </c>
      <c r="B128" s="30" t="s">
        <v>161</v>
      </c>
      <c r="C128" s="29" t="str">
        <f>IF(ISBLANK('Auditoria CEB'!B157)," ",+'Auditoria CEB'!B157)</f>
        <v xml:space="preserve"> </v>
      </c>
      <c r="D128" s="29" t="str">
        <f>IF(ISBLANK('Auditoria CEB'!D157)," ",+'Auditoria CEB'!D157)</f>
        <v xml:space="preserve"> </v>
      </c>
      <c r="E128" s="29" t="str">
        <f>IF(ISBLANK('Auditoria CEB'!E157)," ",+'Auditoria CEB'!E157)</f>
        <v xml:space="preserve"> </v>
      </c>
      <c r="F128" s="30" t="str">
        <f>IF(ISBLANK('Auditoria CEB'!F137)," ",+'Auditoria CEB'!F137)</f>
        <v xml:space="preserve"> </v>
      </c>
      <c r="G128" s="30" t="str">
        <f>IF(ISBLANK('Auditoria CEB'!I157)," ",+'Auditoria CEB'!I157)</f>
        <v xml:space="preserve"> </v>
      </c>
      <c r="H128" s="30" t="str">
        <f>IF(ISBLANK('Auditoria CEB'!AR157)," ",+'Auditoria CEB'!AR157)</f>
        <v xml:space="preserve"> </v>
      </c>
      <c r="I128" s="45" t="str">
        <f>IF(ISBLANK('Auditoria CEB'!K157)," ",+'Auditoria CEB'!K157)</f>
        <v xml:space="preserve"> </v>
      </c>
      <c r="J128" s="30" t="str">
        <f>IF(ISBLANK('Auditoria CEB'!AM157)," ",+'Auditoria CEB'!AM157)</f>
        <v xml:space="preserve"> </v>
      </c>
    </row>
    <row r="129" spans="1:10">
      <c r="A129" s="30" t="str">
        <f>IF(ISBLANK('Auditoria CEB'!$E$6)," ",'Auditoria CEB'!$E$6)</f>
        <v xml:space="preserve"> </v>
      </c>
      <c r="B129" s="30" t="s">
        <v>161</v>
      </c>
      <c r="C129" s="29" t="str">
        <f>IF(ISBLANK('Auditoria CEB'!B158)," ",+'Auditoria CEB'!B158)</f>
        <v xml:space="preserve"> </v>
      </c>
      <c r="D129" s="29" t="str">
        <f>IF(ISBLANK('Auditoria CEB'!D158)," ",+'Auditoria CEB'!D158)</f>
        <v xml:space="preserve"> </v>
      </c>
      <c r="E129" s="29" t="str">
        <f>IF(ISBLANK('Auditoria CEB'!E158)," ",+'Auditoria CEB'!E158)</f>
        <v xml:space="preserve"> </v>
      </c>
      <c r="F129" s="30" t="str">
        <f>IF(ISBLANK('Auditoria CEB'!F138)," ",+'Auditoria CEB'!F138)</f>
        <v xml:space="preserve"> </v>
      </c>
      <c r="G129" s="30" t="str">
        <f>IF(ISBLANK('Auditoria CEB'!I158)," ",+'Auditoria CEB'!I158)</f>
        <v xml:space="preserve"> </v>
      </c>
      <c r="H129" s="30" t="str">
        <f>IF(ISBLANK('Auditoria CEB'!AR158)," ",+'Auditoria CEB'!AR158)</f>
        <v xml:space="preserve"> </v>
      </c>
      <c r="I129" s="45" t="str">
        <f>IF(ISBLANK('Auditoria CEB'!K158)," ",+'Auditoria CEB'!K158)</f>
        <v xml:space="preserve"> </v>
      </c>
      <c r="J129" s="30" t="str">
        <f>IF(ISBLANK('Auditoria CEB'!AM158)," ",+'Auditoria CEB'!AM158)</f>
        <v xml:space="preserve"> </v>
      </c>
    </row>
    <row r="130" spans="1:10">
      <c r="A130" s="30" t="str">
        <f>IF(ISBLANK('Auditoria CEB'!$E$6)," ",'Auditoria CEB'!$E$6)</f>
        <v xml:space="preserve"> </v>
      </c>
      <c r="B130" s="30" t="s">
        <v>161</v>
      </c>
      <c r="C130" s="29" t="str">
        <f>IF(ISBLANK('Auditoria CEB'!B159)," ",+'Auditoria CEB'!B159)</f>
        <v xml:space="preserve"> </v>
      </c>
      <c r="D130" s="29" t="str">
        <f>IF(ISBLANK('Auditoria CEB'!D159)," ",+'Auditoria CEB'!D159)</f>
        <v xml:space="preserve"> </v>
      </c>
      <c r="E130" s="29" t="str">
        <f>IF(ISBLANK('Auditoria CEB'!E159)," ",+'Auditoria CEB'!E159)</f>
        <v xml:space="preserve"> </v>
      </c>
      <c r="F130" s="30" t="str">
        <f>IF(ISBLANK('Auditoria CEB'!F139)," ",+'Auditoria CEB'!F139)</f>
        <v xml:space="preserve"> </v>
      </c>
      <c r="G130" s="30" t="str">
        <f>IF(ISBLANK('Auditoria CEB'!I159)," ",+'Auditoria CEB'!I159)</f>
        <v xml:space="preserve"> </v>
      </c>
      <c r="H130" s="30" t="str">
        <f>IF(ISBLANK('Auditoria CEB'!AR159)," ",+'Auditoria CEB'!AR159)</f>
        <v xml:space="preserve"> </v>
      </c>
      <c r="I130" s="45" t="str">
        <f>IF(ISBLANK('Auditoria CEB'!K159)," ",+'Auditoria CEB'!K159)</f>
        <v xml:space="preserve"> </v>
      </c>
      <c r="J130" s="30" t="str">
        <f>IF(ISBLANK('Auditoria CEB'!AM159)," ",+'Auditoria CEB'!AM159)</f>
        <v xml:space="preserve"> </v>
      </c>
    </row>
    <row r="131" spans="1:10">
      <c r="A131" s="30" t="str">
        <f>IF(ISBLANK('Auditoria CEB'!$E$6)," ",'Auditoria CEB'!$E$6)</f>
        <v xml:space="preserve"> </v>
      </c>
      <c r="B131" s="30" t="s">
        <v>161</v>
      </c>
      <c r="C131" s="29" t="str">
        <f>IF(ISBLANK('Auditoria CEB'!B160)," ",+'Auditoria CEB'!B160)</f>
        <v xml:space="preserve"> </v>
      </c>
      <c r="D131" s="29" t="str">
        <f>IF(ISBLANK('Auditoria CEB'!D160)," ",+'Auditoria CEB'!D160)</f>
        <v xml:space="preserve"> </v>
      </c>
      <c r="E131" s="29" t="str">
        <f>IF(ISBLANK('Auditoria CEB'!E160)," ",+'Auditoria CEB'!E160)</f>
        <v xml:space="preserve"> </v>
      </c>
      <c r="F131" s="30" t="str">
        <f>IF(ISBLANK('Auditoria CEB'!F140)," ",+'Auditoria CEB'!F140)</f>
        <v xml:space="preserve"> </v>
      </c>
      <c r="G131" s="30" t="str">
        <f>IF(ISBLANK('Auditoria CEB'!I160)," ",+'Auditoria CEB'!I160)</f>
        <v xml:space="preserve"> </v>
      </c>
      <c r="H131" s="30" t="str">
        <f>IF(ISBLANK('Auditoria CEB'!AR160)," ",+'Auditoria CEB'!AR160)</f>
        <v xml:space="preserve"> </v>
      </c>
      <c r="I131" s="45" t="str">
        <f>IF(ISBLANK('Auditoria CEB'!K160)," ",+'Auditoria CEB'!K160)</f>
        <v xml:space="preserve"> </v>
      </c>
      <c r="J131" s="30" t="str">
        <f>IF(ISBLANK('Auditoria CEB'!AM160)," ",+'Auditoria CEB'!AM160)</f>
        <v xml:space="preserve"> </v>
      </c>
    </row>
    <row r="132" spans="1:10">
      <c r="A132" s="30" t="str">
        <f>IF(ISBLANK('Auditoria CEB'!$E$6)," ",'Auditoria CEB'!$E$6)</f>
        <v xml:space="preserve"> </v>
      </c>
      <c r="B132" s="30" t="s">
        <v>161</v>
      </c>
      <c r="C132" s="29" t="str">
        <f>IF(ISBLANK('Auditoria CEB'!B161)," ",+'Auditoria CEB'!B161)</f>
        <v xml:space="preserve"> </v>
      </c>
      <c r="D132" s="29" t="str">
        <f>IF(ISBLANK('Auditoria CEB'!D161)," ",+'Auditoria CEB'!D161)</f>
        <v xml:space="preserve"> </v>
      </c>
      <c r="E132" s="29" t="str">
        <f>IF(ISBLANK('Auditoria CEB'!E161)," ",+'Auditoria CEB'!E161)</f>
        <v xml:space="preserve"> </v>
      </c>
      <c r="F132" s="30" t="str">
        <f>IF(ISBLANK('Auditoria CEB'!F141)," ",+'Auditoria CEB'!F141)</f>
        <v xml:space="preserve"> </v>
      </c>
      <c r="G132" s="30" t="str">
        <f>IF(ISBLANK('Auditoria CEB'!I161)," ",+'Auditoria CEB'!I161)</f>
        <v xml:space="preserve"> </v>
      </c>
      <c r="H132" s="30" t="str">
        <f>IF(ISBLANK('Auditoria CEB'!AR161)," ",+'Auditoria CEB'!AR161)</f>
        <v xml:space="preserve"> </v>
      </c>
      <c r="I132" s="45" t="str">
        <f>IF(ISBLANK('Auditoria CEB'!K161)," ",+'Auditoria CEB'!K161)</f>
        <v xml:space="preserve"> </v>
      </c>
      <c r="J132" s="30" t="str">
        <f>IF(ISBLANK('Auditoria CEB'!AM161)," ",+'Auditoria CEB'!AM161)</f>
        <v xml:space="preserve"> </v>
      </c>
    </row>
    <row r="133" spans="1:10">
      <c r="A133" s="30" t="str">
        <f>IF(ISBLANK('Auditoria CEB'!$E$6)," ",'Auditoria CEB'!$E$6)</f>
        <v xml:space="preserve"> </v>
      </c>
      <c r="B133" s="30" t="s">
        <v>161</v>
      </c>
      <c r="C133" s="29" t="str">
        <f>IF(ISBLANK('Auditoria CEB'!B162)," ",+'Auditoria CEB'!B162)</f>
        <v xml:space="preserve"> </v>
      </c>
      <c r="D133" s="29" t="str">
        <f>IF(ISBLANK('Auditoria CEB'!D162)," ",+'Auditoria CEB'!D162)</f>
        <v xml:space="preserve"> </v>
      </c>
      <c r="E133" s="29" t="str">
        <f>IF(ISBLANK('Auditoria CEB'!E162)," ",+'Auditoria CEB'!E162)</f>
        <v xml:space="preserve"> </v>
      </c>
      <c r="F133" s="30" t="str">
        <f>IF(ISBLANK('Auditoria CEB'!F142)," ",+'Auditoria CEB'!F142)</f>
        <v xml:space="preserve"> </v>
      </c>
      <c r="G133" s="30" t="str">
        <f>IF(ISBLANK('Auditoria CEB'!I162)," ",+'Auditoria CEB'!I162)</f>
        <v xml:space="preserve"> </v>
      </c>
      <c r="H133" s="30" t="str">
        <f>IF(ISBLANK('Auditoria CEB'!AR162)," ",+'Auditoria CEB'!AR162)</f>
        <v xml:space="preserve"> </v>
      </c>
      <c r="I133" s="45" t="str">
        <f>IF(ISBLANK('Auditoria CEB'!K162)," ",+'Auditoria CEB'!K162)</f>
        <v xml:space="preserve"> </v>
      </c>
      <c r="J133" s="30" t="str">
        <f>IF(ISBLANK('Auditoria CEB'!AM162)," ",+'Auditoria CEB'!AM162)</f>
        <v xml:space="preserve"> </v>
      </c>
    </row>
    <row r="134" spans="1:10">
      <c r="A134" s="30" t="str">
        <f>IF(ISBLANK('Auditoria CEB'!$E$6)," ",'Auditoria CEB'!$E$6)</f>
        <v xml:space="preserve"> </v>
      </c>
      <c r="B134" s="30" t="s">
        <v>161</v>
      </c>
      <c r="C134" s="29" t="str">
        <f>IF(ISBLANK('Auditoria CEB'!B163)," ",+'Auditoria CEB'!B163)</f>
        <v xml:space="preserve"> </v>
      </c>
      <c r="D134" s="29" t="str">
        <f>IF(ISBLANK('Auditoria CEB'!D163)," ",+'Auditoria CEB'!D163)</f>
        <v xml:space="preserve"> </v>
      </c>
      <c r="E134" s="29" t="str">
        <f>IF(ISBLANK('Auditoria CEB'!E163)," ",+'Auditoria CEB'!E163)</f>
        <v xml:space="preserve"> </v>
      </c>
      <c r="F134" s="30" t="str">
        <f>IF(ISBLANK('Auditoria CEB'!F143)," ",+'Auditoria CEB'!F143)</f>
        <v xml:space="preserve"> </v>
      </c>
      <c r="G134" s="30" t="str">
        <f>IF(ISBLANK('Auditoria CEB'!I163)," ",+'Auditoria CEB'!I163)</f>
        <v xml:space="preserve"> </v>
      </c>
      <c r="H134" s="30" t="str">
        <f>IF(ISBLANK('Auditoria CEB'!AR163)," ",+'Auditoria CEB'!AR163)</f>
        <v xml:space="preserve"> </v>
      </c>
      <c r="I134" s="45" t="str">
        <f>IF(ISBLANK('Auditoria CEB'!K163)," ",+'Auditoria CEB'!K163)</f>
        <v xml:space="preserve"> </v>
      </c>
      <c r="J134" s="30" t="str">
        <f>IF(ISBLANK('Auditoria CEB'!AM163)," ",+'Auditoria CEB'!AM163)</f>
        <v xml:space="preserve"> </v>
      </c>
    </row>
    <row r="135" spans="1:10">
      <c r="A135" s="30" t="str">
        <f>IF(ISBLANK('Auditoria CEB'!$E$6)," ",'Auditoria CEB'!$E$6)</f>
        <v xml:space="preserve"> </v>
      </c>
      <c r="B135" s="30" t="s">
        <v>161</v>
      </c>
      <c r="C135" s="29" t="str">
        <f>IF(ISBLANK('Auditoria CEB'!B164)," ",+'Auditoria CEB'!B164)</f>
        <v xml:space="preserve"> </v>
      </c>
      <c r="D135" s="29" t="str">
        <f>IF(ISBLANK('Auditoria CEB'!D164)," ",+'Auditoria CEB'!D164)</f>
        <v xml:space="preserve"> </v>
      </c>
      <c r="E135" s="29" t="str">
        <f>IF(ISBLANK('Auditoria CEB'!E164)," ",+'Auditoria CEB'!E164)</f>
        <v xml:space="preserve"> </v>
      </c>
      <c r="F135" s="30" t="str">
        <f>IF(ISBLANK('Auditoria CEB'!F144)," ",+'Auditoria CEB'!F144)</f>
        <v xml:space="preserve"> </v>
      </c>
      <c r="G135" s="30" t="str">
        <f>IF(ISBLANK('Auditoria CEB'!I164)," ",+'Auditoria CEB'!I164)</f>
        <v xml:space="preserve"> </v>
      </c>
      <c r="H135" s="30" t="str">
        <f>IF(ISBLANK('Auditoria CEB'!AR164)," ",+'Auditoria CEB'!AR164)</f>
        <v xml:space="preserve"> </v>
      </c>
      <c r="I135" s="45" t="str">
        <f>IF(ISBLANK('Auditoria CEB'!K164)," ",+'Auditoria CEB'!K164)</f>
        <v xml:space="preserve"> </v>
      </c>
      <c r="J135" s="30" t="str">
        <f>IF(ISBLANK('Auditoria CEB'!AM164)," ",+'Auditoria CEB'!AM164)</f>
        <v xml:space="preserve"> </v>
      </c>
    </row>
    <row r="136" spans="1:10">
      <c r="A136" s="30" t="str">
        <f>IF(ISBLANK('Auditoria CEB'!$E$6)," ",'Auditoria CEB'!$E$6)</f>
        <v xml:space="preserve"> </v>
      </c>
      <c r="B136" s="30" t="s">
        <v>161</v>
      </c>
      <c r="C136" s="29" t="str">
        <f>IF(ISBLANK('Auditoria CEB'!B165)," ",+'Auditoria CEB'!B165)</f>
        <v xml:space="preserve"> </v>
      </c>
      <c r="D136" s="29" t="str">
        <f>IF(ISBLANK('Auditoria CEB'!D165)," ",+'Auditoria CEB'!D165)</f>
        <v xml:space="preserve"> </v>
      </c>
      <c r="E136" s="29" t="str">
        <f>IF(ISBLANK('Auditoria CEB'!E165)," ",+'Auditoria CEB'!E165)</f>
        <v xml:space="preserve"> </v>
      </c>
      <c r="F136" s="30" t="str">
        <f>IF(ISBLANK('Auditoria CEB'!F145)," ",+'Auditoria CEB'!F145)</f>
        <v xml:space="preserve"> </v>
      </c>
      <c r="G136" s="30" t="str">
        <f>IF(ISBLANK('Auditoria CEB'!I165)," ",+'Auditoria CEB'!I165)</f>
        <v xml:space="preserve"> </v>
      </c>
      <c r="H136" s="30" t="str">
        <f>IF(ISBLANK('Auditoria CEB'!AR165)," ",+'Auditoria CEB'!AR165)</f>
        <v xml:space="preserve"> </v>
      </c>
      <c r="I136" s="45" t="str">
        <f>IF(ISBLANK('Auditoria CEB'!K165)," ",+'Auditoria CEB'!K165)</f>
        <v xml:space="preserve"> </v>
      </c>
      <c r="J136" s="30" t="str">
        <f>IF(ISBLANK('Auditoria CEB'!AM165)," ",+'Auditoria CEB'!AM165)</f>
        <v xml:space="preserve"> </v>
      </c>
    </row>
    <row r="137" spans="1:10">
      <c r="A137" s="30" t="str">
        <f>IF(ISBLANK('Auditoria CEB'!$E$6)," ",'Auditoria CEB'!$E$6)</f>
        <v xml:space="preserve"> </v>
      </c>
      <c r="B137" s="30" t="s">
        <v>161</v>
      </c>
      <c r="C137" s="29" t="str">
        <f>IF(ISBLANK('Auditoria CEB'!B166)," ",+'Auditoria CEB'!B166)</f>
        <v xml:space="preserve"> </v>
      </c>
      <c r="D137" s="29" t="str">
        <f>IF(ISBLANK('Auditoria CEB'!D166)," ",+'Auditoria CEB'!D166)</f>
        <v xml:space="preserve"> </v>
      </c>
      <c r="E137" s="29" t="str">
        <f>IF(ISBLANK('Auditoria CEB'!E166)," ",+'Auditoria CEB'!E166)</f>
        <v xml:space="preserve"> </v>
      </c>
      <c r="F137" s="30" t="str">
        <f>IF(ISBLANK('Auditoria CEB'!F146)," ",+'Auditoria CEB'!F146)</f>
        <v xml:space="preserve"> </v>
      </c>
      <c r="G137" s="30" t="str">
        <f>IF(ISBLANK('Auditoria CEB'!I166)," ",+'Auditoria CEB'!I166)</f>
        <v xml:space="preserve"> </v>
      </c>
      <c r="H137" s="30" t="str">
        <f>IF(ISBLANK('Auditoria CEB'!AR166)," ",+'Auditoria CEB'!AR166)</f>
        <v xml:space="preserve"> </v>
      </c>
      <c r="I137" s="45" t="str">
        <f>IF(ISBLANK('Auditoria CEB'!K166)," ",+'Auditoria CEB'!K166)</f>
        <v xml:space="preserve"> </v>
      </c>
      <c r="J137" s="30" t="str">
        <f>IF(ISBLANK('Auditoria CEB'!AM166)," ",+'Auditoria CEB'!AM166)</f>
        <v xml:space="preserve"> </v>
      </c>
    </row>
    <row r="138" spans="1:10">
      <c r="A138" s="30" t="str">
        <f>IF(ISBLANK('Auditoria CEB'!$E$6)," ",'Auditoria CEB'!$E$6)</f>
        <v xml:space="preserve"> </v>
      </c>
      <c r="B138" s="30" t="s">
        <v>161</v>
      </c>
      <c r="C138" s="29" t="str">
        <f>IF(ISBLANK('Auditoria CEB'!B167)," ",+'Auditoria CEB'!B167)</f>
        <v xml:space="preserve"> </v>
      </c>
      <c r="D138" s="29" t="str">
        <f>IF(ISBLANK('Auditoria CEB'!D167)," ",+'Auditoria CEB'!D167)</f>
        <v xml:space="preserve"> </v>
      </c>
      <c r="E138" s="29" t="str">
        <f>IF(ISBLANK('Auditoria CEB'!E167)," ",+'Auditoria CEB'!E167)</f>
        <v xml:space="preserve"> </v>
      </c>
      <c r="F138" s="30" t="str">
        <f>IF(ISBLANK('Auditoria CEB'!F147)," ",+'Auditoria CEB'!F147)</f>
        <v xml:space="preserve"> </v>
      </c>
      <c r="G138" s="30" t="str">
        <f>IF(ISBLANK('Auditoria CEB'!I167)," ",+'Auditoria CEB'!I167)</f>
        <v xml:space="preserve"> </v>
      </c>
      <c r="H138" s="30" t="str">
        <f>IF(ISBLANK('Auditoria CEB'!AR167)," ",+'Auditoria CEB'!AR167)</f>
        <v xml:space="preserve"> </v>
      </c>
      <c r="I138" s="45" t="str">
        <f>IF(ISBLANK('Auditoria CEB'!K167)," ",+'Auditoria CEB'!K167)</f>
        <v xml:space="preserve"> </v>
      </c>
      <c r="J138" s="30" t="str">
        <f>IF(ISBLANK('Auditoria CEB'!AM167)," ",+'Auditoria CEB'!AM167)</f>
        <v xml:space="preserve"> </v>
      </c>
    </row>
    <row r="139" spans="1:10">
      <c r="A139" s="30" t="str">
        <f>IF(ISBLANK('Auditoria CEB'!$E$6)," ",'Auditoria CEB'!$E$6)</f>
        <v xml:space="preserve"> </v>
      </c>
      <c r="B139" s="30" t="s">
        <v>161</v>
      </c>
      <c r="C139" s="29" t="str">
        <f>IF(ISBLANK('Auditoria CEB'!B168)," ",+'Auditoria CEB'!B168)</f>
        <v xml:space="preserve"> </v>
      </c>
      <c r="D139" s="29" t="str">
        <f>IF(ISBLANK('Auditoria CEB'!D168)," ",+'Auditoria CEB'!D168)</f>
        <v xml:space="preserve"> </v>
      </c>
      <c r="E139" s="29" t="str">
        <f>IF(ISBLANK('Auditoria CEB'!E168)," ",+'Auditoria CEB'!E168)</f>
        <v xml:space="preserve"> </v>
      </c>
      <c r="F139" s="30" t="str">
        <f>IF(ISBLANK('Auditoria CEB'!F148)," ",+'Auditoria CEB'!F148)</f>
        <v xml:space="preserve"> </v>
      </c>
      <c r="G139" s="30" t="str">
        <f>IF(ISBLANK('Auditoria CEB'!I168)," ",+'Auditoria CEB'!I168)</f>
        <v xml:space="preserve"> </v>
      </c>
      <c r="H139" s="30" t="str">
        <f>IF(ISBLANK('Auditoria CEB'!AR168)," ",+'Auditoria CEB'!AR168)</f>
        <v xml:space="preserve"> </v>
      </c>
      <c r="I139" s="45" t="str">
        <f>IF(ISBLANK('Auditoria CEB'!K168)," ",+'Auditoria CEB'!K168)</f>
        <v xml:space="preserve"> </v>
      </c>
      <c r="J139" s="30" t="str">
        <f>IF(ISBLANK('Auditoria CEB'!AM168)," ",+'Auditoria CEB'!AM168)</f>
        <v xml:space="preserve"> </v>
      </c>
    </row>
    <row r="140" spans="1:10">
      <c r="A140" s="30" t="str">
        <f>IF(ISBLANK('Auditoria CEB'!$E$6)," ",'Auditoria CEB'!$E$6)</f>
        <v xml:space="preserve"> </v>
      </c>
      <c r="B140" s="30" t="s">
        <v>161</v>
      </c>
      <c r="C140" s="29" t="str">
        <f>IF(ISBLANK('Auditoria CEB'!B169)," ",+'Auditoria CEB'!B169)</f>
        <v xml:space="preserve"> </v>
      </c>
      <c r="D140" s="29" t="str">
        <f>IF(ISBLANK('Auditoria CEB'!D169)," ",+'Auditoria CEB'!D169)</f>
        <v xml:space="preserve"> </v>
      </c>
      <c r="E140" s="29" t="str">
        <f>IF(ISBLANK('Auditoria CEB'!E169)," ",+'Auditoria CEB'!E169)</f>
        <v xml:space="preserve"> </v>
      </c>
      <c r="F140" s="30" t="str">
        <f>IF(ISBLANK('Auditoria CEB'!F149)," ",+'Auditoria CEB'!F149)</f>
        <v xml:space="preserve"> </v>
      </c>
      <c r="G140" s="30" t="str">
        <f>IF(ISBLANK('Auditoria CEB'!I169)," ",+'Auditoria CEB'!I169)</f>
        <v xml:space="preserve"> </v>
      </c>
      <c r="H140" s="30" t="str">
        <f>IF(ISBLANK('Auditoria CEB'!AR169)," ",+'Auditoria CEB'!AR169)</f>
        <v xml:space="preserve"> </v>
      </c>
      <c r="I140" s="45" t="str">
        <f>IF(ISBLANK('Auditoria CEB'!K169)," ",+'Auditoria CEB'!K169)</f>
        <v xml:space="preserve"> </v>
      </c>
      <c r="J140" s="30" t="str">
        <f>IF(ISBLANK('Auditoria CEB'!AM169)," ",+'Auditoria CEB'!AM169)</f>
        <v xml:space="preserve"> </v>
      </c>
    </row>
    <row r="141" spans="1:10">
      <c r="A141" s="30" t="str">
        <f>IF(ISBLANK('Auditoria CEB'!$E$6)," ",'Auditoria CEB'!$E$6)</f>
        <v xml:space="preserve"> </v>
      </c>
      <c r="B141" s="30" t="s">
        <v>161</v>
      </c>
      <c r="C141" s="29" t="str">
        <f>IF(ISBLANK('Auditoria CEB'!B170)," ",+'Auditoria CEB'!B170)</f>
        <v xml:space="preserve"> </v>
      </c>
      <c r="D141" s="29" t="str">
        <f>IF(ISBLANK('Auditoria CEB'!D170)," ",+'Auditoria CEB'!D170)</f>
        <v xml:space="preserve"> </v>
      </c>
      <c r="E141" s="29" t="str">
        <f>IF(ISBLANK('Auditoria CEB'!E170)," ",+'Auditoria CEB'!E170)</f>
        <v xml:space="preserve"> </v>
      </c>
      <c r="F141" s="30" t="str">
        <f>IF(ISBLANK('Auditoria CEB'!F150)," ",+'Auditoria CEB'!F150)</f>
        <v xml:space="preserve"> </v>
      </c>
      <c r="G141" s="30" t="str">
        <f>IF(ISBLANK('Auditoria CEB'!I170)," ",+'Auditoria CEB'!I170)</f>
        <v xml:space="preserve"> </v>
      </c>
      <c r="H141" s="30" t="str">
        <f>IF(ISBLANK('Auditoria CEB'!AR170)," ",+'Auditoria CEB'!AR170)</f>
        <v xml:space="preserve"> </v>
      </c>
      <c r="I141" s="45" t="str">
        <f>IF(ISBLANK('Auditoria CEB'!K170)," ",+'Auditoria CEB'!K170)</f>
        <v xml:space="preserve"> </v>
      </c>
      <c r="J141" s="30" t="str">
        <f>IF(ISBLANK('Auditoria CEB'!AM170)," ",+'Auditoria CEB'!AM170)</f>
        <v xml:space="preserve"> </v>
      </c>
    </row>
    <row r="142" spans="1:10">
      <c r="A142" s="30" t="str">
        <f>IF(ISBLANK('Auditoria CEB'!$E$6)," ",'Auditoria CEB'!$E$6)</f>
        <v xml:space="preserve"> </v>
      </c>
      <c r="B142" s="30" t="s">
        <v>161</v>
      </c>
      <c r="C142" s="29" t="str">
        <f>IF(ISBLANK('Auditoria CEB'!B171)," ",+'Auditoria CEB'!B171)</f>
        <v xml:space="preserve"> </v>
      </c>
      <c r="D142" s="29" t="str">
        <f>IF(ISBLANK('Auditoria CEB'!D171)," ",+'Auditoria CEB'!D171)</f>
        <v xml:space="preserve"> </v>
      </c>
      <c r="E142" s="29" t="str">
        <f>IF(ISBLANK('Auditoria CEB'!E171)," ",+'Auditoria CEB'!E171)</f>
        <v xml:space="preserve"> </v>
      </c>
      <c r="F142" s="30" t="str">
        <f>IF(ISBLANK('Auditoria CEB'!F151)," ",+'Auditoria CEB'!F151)</f>
        <v xml:space="preserve"> </v>
      </c>
      <c r="G142" s="30" t="str">
        <f>IF(ISBLANK('Auditoria CEB'!I171)," ",+'Auditoria CEB'!I171)</f>
        <v xml:space="preserve"> </v>
      </c>
      <c r="H142" s="30" t="str">
        <f>IF(ISBLANK('Auditoria CEB'!AR171)," ",+'Auditoria CEB'!AR171)</f>
        <v xml:space="preserve"> </v>
      </c>
      <c r="I142" s="45" t="str">
        <f>IF(ISBLANK('Auditoria CEB'!K171)," ",+'Auditoria CEB'!K171)</f>
        <v xml:space="preserve"> </v>
      </c>
      <c r="J142" s="30" t="str">
        <f>IF(ISBLANK('Auditoria CEB'!AM171)," ",+'Auditoria CEB'!AM171)</f>
        <v xml:space="preserve"> </v>
      </c>
    </row>
    <row r="143" spans="1:10">
      <c r="A143" s="30" t="str">
        <f>IF(ISBLANK('Auditoria CEB'!$E$6)," ",'Auditoria CEB'!$E$6)</f>
        <v xml:space="preserve"> </v>
      </c>
      <c r="B143" s="30" t="s">
        <v>161</v>
      </c>
      <c r="C143" s="29" t="str">
        <f>IF(ISBLANK('Auditoria CEB'!B172)," ",+'Auditoria CEB'!B172)</f>
        <v xml:space="preserve"> </v>
      </c>
      <c r="D143" s="29" t="str">
        <f>IF(ISBLANK('Auditoria CEB'!D172)," ",+'Auditoria CEB'!D172)</f>
        <v xml:space="preserve"> </v>
      </c>
      <c r="E143" s="29" t="str">
        <f>IF(ISBLANK('Auditoria CEB'!E172)," ",+'Auditoria CEB'!E172)</f>
        <v xml:space="preserve"> </v>
      </c>
      <c r="F143" s="30" t="str">
        <f>IF(ISBLANK('Auditoria CEB'!F152)," ",+'Auditoria CEB'!F152)</f>
        <v xml:space="preserve"> </v>
      </c>
      <c r="G143" s="30" t="str">
        <f>IF(ISBLANK('Auditoria CEB'!I172)," ",+'Auditoria CEB'!I172)</f>
        <v xml:space="preserve"> </v>
      </c>
      <c r="H143" s="30" t="str">
        <f>IF(ISBLANK('Auditoria CEB'!AR172)," ",+'Auditoria CEB'!AR172)</f>
        <v xml:space="preserve"> </v>
      </c>
      <c r="I143" s="45" t="str">
        <f>IF(ISBLANK('Auditoria CEB'!K172)," ",+'Auditoria CEB'!K172)</f>
        <v xml:space="preserve"> </v>
      </c>
      <c r="J143" s="30" t="str">
        <f>IF(ISBLANK('Auditoria CEB'!AM172)," ",+'Auditoria CEB'!AM172)</f>
        <v xml:space="preserve"> </v>
      </c>
    </row>
    <row r="144" spans="1:10">
      <c r="A144" s="30" t="str">
        <f>IF(ISBLANK('Auditoria CEB'!$E$6)," ",'Auditoria CEB'!$E$6)</f>
        <v xml:space="preserve"> </v>
      </c>
      <c r="B144" s="30" t="s">
        <v>161</v>
      </c>
      <c r="C144" s="29" t="str">
        <f>IF(ISBLANK('Auditoria CEB'!B173)," ",+'Auditoria CEB'!B173)</f>
        <v xml:space="preserve"> </v>
      </c>
      <c r="D144" s="29" t="str">
        <f>IF(ISBLANK('Auditoria CEB'!D173)," ",+'Auditoria CEB'!D173)</f>
        <v xml:space="preserve"> </v>
      </c>
      <c r="E144" s="29" t="str">
        <f>IF(ISBLANK('Auditoria CEB'!E173)," ",+'Auditoria CEB'!E173)</f>
        <v xml:space="preserve"> </v>
      </c>
      <c r="F144" s="30" t="str">
        <f>IF(ISBLANK('Auditoria CEB'!F153)," ",+'Auditoria CEB'!F153)</f>
        <v xml:space="preserve"> </v>
      </c>
      <c r="G144" s="30" t="str">
        <f>IF(ISBLANK('Auditoria CEB'!I173)," ",+'Auditoria CEB'!I173)</f>
        <v xml:space="preserve"> </v>
      </c>
      <c r="H144" s="30" t="str">
        <f>IF(ISBLANK('Auditoria CEB'!AR173)," ",+'Auditoria CEB'!AR173)</f>
        <v xml:space="preserve"> </v>
      </c>
      <c r="I144" s="45" t="str">
        <f>IF(ISBLANK('Auditoria CEB'!K173)," ",+'Auditoria CEB'!K173)</f>
        <v xml:space="preserve"> </v>
      </c>
      <c r="J144" s="30" t="str">
        <f>IF(ISBLANK('Auditoria CEB'!AM173)," ",+'Auditoria CEB'!AM173)</f>
        <v xml:space="preserve"> </v>
      </c>
    </row>
    <row r="145" spans="1:10">
      <c r="A145" s="30" t="str">
        <f>IF(ISBLANK('Auditoria CEB'!$E$6)," ",'Auditoria CEB'!$E$6)</f>
        <v xml:space="preserve"> </v>
      </c>
      <c r="B145" s="30" t="s">
        <v>161</v>
      </c>
      <c r="C145" s="29" t="str">
        <f>IF(ISBLANK('Auditoria CEB'!B174)," ",+'Auditoria CEB'!B174)</f>
        <v xml:space="preserve"> </v>
      </c>
      <c r="D145" s="29" t="str">
        <f>IF(ISBLANK('Auditoria CEB'!D174)," ",+'Auditoria CEB'!D174)</f>
        <v xml:space="preserve"> </v>
      </c>
      <c r="E145" s="29" t="str">
        <f>IF(ISBLANK('Auditoria CEB'!E174)," ",+'Auditoria CEB'!E174)</f>
        <v xml:space="preserve"> </v>
      </c>
      <c r="F145" s="30" t="str">
        <f>IF(ISBLANK('Auditoria CEB'!F154)," ",+'Auditoria CEB'!F154)</f>
        <v xml:space="preserve"> </v>
      </c>
      <c r="G145" s="30" t="str">
        <f>IF(ISBLANK('Auditoria CEB'!I174)," ",+'Auditoria CEB'!I174)</f>
        <v xml:space="preserve"> </v>
      </c>
      <c r="H145" s="30" t="str">
        <f>IF(ISBLANK('Auditoria CEB'!AR174)," ",+'Auditoria CEB'!AR174)</f>
        <v xml:space="preserve"> </v>
      </c>
      <c r="I145" s="45" t="str">
        <f>IF(ISBLANK('Auditoria CEB'!K174)," ",+'Auditoria CEB'!K174)</f>
        <v xml:space="preserve"> </v>
      </c>
      <c r="J145" s="30" t="str">
        <f>IF(ISBLANK('Auditoria CEB'!AM174)," ",+'Auditoria CEB'!AM174)</f>
        <v xml:space="preserve"> </v>
      </c>
    </row>
    <row r="146" spans="1:10">
      <c r="A146" s="30" t="str">
        <f>IF(ISBLANK('Auditoria CEB'!$E$6)," ",'Auditoria CEB'!$E$6)</f>
        <v xml:space="preserve"> </v>
      </c>
      <c r="B146" s="30" t="s">
        <v>161</v>
      </c>
      <c r="C146" s="29" t="str">
        <f>IF(ISBLANK('Auditoria CEB'!B175)," ",+'Auditoria CEB'!B175)</f>
        <v xml:space="preserve"> </v>
      </c>
      <c r="D146" s="29" t="str">
        <f>IF(ISBLANK('Auditoria CEB'!D175)," ",+'Auditoria CEB'!D175)</f>
        <v xml:space="preserve"> </v>
      </c>
      <c r="E146" s="29" t="str">
        <f>IF(ISBLANK('Auditoria CEB'!E175)," ",+'Auditoria CEB'!E175)</f>
        <v xml:space="preserve"> </v>
      </c>
      <c r="F146" s="30" t="str">
        <f>IF(ISBLANK('Auditoria CEB'!F155)," ",+'Auditoria CEB'!F155)</f>
        <v xml:space="preserve"> </v>
      </c>
      <c r="G146" s="30" t="str">
        <f>IF(ISBLANK('Auditoria CEB'!I175)," ",+'Auditoria CEB'!I175)</f>
        <v xml:space="preserve"> </v>
      </c>
      <c r="H146" s="30" t="str">
        <f>IF(ISBLANK('Auditoria CEB'!AR175)," ",+'Auditoria CEB'!AR175)</f>
        <v xml:space="preserve"> </v>
      </c>
      <c r="I146" s="45" t="str">
        <f>IF(ISBLANK('Auditoria CEB'!K175)," ",+'Auditoria CEB'!K175)</f>
        <v xml:space="preserve"> </v>
      </c>
      <c r="J146" s="30" t="str">
        <f>IF(ISBLANK('Auditoria CEB'!AM175)," ",+'Auditoria CEB'!AM175)</f>
        <v xml:space="preserve"> </v>
      </c>
    </row>
    <row r="147" spans="1:10">
      <c r="A147" s="30" t="str">
        <f>IF(ISBLANK('Auditoria CEB'!$E$6)," ",'Auditoria CEB'!$E$6)</f>
        <v xml:space="preserve"> </v>
      </c>
      <c r="B147" s="30" t="s">
        <v>161</v>
      </c>
      <c r="C147" s="29" t="str">
        <f>IF(ISBLANK('Auditoria CEB'!B176)," ",+'Auditoria CEB'!B176)</f>
        <v xml:space="preserve"> </v>
      </c>
      <c r="D147" s="29" t="str">
        <f>IF(ISBLANK('Auditoria CEB'!D176)," ",+'Auditoria CEB'!D176)</f>
        <v xml:space="preserve"> </v>
      </c>
      <c r="E147" s="29" t="str">
        <f>IF(ISBLANK('Auditoria CEB'!E176)," ",+'Auditoria CEB'!E176)</f>
        <v xml:space="preserve"> </v>
      </c>
      <c r="F147" s="30" t="str">
        <f>IF(ISBLANK('Auditoria CEB'!F156)," ",+'Auditoria CEB'!F156)</f>
        <v xml:space="preserve"> </v>
      </c>
      <c r="G147" s="30" t="str">
        <f>IF(ISBLANK('Auditoria CEB'!I176)," ",+'Auditoria CEB'!I176)</f>
        <v xml:space="preserve"> </v>
      </c>
      <c r="H147" s="30" t="str">
        <f>IF(ISBLANK('Auditoria CEB'!AR176)," ",+'Auditoria CEB'!AR176)</f>
        <v xml:space="preserve"> </v>
      </c>
      <c r="I147" s="45" t="str">
        <f>IF(ISBLANK('Auditoria CEB'!K176)," ",+'Auditoria CEB'!K176)</f>
        <v xml:space="preserve"> </v>
      </c>
      <c r="J147" s="30" t="str">
        <f>IF(ISBLANK('Auditoria CEB'!AM176)," ",+'Auditoria CEB'!AM176)</f>
        <v xml:space="preserve"> </v>
      </c>
    </row>
    <row r="148" spans="1:10">
      <c r="A148" s="30" t="str">
        <f>IF(ISBLANK('Auditoria CEB'!$E$6)," ",'Auditoria CEB'!$E$6)</f>
        <v xml:space="preserve"> </v>
      </c>
      <c r="B148" s="30" t="s">
        <v>161</v>
      </c>
      <c r="C148" s="29" t="str">
        <f>IF(ISBLANK('Auditoria CEB'!B177)," ",+'Auditoria CEB'!B177)</f>
        <v xml:space="preserve"> </v>
      </c>
      <c r="D148" s="29" t="str">
        <f>IF(ISBLANK('Auditoria CEB'!D177)," ",+'Auditoria CEB'!D177)</f>
        <v xml:space="preserve"> </v>
      </c>
      <c r="E148" s="29" t="str">
        <f>IF(ISBLANK('Auditoria CEB'!E177)," ",+'Auditoria CEB'!E177)</f>
        <v xml:space="preserve"> </v>
      </c>
      <c r="F148" s="30" t="str">
        <f>IF(ISBLANK('Auditoria CEB'!F157)," ",+'Auditoria CEB'!F157)</f>
        <v xml:space="preserve"> </v>
      </c>
      <c r="G148" s="30" t="str">
        <f>IF(ISBLANK('Auditoria CEB'!I177)," ",+'Auditoria CEB'!I177)</f>
        <v xml:space="preserve"> </v>
      </c>
      <c r="H148" s="30" t="str">
        <f>IF(ISBLANK('Auditoria CEB'!AR177)," ",+'Auditoria CEB'!AR177)</f>
        <v xml:space="preserve"> </v>
      </c>
      <c r="I148" s="45" t="str">
        <f>IF(ISBLANK('Auditoria CEB'!K177)," ",+'Auditoria CEB'!K177)</f>
        <v xml:space="preserve"> </v>
      </c>
      <c r="J148" s="30" t="str">
        <f>IF(ISBLANK('Auditoria CEB'!AM177)," ",+'Auditoria CEB'!AM177)</f>
        <v xml:space="preserve"> </v>
      </c>
    </row>
    <row r="149" spans="1:10">
      <c r="A149" s="30" t="str">
        <f>IF(ISBLANK('Auditoria CEB'!$E$6)," ",'Auditoria CEB'!$E$6)</f>
        <v xml:space="preserve"> </v>
      </c>
      <c r="B149" s="30" t="s">
        <v>161</v>
      </c>
      <c r="C149" s="29" t="str">
        <f>IF(ISBLANK('Auditoria CEB'!B178)," ",+'Auditoria CEB'!B178)</f>
        <v xml:space="preserve"> </v>
      </c>
      <c r="D149" s="29" t="str">
        <f>IF(ISBLANK('Auditoria CEB'!D178)," ",+'Auditoria CEB'!D178)</f>
        <v xml:space="preserve"> </v>
      </c>
      <c r="E149" s="29" t="str">
        <f>IF(ISBLANK('Auditoria CEB'!E178)," ",+'Auditoria CEB'!E178)</f>
        <v xml:space="preserve"> </v>
      </c>
      <c r="F149" s="30" t="str">
        <f>IF(ISBLANK('Auditoria CEB'!F158)," ",+'Auditoria CEB'!F158)</f>
        <v xml:space="preserve"> </v>
      </c>
      <c r="G149" s="30" t="str">
        <f>IF(ISBLANK('Auditoria CEB'!I178)," ",+'Auditoria CEB'!I178)</f>
        <v xml:space="preserve"> </v>
      </c>
      <c r="H149" s="30" t="str">
        <f>IF(ISBLANK('Auditoria CEB'!AR178)," ",+'Auditoria CEB'!AR178)</f>
        <v xml:space="preserve"> </v>
      </c>
      <c r="I149" s="45" t="str">
        <f>IF(ISBLANK('Auditoria CEB'!K178)," ",+'Auditoria CEB'!K178)</f>
        <v xml:space="preserve"> </v>
      </c>
      <c r="J149" s="30" t="str">
        <f>IF(ISBLANK('Auditoria CEB'!AM178)," ",+'Auditoria CEB'!AM178)</f>
        <v xml:space="preserve"> </v>
      </c>
    </row>
    <row r="150" spans="1:10">
      <c r="A150" s="30" t="str">
        <f>IF(ISBLANK('Auditoria CEB'!$E$6)," ",'Auditoria CEB'!$E$6)</f>
        <v xml:space="preserve"> </v>
      </c>
      <c r="B150" s="30" t="s">
        <v>161</v>
      </c>
      <c r="C150" s="29" t="str">
        <f>IF(ISBLANK('Auditoria CEB'!B179)," ",+'Auditoria CEB'!B179)</f>
        <v xml:space="preserve"> </v>
      </c>
      <c r="D150" s="29" t="str">
        <f>IF(ISBLANK('Auditoria CEB'!D179)," ",+'Auditoria CEB'!D179)</f>
        <v xml:space="preserve"> </v>
      </c>
      <c r="E150" s="29" t="str">
        <f>IF(ISBLANK('Auditoria CEB'!E179)," ",+'Auditoria CEB'!E179)</f>
        <v xml:space="preserve"> </v>
      </c>
      <c r="F150" s="30" t="str">
        <f>IF(ISBLANK('Auditoria CEB'!F159)," ",+'Auditoria CEB'!F159)</f>
        <v xml:space="preserve"> </v>
      </c>
      <c r="G150" s="30" t="str">
        <f>IF(ISBLANK('Auditoria CEB'!I179)," ",+'Auditoria CEB'!I179)</f>
        <v xml:space="preserve"> </v>
      </c>
      <c r="H150" s="30" t="str">
        <f>IF(ISBLANK('Auditoria CEB'!AR179)," ",+'Auditoria CEB'!AR179)</f>
        <v xml:space="preserve"> </v>
      </c>
      <c r="I150" s="45" t="str">
        <f>IF(ISBLANK('Auditoria CEB'!K179)," ",+'Auditoria CEB'!K179)</f>
        <v xml:space="preserve"> </v>
      </c>
      <c r="J150" s="30" t="str">
        <f>IF(ISBLANK('Auditoria CEB'!AM179)," ",+'Auditoria CEB'!AM179)</f>
        <v xml:space="preserve"> </v>
      </c>
    </row>
    <row r="151" spans="1:10">
      <c r="A151" s="30" t="str">
        <f>IF(ISBLANK('Auditoria CEB'!$E$6)," ",'Auditoria CEB'!$E$6)</f>
        <v xml:space="preserve"> </v>
      </c>
      <c r="B151" s="30" t="s">
        <v>161</v>
      </c>
      <c r="C151" s="29" t="str">
        <f>IF(ISBLANK('Auditoria CEB'!B180)," ",+'Auditoria CEB'!B180)</f>
        <v xml:space="preserve"> </v>
      </c>
      <c r="D151" s="29" t="str">
        <f>IF(ISBLANK('Auditoria CEB'!D180)," ",+'Auditoria CEB'!D180)</f>
        <v xml:space="preserve"> </v>
      </c>
      <c r="E151" s="29" t="str">
        <f>IF(ISBLANK('Auditoria CEB'!E180)," ",+'Auditoria CEB'!E180)</f>
        <v xml:space="preserve"> </v>
      </c>
      <c r="F151" s="30" t="str">
        <f>IF(ISBLANK('Auditoria CEB'!F160)," ",+'Auditoria CEB'!F160)</f>
        <v xml:space="preserve"> </v>
      </c>
      <c r="G151" s="30" t="str">
        <f>IF(ISBLANK('Auditoria CEB'!I180)," ",+'Auditoria CEB'!I180)</f>
        <v xml:space="preserve"> </v>
      </c>
      <c r="H151" s="30" t="str">
        <f>IF(ISBLANK('Auditoria CEB'!AR180)," ",+'Auditoria CEB'!AR180)</f>
        <v xml:space="preserve"> </v>
      </c>
      <c r="I151" s="45" t="str">
        <f>IF(ISBLANK('Auditoria CEB'!K180)," ",+'Auditoria CEB'!K180)</f>
        <v xml:space="preserve"> </v>
      </c>
      <c r="J151" s="30" t="str">
        <f>IF(ISBLANK('Auditoria CEB'!AM180)," ",+'Auditoria CEB'!AM180)</f>
        <v xml:space="preserve"> </v>
      </c>
    </row>
    <row r="152" spans="1:10">
      <c r="A152" s="30" t="str">
        <f>IF(ISBLANK('Auditoria CEB'!$E$6)," ",'Auditoria CEB'!$E$6)</f>
        <v xml:space="preserve"> </v>
      </c>
      <c r="B152" s="30" t="s">
        <v>161</v>
      </c>
      <c r="C152" s="29" t="str">
        <f>IF(ISBLANK('Auditoria CEB'!B181)," ",+'Auditoria CEB'!B181)</f>
        <v xml:space="preserve"> </v>
      </c>
      <c r="D152" s="29" t="str">
        <f>IF(ISBLANK('Auditoria CEB'!D181)," ",+'Auditoria CEB'!D181)</f>
        <v xml:space="preserve"> </v>
      </c>
      <c r="E152" s="29" t="str">
        <f>IF(ISBLANK('Auditoria CEB'!E181)," ",+'Auditoria CEB'!E181)</f>
        <v xml:space="preserve"> </v>
      </c>
      <c r="F152" s="30" t="str">
        <f>IF(ISBLANK('Auditoria CEB'!F161)," ",+'Auditoria CEB'!F161)</f>
        <v xml:space="preserve"> </v>
      </c>
      <c r="G152" s="30" t="str">
        <f>IF(ISBLANK('Auditoria CEB'!I181)," ",+'Auditoria CEB'!I181)</f>
        <v xml:space="preserve"> </v>
      </c>
      <c r="H152" s="30" t="str">
        <f>IF(ISBLANK('Auditoria CEB'!AR181)," ",+'Auditoria CEB'!AR181)</f>
        <v xml:space="preserve"> </v>
      </c>
      <c r="I152" s="45" t="str">
        <f>IF(ISBLANK('Auditoria CEB'!K181)," ",+'Auditoria CEB'!K181)</f>
        <v xml:space="preserve"> </v>
      </c>
      <c r="J152" s="30" t="str">
        <f>IF(ISBLANK('Auditoria CEB'!AM181)," ",+'Auditoria CEB'!AM181)</f>
        <v xml:space="preserve"> </v>
      </c>
    </row>
    <row r="153" spans="1:10">
      <c r="A153" s="30" t="str">
        <f>IF(ISBLANK('Auditoria CEB'!$E$6)," ",'Auditoria CEB'!$E$6)</f>
        <v xml:space="preserve"> </v>
      </c>
      <c r="B153" s="30" t="s">
        <v>161</v>
      </c>
      <c r="C153" s="29" t="str">
        <f>IF(ISBLANK('Auditoria CEB'!B182)," ",+'Auditoria CEB'!B182)</f>
        <v xml:space="preserve"> </v>
      </c>
      <c r="D153" s="29" t="str">
        <f>IF(ISBLANK('Auditoria CEB'!D182)," ",+'Auditoria CEB'!D182)</f>
        <v xml:space="preserve"> </v>
      </c>
      <c r="E153" s="29" t="str">
        <f>IF(ISBLANK('Auditoria CEB'!E182)," ",+'Auditoria CEB'!E182)</f>
        <v xml:space="preserve"> </v>
      </c>
      <c r="F153" s="30" t="str">
        <f>IF(ISBLANK('Auditoria CEB'!F162)," ",+'Auditoria CEB'!F162)</f>
        <v xml:space="preserve"> </v>
      </c>
      <c r="G153" s="30" t="str">
        <f>IF(ISBLANK('Auditoria CEB'!I182)," ",+'Auditoria CEB'!I182)</f>
        <v xml:space="preserve"> </v>
      </c>
      <c r="H153" s="30" t="str">
        <f>IF(ISBLANK('Auditoria CEB'!AR182)," ",+'Auditoria CEB'!AR182)</f>
        <v xml:space="preserve"> </v>
      </c>
      <c r="I153" s="45" t="str">
        <f>IF(ISBLANK('Auditoria CEB'!K182)," ",+'Auditoria CEB'!K182)</f>
        <v xml:space="preserve"> </v>
      </c>
      <c r="J153" s="30" t="str">
        <f>IF(ISBLANK('Auditoria CEB'!AM182)," ",+'Auditoria CEB'!AM182)</f>
        <v xml:space="preserve"> </v>
      </c>
    </row>
    <row r="154" spans="1:10">
      <c r="A154" s="30" t="str">
        <f>IF(ISBLANK('Auditoria CEB'!$E$6)," ",'Auditoria CEB'!$E$6)</f>
        <v xml:space="preserve"> </v>
      </c>
      <c r="B154" s="30" t="s">
        <v>161</v>
      </c>
      <c r="C154" s="29" t="str">
        <f>IF(ISBLANK('Auditoria CEB'!B183)," ",+'Auditoria CEB'!B183)</f>
        <v xml:space="preserve"> </v>
      </c>
      <c r="D154" s="29" t="str">
        <f>IF(ISBLANK('Auditoria CEB'!D183)," ",+'Auditoria CEB'!D183)</f>
        <v xml:space="preserve"> </v>
      </c>
      <c r="E154" s="29" t="str">
        <f>IF(ISBLANK('Auditoria CEB'!E183)," ",+'Auditoria CEB'!E183)</f>
        <v xml:space="preserve"> </v>
      </c>
      <c r="F154" s="30" t="str">
        <f>IF(ISBLANK('Auditoria CEB'!F163)," ",+'Auditoria CEB'!F163)</f>
        <v xml:space="preserve"> </v>
      </c>
      <c r="G154" s="30" t="str">
        <f>IF(ISBLANK('Auditoria CEB'!I183)," ",+'Auditoria CEB'!I183)</f>
        <v xml:space="preserve"> </v>
      </c>
      <c r="H154" s="30" t="str">
        <f>IF(ISBLANK('Auditoria CEB'!AR183)," ",+'Auditoria CEB'!AR183)</f>
        <v xml:space="preserve"> </v>
      </c>
      <c r="I154" s="45" t="str">
        <f>IF(ISBLANK('Auditoria CEB'!K183)," ",+'Auditoria CEB'!K183)</f>
        <v xml:space="preserve"> </v>
      </c>
      <c r="J154" s="30" t="str">
        <f>IF(ISBLANK('Auditoria CEB'!AM183)," ",+'Auditoria CEB'!AM183)</f>
        <v xml:space="preserve"> </v>
      </c>
    </row>
    <row r="155" spans="1:10">
      <c r="A155" s="30" t="str">
        <f>IF(ISBLANK('Auditoria CEB'!$E$6)," ",'Auditoria CEB'!$E$6)</f>
        <v xml:space="preserve"> </v>
      </c>
      <c r="B155" s="30" t="s">
        <v>161</v>
      </c>
      <c r="C155" s="29" t="str">
        <f>IF(ISBLANK('Auditoria CEB'!B184)," ",+'Auditoria CEB'!B184)</f>
        <v xml:space="preserve"> </v>
      </c>
      <c r="D155" s="29" t="str">
        <f>IF(ISBLANK('Auditoria CEB'!D184)," ",+'Auditoria CEB'!D184)</f>
        <v xml:space="preserve"> </v>
      </c>
      <c r="E155" s="29" t="str">
        <f>IF(ISBLANK('Auditoria CEB'!E184)," ",+'Auditoria CEB'!E184)</f>
        <v xml:space="preserve"> </v>
      </c>
      <c r="F155" s="30" t="str">
        <f>IF(ISBLANK('Auditoria CEB'!F164)," ",+'Auditoria CEB'!F164)</f>
        <v xml:space="preserve"> </v>
      </c>
      <c r="G155" s="30" t="str">
        <f>IF(ISBLANK('Auditoria CEB'!I184)," ",+'Auditoria CEB'!I184)</f>
        <v xml:space="preserve"> </v>
      </c>
      <c r="H155" s="30" t="str">
        <f>IF(ISBLANK('Auditoria CEB'!AR184)," ",+'Auditoria CEB'!AR184)</f>
        <v xml:space="preserve"> </v>
      </c>
      <c r="I155" s="45" t="str">
        <f>IF(ISBLANK('Auditoria CEB'!K184)," ",+'Auditoria CEB'!K184)</f>
        <v xml:space="preserve"> </v>
      </c>
      <c r="J155" s="30" t="str">
        <f>IF(ISBLANK('Auditoria CEB'!AM184)," ",+'Auditoria CEB'!AM184)</f>
        <v xml:space="preserve"> </v>
      </c>
    </row>
    <row r="156" spans="1:10">
      <c r="A156" s="30" t="str">
        <f>IF(ISBLANK('Auditoria CEB'!$E$6)," ",'Auditoria CEB'!$E$6)</f>
        <v xml:space="preserve"> </v>
      </c>
      <c r="B156" s="30" t="s">
        <v>161</v>
      </c>
      <c r="C156" s="29" t="str">
        <f>IF(ISBLANK('Auditoria CEB'!B185)," ",+'Auditoria CEB'!B185)</f>
        <v xml:space="preserve"> </v>
      </c>
      <c r="D156" s="29" t="str">
        <f>IF(ISBLANK('Auditoria CEB'!D185)," ",+'Auditoria CEB'!D185)</f>
        <v xml:space="preserve"> </v>
      </c>
      <c r="E156" s="29" t="str">
        <f>IF(ISBLANK('Auditoria CEB'!E185)," ",+'Auditoria CEB'!E185)</f>
        <v xml:space="preserve"> </v>
      </c>
      <c r="F156" s="30" t="str">
        <f>IF(ISBLANK('Auditoria CEB'!F165)," ",+'Auditoria CEB'!F165)</f>
        <v xml:space="preserve"> </v>
      </c>
      <c r="G156" s="30" t="str">
        <f>IF(ISBLANK('Auditoria CEB'!I185)," ",+'Auditoria CEB'!I185)</f>
        <v xml:space="preserve"> </v>
      </c>
      <c r="H156" s="30" t="str">
        <f>IF(ISBLANK('Auditoria CEB'!AR185)," ",+'Auditoria CEB'!AR185)</f>
        <v xml:space="preserve"> </v>
      </c>
      <c r="I156" s="45" t="str">
        <f>IF(ISBLANK('Auditoria CEB'!K185)," ",+'Auditoria CEB'!K185)</f>
        <v xml:space="preserve"> </v>
      </c>
      <c r="J156" s="30" t="str">
        <f>IF(ISBLANK('Auditoria CEB'!AM185)," ",+'Auditoria CEB'!AM185)</f>
        <v xml:space="preserve"> </v>
      </c>
    </row>
    <row r="157" spans="1:10">
      <c r="A157" s="30" t="str">
        <f>IF(ISBLANK('Auditoria CEB'!$E$6)," ",'Auditoria CEB'!$E$6)</f>
        <v xml:space="preserve"> </v>
      </c>
      <c r="B157" s="30" t="s">
        <v>161</v>
      </c>
      <c r="C157" s="29" t="str">
        <f>IF(ISBLANK('Auditoria CEB'!B186)," ",+'Auditoria CEB'!B186)</f>
        <v xml:space="preserve"> </v>
      </c>
      <c r="D157" s="29" t="str">
        <f>IF(ISBLANK('Auditoria CEB'!D186)," ",+'Auditoria CEB'!D186)</f>
        <v xml:space="preserve"> </v>
      </c>
      <c r="E157" s="29" t="str">
        <f>IF(ISBLANK('Auditoria CEB'!E186)," ",+'Auditoria CEB'!E186)</f>
        <v xml:space="preserve"> </v>
      </c>
      <c r="F157" s="30" t="str">
        <f>IF(ISBLANK('Auditoria CEB'!F166)," ",+'Auditoria CEB'!F166)</f>
        <v xml:space="preserve"> </v>
      </c>
      <c r="G157" s="30" t="str">
        <f>IF(ISBLANK('Auditoria CEB'!I186)," ",+'Auditoria CEB'!I186)</f>
        <v xml:space="preserve"> </v>
      </c>
      <c r="H157" s="30" t="str">
        <f>IF(ISBLANK('Auditoria CEB'!AR186)," ",+'Auditoria CEB'!AR186)</f>
        <v xml:space="preserve"> </v>
      </c>
      <c r="I157" s="45" t="str">
        <f>IF(ISBLANK('Auditoria CEB'!K186)," ",+'Auditoria CEB'!K186)</f>
        <v xml:space="preserve"> </v>
      </c>
      <c r="J157" s="30" t="str">
        <f>IF(ISBLANK('Auditoria CEB'!AM186)," ",+'Auditoria CEB'!AM186)</f>
        <v xml:space="preserve"> </v>
      </c>
    </row>
    <row r="158" spans="1:10">
      <c r="A158" s="30" t="str">
        <f>IF(ISBLANK('Auditoria CEB'!$E$6)," ",'Auditoria CEB'!$E$6)</f>
        <v xml:space="preserve"> </v>
      </c>
      <c r="B158" s="30" t="s">
        <v>161</v>
      </c>
      <c r="C158" s="29" t="str">
        <f>IF(ISBLANK('Auditoria CEB'!B187)," ",+'Auditoria CEB'!B187)</f>
        <v xml:space="preserve"> </v>
      </c>
      <c r="D158" s="29" t="str">
        <f>IF(ISBLANK('Auditoria CEB'!D187)," ",+'Auditoria CEB'!D187)</f>
        <v xml:space="preserve"> </v>
      </c>
      <c r="E158" s="29" t="str">
        <f>IF(ISBLANK('Auditoria CEB'!E187)," ",+'Auditoria CEB'!E187)</f>
        <v xml:space="preserve"> </v>
      </c>
      <c r="F158" s="30" t="str">
        <f>IF(ISBLANK('Auditoria CEB'!F167)," ",+'Auditoria CEB'!F167)</f>
        <v xml:space="preserve"> </v>
      </c>
      <c r="G158" s="30" t="str">
        <f>IF(ISBLANK('Auditoria CEB'!I187)," ",+'Auditoria CEB'!I187)</f>
        <v xml:space="preserve"> </v>
      </c>
      <c r="H158" s="30" t="str">
        <f>IF(ISBLANK('Auditoria CEB'!AR187)," ",+'Auditoria CEB'!AR187)</f>
        <v xml:space="preserve"> </v>
      </c>
      <c r="I158" s="45" t="str">
        <f>IF(ISBLANK('Auditoria CEB'!K187)," ",+'Auditoria CEB'!K187)</f>
        <v xml:space="preserve"> </v>
      </c>
      <c r="J158" s="30" t="str">
        <f>IF(ISBLANK('Auditoria CEB'!AM187)," ",+'Auditoria CEB'!AM187)</f>
        <v xml:space="preserve"> </v>
      </c>
    </row>
    <row r="159" spans="1:10">
      <c r="A159" s="30" t="str">
        <f>IF(ISBLANK('Auditoria CEB'!$E$6)," ",'Auditoria CEB'!$E$6)</f>
        <v xml:space="preserve"> </v>
      </c>
      <c r="B159" s="30" t="s">
        <v>161</v>
      </c>
      <c r="C159" s="29" t="str">
        <f>IF(ISBLANK('Auditoria CEB'!B188)," ",+'Auditoria CEB'!B188)</f>
        <v xml:space="preserve"> </v>
      </c>
      <c r="D159" s="29" t="str">
        <f>IF(ISBLANK('Auditoria CEB'!D188)," ",+'Auditoria CEB'!D188)</f>
        <v xml:space="preserve"> </v>
      </c>
      <c r="E159" s="29" t="str">
        <f>IF(ISBLANK('Auditoria CEB'!E188)," ",+'Auditoria CEB'!E188)</f>
        <v xml:space="preserve"> </v>
      </c>
      <c r="F159" s="30" t="str">
        <f>IF(ISBLANK('Auditoria CEB'!F168)," ",+'Auditoria CEB'!F168)</f>
        <v xml:space="preserve"> </v>
      </c>
      <c r="G159" s="30" t="str">
        <f>IF(ISBLANK('Auditoria CEB'!I188)," ",+'Auditoria CEB'!I188)</f>
        <v xml:space="preserve"> </v>
      </c>
      <c r="H159" s="30" t="str">
        <f>IF(ISBLANK('Auditoria CEB'!AR188)," ",+'Auditoria CEB'!AR188)</f>
        <v xml:space="preserve"> </v>
      </c>
      <c r="I159" s="45" t="str">
        <f>IF(ISBLANK('Auditoria CEB'!K188)," ",+'Auditoria CEB'!K188)</f>
        <v xml:space="preserve"> </v>
      </c>
      <c r="J159" s="30" t="str">
        <f>IF(ISBLANK('Auditoria CEB'!AM188)," ",+'Auditoria CEB'!AM188)</f>
        <v xml:space="preserve"> </v>
      </c>
    </row>
    <row r="160" spans="1:10">
      <c r="A160" s="30" t="str">
        <f>IF(ISBLANK('Auditoria CEB'!$E$6)," ",'Auditoria CEB'!$E$6)</f>
        <v xml:space="preserve"> </v>
      </c>
      <c r="B160" s="30" t="s">
        <v>161</v>
      </c>
      <c r="C160" s="29" t="str">
        <f>IF(ISBLANK('Auditoria CEB'!B189)," ",+'Auditoria CEB'!B189)</f>
        <v xml:space="preserve"> </v>
      </c>
      <c r="D160" s="29" t="str">
        <f>IF(ISBLANK('Auditoria CEB'!D189)," ",+'Auditoria CEB'!D189)</f>
        <v xml:space="preserve"> </v>
      </c>
      <c r="E160" s="29" t="str">
        <f>IF(ISBLANK('Auditoria CEB'!E189)," ",+'Auditoria CEB'!E189)</f>
        <v xml:space="preserve"> </v>
      </c>
      <c r="F160" s="30" t="str">
        <f>IF(ISBLANK('Auditoria CEB'!F169)," ",+'Auditoria CEB'!F169)</f>
        <v xml:space="preserve"> </v>
      </c>
      <c r="G160" s="30" t="str">
        <f>IF(ISBLANK('Auditoria CEB'!I189)," ",+'Auditoria CEB'!I189)</f>
        <v xml:space="preserve"> </v>
      </c>
      <c r="H160" s="30" t="str">
        <f>IF(ISBLANK('Auditoria CEB'!AR189)," ",+'Auditoria CEB'!AR189)</f>
        <v xml:space="preserve"> </v>
      </c>
      <c r="I160" s="45" t="str">
        <f>IF(ISBLANK('Auditoria CEB'!K189)," ",+'Auditoria CEB'!K189)</f>
        <v xml:space="preserve"> </v>
      </c>
      <c r="J160" s="30" t="str">
        <f>IF(ISBLANK('Auditoria CEB'!AM189)," ",+'Auditoria CEB'!AM189)</f>
        <v xml:space="preserve"> </v>
      </c>
    </row>
    <row r="161" spans="1:10">
      <c r="A161" s="30" t="str">
        <f>IF(ISBLANK('Auditoria CEB'!$E$6)," ",'Auditoria CEB'!$E$6)</f>
        <v xml:space="preserve"> </v>
      </c>
      <c r="B161" s="30" t="s">
        <v>161</v>
      </c>
      <c r="C161" s="29" t="str">
        <f>IF(ISBLANK('Auditoria CEB'!B190)," ",+'Auditoria CEB'!B190)</f>
        <v xml:space="preserve"> </v>
      </c>
      <c r="D161" s="29" t="str">
        <f>IF(ISBLANK('Auditoria CEB'!D190)," ",+'Auditoria CEB'!D190)</f>
        <v xml:space="preserve"> </v>
      </c>
      <c r="E161" s="29" t="str">
        <f>IF(ISBLANK('Auditoria CEB'!E190)," ",+'Auditoria CEB'!E190)</f>
        <v xml:space="preserve"> </v>
      </c>
      <c r="F161" s="30" t="str">
        <f>IF(ISBLANK('Auditoria CEB'!F170)," ",+'Auditoria CEB'!F170)</f>
        <v xml:space="preserve"> </v>
      </c>
      <c r="G161" s="30" t="str">
        <f>IF(ISBLANK('Auditoria CEB'!I190)," ",+'Auditoria CEB'!I190)</f>
        <v xml:space="preserve"> </v>
      </c>
      <c r="H161" s="30" t="str">
        <f>IF(ISBLANK('Auditoria CEB'!AR190)," ",+'Auditoria CEB'!AR190)</f>
        <v xml:space="preserve"> </v>
      </c>
      <c r="I161" s="45" t="str">
        <f>IF(ISBLANK('Auditoria CEB'!K190)," ",+'Auditoria CEB'!K190)</f>
        <v xml:space="preserve"> </v>
      </c>
      <c r="J161" s="30" t="str">
        <f>IF(ISBLANK('Auditoria CEB'!AM190)," ",+'Auditoria CEB'!AM190)</f>
        <v xml:space="preserve"> </v>
      </c>
    </row>
    <row r="162" spans="1:10">
      <c r="A162" s="30" t="str">
        <f>IF(ISBLANK('Auditoria CEB'!$E$6)," ",'Auditoria CEB'!$E$6)</f>
        <v xml:space="preserve"> </v>
      </c>
      <c r="B162" s="30" t="s">
        <v>161</v>
      </c>
      <c r="C162" s="29" t="str">
        <f>IF(ISBLANK('Auditoria CEB'!B191)," ",+'Auditoria CEB'!B191)</f>
        <v xml:space="preserve"> </v>
      </c>
      <c r="D162" s="29" t="str">
        <f>IF(ISBLANK('Auditoria CEB'!D191)," ",+'Auditoria CEB'!D191)</f>
        <v xml:space="preserve"> </v>
      </c>
      <c r="E162" s="29" t="str">
        <f>IF(ISBLANK('Auditoria CEB'!E191)," ",+'Auditoria CEB'!E191)</f>
        <v xml:space="preserve"> </v>
      </c>
      <c r="F162" s="30" t="str">
        <f>IF(ISBLANK('Auditoria CEB'!F171)," ",+'Auditoria CEB'!F171)</f>
        <v xml:space="preserve"> </v>
      </c>
      <c r="G162" s="30" t="str">
        <f>IF(ISBLANK('Auditoria CEB'!I191)," ",+'Auditoria CEB'!I191)</f>
        <v xml:space="preserve"> </v>
      </c>
      <c r="H162" s="30" t="str">
        <f>IF(ISBLANK('Auditoria CEB'!AR191)," ",+'Auditoria CEB'!AR191)</f>
        <v xml:space="preserve"> </v>
      </c>
      <c r="I162" s="45" t="str">
        <f>IF(ISBLANK('Auditoria CEB'!K191)," ",+'Auditoria CEB'!K191)</f>
        <v xml:space="preserve"> </v>
      </c>
      <c r="J162" s="30" t="str">
        <f>IF(ISBLANK('Auditoria CEB'!AM191)," ",+'Auditoria CEB'!AM191)</f>
        <v xml:space="preserve"> </v>
      </c>
    </row>
    <row r="163" spans="1:10">
      <c r="A163" s="30" t="str">
        <f>IF(ISBLANK('Auditoria CEB'!$E$6)," ",'Auditoria CEB'!$E$6)</f>
        <v xml:space="preserve"> </v>
      </c>
      <c r="B163" s="30" t="s">
        <v>161</v>
      </c>
      <c r="C163" s="29" t="str">
        <f>IF(ISBLANK('Auditoria CEB'!B192)," ",+'Auditoria CEB'!B192)</f>
        <v xml:space="preserve"> </v>
      </c>
      <c r="D163" s="29" t="str">
        <f>IF(ISBLANK('Auditoria CEB'!D192)," ",+'Auditoria CEB'!D192)</f>
        <v xml:space="preserve"> </v>
      </c>
      <c r="E163" s="29" t="str">
        <f>IF(ISBLANK('Auditoria CEB'!E192)," ",+'Auditoria CEB'!E192)</f>
        <v xml:space="preserve"> </v>
      </c>
      <c r="F163" s="30" t="str">
        <f>IF(ISBLANK('Auditoria CEB'!F172)," ",+'Auditoria CEB'!F172)</f>
        <v xml:space="preserve"> </v>
      </c>
      <c r="G163" s="30" t="str">
        <f>IF(ISBLANK('Auditoria CEB'!I192)," ",+'Auditoria CEB'!I192)</f>
        <v xml:space="preserve"> </v>
      </c>
      <c r="H163" s="30" t="str">
        <f>IF(ISBLANK('Auditoria CEB'!AR192)," ",+'Auditoria CEB'!AR192)</f>
        <v xml:space="preserve"> </v>
      </c>
      <c r="I163" s="45" t="str">
        <f>IF(ISBLANK('Auditoria CEB'!K192)," ",+'Auditoria CEB'!K192)</f>
        <v xml:space="preserve"> </v>
      </c>
      <c r="J163" s="30" t="str">
        <f>IF(ISBLANK('Auditoria CEB'!AM192)," ",+'Auditoria CEB'!AM192)</f>
        <v xml:space="preserve"> </v>
      </c>
    </row>
    <row r="164" spans="1:10">
      <c r="A164" s="30" t="str">
        <f>IF(ISBLANK('Auditoria CEB'!$E$6)," ",'Auditoria CEB'!$E$6)</f>
        <v xml:space="preserve"> </v>
      </c>
      <c r="B164" s="30" t="s">
        <v>161</v>
      </c>
      <c r="C164" s="29" t="str">
        <f>IF(ISBLANK('Auditoria CEB'!B193)," ",+'Auditoria CEB'!B193)</f>
        <v xml:space="preserve"> </v>
      </c>
      <c r="D164" s="29" t="str">
        <f>IF(ISBLANK('Auditoria CEB'!D193)," ",+'Auditoria CEB'!D193)</f>
        <v xml:space="preserve"> </v>
      </c>
      <c r="E164" s="29" t="str">
        <f>IF(ISBLANK('Auditoria CEB'!E193)," ",+'Auditoria CEB'!E193)</f>
        <v xml:space="preserve"> </v>
      </c>
      <c r="F164" s="30" t="str">
        <f>IF(ISBLANK('Auditoria CEB'!F173)," ",+'Auditoria CEB'!F173)</f>
        <v xml:space="preserve"> </v>
      </c>
      <c r="G164" s="30" t="str">
        <f>IF(ISBLANK('Auditoria CEB'!I193)," ",+'Auditoria CEB'!I193)</f>
        <v xml:space="preserve"> </v>
      </c>
      <c r="H164" s="30" t="str">
        <f>IF(ISBLANK('Auditoria CEB'!AR193)," ",+'Auditoria CEB'!AR193)</f>
        <v xml:space="preserve"> </v>
      </c>
      <c r="I164" s="45" t="str">
        <f>IF(ISBLANK('Auditoria CEB'!K193)," ",+'Auditoria CEB'!K193)</f>
        <v xml:space="preserve"> </v>
      </c>
      <c r="J164" s="30" t="str">
        <f>IF(ISBLANK('Auditoria CEB'!AM193)," ",+'Auditoria CEB'!AM193)</f>
        <v xml:space="preserve"> </v>
      </c>
    </row>
    <row r="165" spans="1:10">
      <c r="A165" s="30" t="str">
        <f>IF(ISBLANK('Auditoria CEB'!$E$6)," ",'Auditoria CEB'!$E$6)</f>
        <v xml:space="preserve"> </v>
      </c>
      <c r="B165" s="30" t="s">
        <v>161</v>
      </c>
      <c r="C165" s="29" t="str">
        <f>IF(ISBLANK('Auditoria CEB'!B194)," ",+'Auditoria CEB'!B194)</f>
        <v xml:space="preserve"> </v>
      </c>
      <c r="D165" s="29" t="str">
        <f>IF(ISBLANK('Auditoria CEB'!D194)," ",+'Auditoria CEB'!D194)</f>
        <v xml:space="preserve"> </v>
      </c>
      <c r="E165" s="29" t="str">
        <f>IF(ISBLANK('Auditoria CEB'!E194)," ",+'Auditoria CEB'!E194)</f>
        <v xml:space="preserve"> </v>
      </c>
      <c r="F165" s="30" t="str">
        <f>IF(ISBLANK('Auditoria CEB'!F174)," ",+'Auditoria CEB'!F174)</f>
        <v xml:space="preserve"> </v>
      </c>
      <c r="G165" s="30" t="str">
        <f>IF(ISBLANK('Auditoria CEB'!I194)," ",+'Auditoria CEB'!I194)</f>
        <v xml:space="preserve"> </v>
      </c>
      <c r="H165" s="30" t="str">
        <f>IF(ISBLANK('Auditoria CEB'!AR194)," ",+'Auditoria CEB'!AR194)</f>
        <v xml:space="preserve"> </v>
      </c>
      <c r="I165" s="45" t="str">
        <f>IF(ISBLANK('Auditoria CEB'!K194)," ",+'Auditoria CEB'!K194)</f>
        <v xml:space="preserve"> </v>
      </c>
      <c r="J165" s="30" t="str">
        <f>IF(ISBLANK('Auditoria CEB'!AM194)," ",+'Auditoria CEB'!AM194)</f>
        <v xml:space="preserve"> </v>
      </c>
    </row>
    <row r="166" spans="1:10">
      <c r="A166" s="30" t="str">
        <f>IF(ISBLANK('Auditoria CEB'!$E$6)," ",'Auditoria CEB'!$E$6)</f>
        <v xml:space="preserve"> </v>
      </c>
      <c r="B166" s="30" t="s">
        <v>161</v>
      </c>
      <c r="C166" s="29" t="str">
        <f>IF(ISBLANK('Auditoria CEB'!B195)," ",+'Auditoria CEB'!B195)</f>
        <v xml:space="preserve"> </v>
      </c>
      <c r="D166" s="29" t="str">
        <f>IF(ISBLANK('Auditoria CEB'!D195)," ",+'Auditoria CEB'!D195)</f>
        <v xml:space="preserve"> </v>
      </c>
      <c r="E166" s="29" t="str">
        <f>IF(ISBLANK('Auditoria CEB'!E195)," ",+'Auditoria CEB'!E195)</f>
        <v xml:space="preserve"> </v>
      </c>
      <c r="F166" s="30" t="str">
        <f>IF(ISBLANK('Auditoria CEB'!F175)," ",+'Auditoria CEB'!F175)</f>
        <v xml:space="preserve"> </v>
      </c>
      <c r="G166" s="30" t="str">
        <f>IF(ISBLANK('Auditoria CEB'!I195)," ",+'Auditoria CEB'!I195)</f>
        <v xml:space="preserve"> </v>
      </c>
      <c r="H166" s="30" t="str">
        <f>IF(ISBLANK('Auditoria CEB'!AR195)," ",+'Auditoria CEB'!AR195)</f>
        <v xml:space="preserve"> </v>
      </c>
      <c r="I166" s="45" t="str">
        <f>IF(ISBLANK('Auditoria CEB'!K195)," ",+'Auditoria CEB'!K195)</f>
        <v xml:space="preserve"> </v>
      </c>
      <c r="J166" s="30" t="str">
        <f>IF(ISBLANK('Auditoria CEB'!AM195)," ",+'Auditoria CEB'!AM195)</f>
        <v xml:space="preserve"> </v>
      </c>
    </row>
    <row r="167" spans="1:10">
      <c r="A167" s="30" t="str">
        <f>IF(ISBLANK('Auditoria CEB'!$E$6)," ",'Auditoria CEB'!$E$6)</f>
        <v xml:space="preserve"> </v>
      </c>
      <c r="B167" s="30" t="s">
        <v>161</v>
      </c>
      <c r="C167" s="29" t="str">
        <f>IF(ISBLANK('Auditoria CEB'!B196)," ",+'Auditoria CEB'!B196)</f>
        <v xml:space="preserve"> </v>
      </c>
      <c r="D167" s="29" t="str">
        <f>IF(ISBLANK('Auditoria CEB'!D196)," ",+'Auditoria CEB'!D196)</f>
        <v xml:space="preserve"> </v>
      </c>
      <c r="E167" s="29" t="str">
        <f>IF(ISBLANK('Auditoria CEB'!E196)," ",+'Auditoria CEB'!E196)</f>
        <v xml:space="preserve"> </v>
      </c>
      <c r="F167" s="30" t="str">
        <f>IF(ISBLANK('Auditoria CEB'!F176)," ",+'Auditoria CEB'!F176)</f>
        <v xml:space="preserve"> </v>
      </c>
      <c r="G167" s="30" t="str">
        <f>IF(ISBLANK('Auditoria CEB'!I196)," ",+'Auditoria CEB'!I196)</f>
        <v xml:space="preserve"> </v>
      </c>
      <c r="H167" s="30" t="str">
        <f>IF(ISBLANK('Auditoria CEB'!AR196)," ",+'Auditoria CEB'!AR196)</f>
        <v xml:space="preserve"> </v>
      </c>
      <c r="I167" s="45" t="str">
        <f>IF(ISBLANK('Auditoria CEB'!K196)," ",+'Auditoria CEB'!K196)</f>
        <v xml:space="preserve"> </v>
      </c>
      <c r="J167" s="30" t="str">
        <f>IF(ISBLANK('Auditoria CEB'!AM196)," ",+'Auditoria CEB'!AM196)</f>
        <v xml:space="preserve"> </v>
      </c>
    </row>
    <row r="168" spans="1:10">
      <c r="A168" s="30" t="str">
        <f>IF(ISBLANK('Auditoria CEB'!$E$6)," ",'Auditoria CEB'!$E$6)</f>
        <v xml:space="preserve"> </v>
      </c>
      <c r="B168" s="30" t="s">
        <v>161</v>
      </c>
      <c r="C168" s="29" t="str">
        <f>IF(ISBLANK('Auditoria CEB'!B197)," ",+'Auditoria CEB'!B197)</f>
        <v xml:space="preserve"> </v>
      </c>
      <c r="D168" s="29" t="str">
        <f>IF(ISBLANK('Auditoria CEB'!D197)," ",+'Auditoria CEB'!D197)</f>
        <v xml:space="preserve"> </v>
      </c>
      <c r="E168" s="29" t="str">
        <f>IF(ISBLANK('Auditoria CEB'!E197)," ",+'Auditoria CEB'!E197)</f>
        <v xml:space="preserve"> </v>
      </c>
      <c r="F168" s="30" t="str">
        <f>IF(ISBLANK('Auditoria CEB'!F177)," ",+'Auditoria CEB'!F177)</f>
        <v xml:space="preserve"> </v>
      </c>
      <c r="G168" s="30" t="str">
        <f>IF(ISBLANK('Auditoria CEB'!I197)," ",+'Auditoria CEB'!I197)</f>
        <v xml:space="preserve"> </v>
      </c>
      <c r="H168" s="30" t="str">
        <f>IF(ISBLANK('Auditoria CEB'!AR197)," ",+'Auditoria CEB'!AR197)</f>
        <v xml:space="preserve"> </v>
      </c>
      <c r="I168" s="45" t="str">
        <f>IF(ISBLANK('Auditoria CEB'!K197)," ",+'Auditoria CEB'!K197)</f>
        <v xml:space="preserve"> </v>
      </c>
      <c r="J168" s="30" t="str">
        <f>IF(ISBLANK('Auditoria CEB'!AM197)," ",+'Auditoria CEB'!AM197)</f>
        <v xml:space="preserve"> </v>
      </c>
    </row>
    <row r="169" spans="1:10">
      <c r="A169" s="30" t="str">
        <f>IF(ISBLANK('Auditoria CEB'!$E$6)," ",'Auditoria CEB'!$E$6)</f>
        <v xml:space="preserve"> </v>
      </c>
      <c r="B169" s="30" t="s">
        <v>161</v>
      </c>
      <c r="C169" s="29" t="str">
        <f>IF(ISBLANK('Auditoria CEB'!B198)," ",+'Auditoria CEB'!B198)</f>
        <v xml:space="preserve"> </v>
      </c>
      <c r="D169" s="29" t="str">
        <f>IF(ISBLANK('Auditoria CEB'!D198)," ",+'Auditoria CEB'!D198)</f>
        <v xml:space="preserve"> </v>
      </c>
      <c r="E169" s="29" t="str">
        <f>IF(ISBLANK('Auditoria CEB'!E198)," ",+'Auditoria CEB'!E198)</f>
        <v xml:space="preserve"> </v>
      </c>
      <c r="F169" s="30" t="str">
        <f>IF(ISBLANK('Auditoria CEB'!F178)," ",+'Auditoria CEB'!F178)</f>
        <v xml:space="preserve"> </v>
      </c>
      <c r="G169" s="30" t="str">
        <f>IF(ISBLANK('Auditoria CEB'!I198)," ",+'Auditoria CEB'!I198)</f>
        <v xml:space="preserve"> </v>
      </c>
      <c r="H169" s="30" t="str">
        <f>IF(ISBLANK('Auditoria CEB'!AR198)," ",+'Auditoria CEB'!AR198)</f>
        <v xml:space="preserve"> </v>
      </c>
      <c r="I169" s="45" t="str">
        <f>IF(ISBLANK('Auditoria CEB'!K198)," ",+'Auditoria CEB'!K198)</f>
        <v xml:space="preserve"> </v>
      </c>
      <c r="J169" s="30" t="str">
        <f>IF(ISBLANK('Auditoria CEB'!AM198)," ",+'Auditoria CEB'!AM198)</f>
        <v xml:space="preserve"> </v>
      </c>
    </row>
    <row r="170" spans="1:10">
      <c r="A170" s="30" t="str">
        <f>IF(ISBLANK('Auditoria CEB'!$E$6)," ",'Auditoria CEB'!$E$6)</f>
        <v xml:space="preserve"> </v>
      </c>
      <c r="B170" s="30" t="s">
        <v>161</v>
      </c>
      <c r="C170" s="29" t="str">
        <f>IF(ISBLANK('Auditoria CEB'!B199)," ",+'Auditoria CEB'!B199)</f>
        <v xml:space="preserve"> </v>
      </c>
      <c r="D170" s="29" t="str">
        <f>IF(ISBLANK('Auditoria CEB'!D199)," ",+'Auditoria CEB'!D199)</f>
        <v xml:space="preserve"> </v>
      </c>
      <c r="E170" s="29" t="str">
        <f>IF(ISBLANK('Auditoria CEB'!E199)," ",+'Auditoria CEB'!E199)</f>
        <v xml:space="preserve"> </v>
      </c>
      <c r="F170" s="30" t="str">
        <f>IF(ISBLANK('Auditoria CEB'!F179)," ",+'Auditoria CEB'!F179)</f>
        <v xml:space="preserve"> </v>
      </c>
      <c r="G170" s="30" t="str">
        <f>IF(ISBLANK('Auditoria CEB'!I199)," ",+'Auditoria CEB'!I199)</f>
        <v xml:space="preserve"> </v>
      </c>
      <c r="H170" s="30" t="str">
        <f>IF(ISBLANK('Auditoria CEB'!AR199)," ",+'Auditoria CEB'!AR199)</f>
        <v xml:space="preserve"> </v>
      </c>
      <c r="I170" s="45" t="str">
        <f>IF(ISBLANK('Auditoria CEB'!K199)," ",+'Auditoria CEB'!K199)</f>
        <v xml:space="preserve"> </v>
      </c>
      <c r="J170" s="30" t="str">
        <f>IF(ISBLANK('Auditoria CEB'!AM199)," ",+'Auditoria CEB'!AM199)</f>
        <v xml:space="preserve"> </v>
      </c>
    </row>
    <row r="171" spans="1:10">
      <c r="A171" s="30" t="str">
        <f>IF(ISBLANK('Auditoria CEB'!$E$6)," ",'Auditoria CEB'!$E$6)</f>
        <v xml:space="preserve"> </v>
      </c>
      <c r="B171" s="30" t="s">
        <v>161</v>
      </c>
      <c r="C171" s="29" t="str">
        <f>IF(ISBLANK('Auditoria CEB'!B200)," ",+'Auditoria CEB'!B200)</f>
        <v xml:space="preserve"> </v>
      </c>
      <c r="D171" s="29" t="str">
        <f>IF(ISBLANK('Auditoria CEB'!D200)," ",+'Auditoria CEB'!D200)</f>
        <v xml:space="preserve"> </v>
      </c>
      <c r="E171" s="29" t="str">
        <f>IF(ISBLANK('Auditoria CEB'!E200)," ",+'Auditoria CEB'!E200)</f>
        <v xml:space="preserve"> </v>
      </c>
      <c r="F171" s="30" t="str">
        <f>IF(ISBLANK('Auditoria CEB'!F180)," ",+'Auditoria CEB'!F180)</f>
        <v xml:space="preserve"> </v>
      </c>
      <c r="G171" s="30" t="str">
        <f>IF(ISBLANK('Auditoria CEB'!I200)," ",+'Auditoria CEB'!I200)</f>
        <v xml:space="preserve"> </v>
      </c>
      <c r="H171" s="30" t="str">
        <f>IF(ISBLANK('Auditoria CEB'!AR200)," ",+'Auditoria CEB'!AR200)</f>
        <v xml:space="preserve"> </v>
      </c>
      <c r="I171" s="45" t="str">
        <f>IF(ISBLANK('Auditoria CEB'!K200)," ",+'Auditoria CEB'!K200)</f>
        <v xml:space="preserve"> </v>
      </c>
      <c r="J171" s="30" t="str">
        <f>IF(ISBLANK('Auditoria CEB'!AM200)," ",+'Auditoria CEB'!AM200)</f>
        <v xml:space="preserve"> </v>
      </c>
    </row>
    <row r="172" spans="1:10">
      <c r="A172" s="30" t="str">
        <f>IF(ISBLANK('Auditoria CEB'!$E$6)," ",'Auditoria CEB'!$E$6)</f>
        <v xml:space="preserve"> </v>
      </c>
      <c r="B172" s="30" t="s">
        <v>161</v>
      </c>
      <c r="C172" s="29" t="str">
        <f>IF(ISBLANK('Auditoria CEB'!B201)," ",+'Auditoria CEB'!B201)</f>
        <v xml:space="preserve"> </v>
      </c>
      <c r="D172" s="29" t="str">
        <f>IF(ISBLANK('Auditoria CEB'!D201)," ",+'Auditoria CEB'!D201)</f>
        <v xml:space="preserve"> </v>
      </c>
      <c r="E172" s="29" t="str">
        <f>IF(ISBLANK('Auditoria CEB'!E201)," ",+'Auditoria CEB'!E201)</f>
        <v xml:space="preserve"> </v>
      </c>
      <c r="F172" s="30" t="str">
        <f>IF(ISBLANK('Auditoria CEB'!F181)," ",+'Auditoria CEB'!F181)</f>
        <v xml:space="preserve"> </v>
      </c>
      <c r="G172" s="30" t="str">
        <f>IF(ISBLANK('Auditoria CEB'!I201)," ",+'Auditoria CEB'!I201)</f>
        <v xml:space="preserve"> </v>
      </c>
      <c r="H172" s="30" t="str">
        <f>IF(ISBLANK('Auditoria CEB'!AR201)," ",+'Auditoria CEB'!AR201)</f>
        <v xml:space="preserve"> </v>
      </c>
      <c r="I172" s="45" t="str">
        <f>IF(ISBLANK('Auditoria CEB'!K201)," ",+'Auditoria CEB'!K201)</f>
        <v xml:space="preserve"> </v>
      </c>
      <c r="J172" s="30" t="str">
        <f>IF(ISBLANK('Auditoria CEB'!AM201)," ",+'Auditoria CEB'!AM201)</f>
        <v xml:space="preserve"> </v>
      </c>
    </row>
    <row r="173" spans="1:10">
      <c r="A173" s="30" t="str">
        <f>IF(ISBLANK('Auditoria CEB'!$E$6)," ",'Auditoria CEB'!$E$6)</f>
        <v xml:space="preserve"> </v>
      </c>
      <c r="B173" s="30" t="s">
        <v>161</v>
      </c>
      <c r="C173" s="29" t="str">
        <f>IF(ISBLANK('Auditoria CEB'!B202)," ",+'Auditoria CEB'!B202)</f>
        <v xml:space="preserve"> </v>
      </c>
      <c r="D173" s="29" t="str">
        <f>IF(ISBLANK('Auditoria CEB'!D202)," ",+'Auditoria CEB'!D202)</f>
        <v xml:space="preserve"> </v>
      </c>
      <c r="E173" s="29" t="str">
        <f>IF(ISBLANK('Auditoria CEB'!E202)," ",+'Auditoria CEB'!E202)</f>
        <v xml:space="preserve"> </v>
      </c>
      <c r="F173" s="30" t="str">
        <f>IF(ISBLANK('Auditoria CEB'!F182)," ",+'Auditoria CEB'!F182)</f>
        <v xml:space="preserve"> </v>
      </c>
      <c r="G173" s="30" t="str">
        <f>IF(ISBLANK('Auditoria CEB'!I202)," ",+'Auditoria CEB'!I202)</f>
        <v xml:space="preserve"> </v>
      </c>
      <c r="H173" s="30" t="str">
        <f>IF(ISBLANK('Auditoria CEB'!AR202)," ",+'Auditoria CEB'!AR202)</f>
        <v xml:space="preserve"> </v>
      </c>
      <c r="I173" s="45" t="str">
        <f>IF(ISBLANK('Auditoria CEB'!K202)," ",+'Auditoria CEB'!K202)</f>
        <v xml:space="preserve"> </v>
      </c>
      <c r="J173" s="30" t="str">
        <f>IF(ISBLANK('Auditoria CEB'!AM202)," ",+'Auditoria CEB'!AM202)</f>
        <v xml:space="preserve"> </v>
      </c>
    </row>
    <row r="174" spans="1:10">
      <c r="A174" s="30" t="str">
        <f>IF(ISBLANK('Auditoria CEB'!$E$6)," ",'Auditoria CEB'!$E$6)</f>
        <v xml:space="preserve"> </v>
      </c>
      <c r="B174" s="30" t="s">
        <v>161</v>
      </c>
      <c r="C174" s="29" t="str">
        <f>IF(ISBLANK('Auditoria CEB'!B203)," ",+'Auditoria CEB'!B203)</f>
        <v xml:space="preserve"> </v>
      </c>
      <c r="D174" s="29" t="str">
        <f>IF(ISBLANK('Auditoria CEB'!D203)," ",+'Auditoria CEB'!D203)</f>
        <v xml:space="preserve"> </v>
      </c>
      <c r="E174" s="29" t="str">
        <f>IF(ISBLANK('Auditoria CEB'!E203)," ",+'Auditoria CEB'!E203)</f>
        <v xml:space="preserve"> </v>
      </c>
      <c r="F174" s="30" t="str">
        <f>IF(ISBLANK('Auditoria CEB'!F183)," ",+'Auditoria CEB'!F183)</f>
        <v xml:space="preserve"> </v>
      </c>
      <c r="G174" s="30" t="str">
        <f>IF(ISBLANK('Auditoria CEB'!I203)," ",+'Auditoria CEB'!I203)</f>
        <v xml:space="preserve"> </v>
      </c>
      <c r="H174" s="30" t="str">
        <f>IF(ISBLANK('Auditoria CEB'!AR203)," ",+'Auditoria CEB'!AR203)</f>
        <v xml:space="preserve"> </v>
      </c>
      <c r="I174" s="45" t="str">
        <f>IF(ISBLANK('Auditoria CEB'!K203)," ",+'Auditoria CEB'!K203)</f>
        <v xml:space="preserve"> </v>
      </c>
      <c r="J174" s="30" t="str">
        <f>IF(ISBLANK('Auditoria CEB'!AM203)," ",+'Auditoria CEB'!AM203)</f>
        <v xml:space="preserve"> </v>
      </c>
    </row>
    <row r="175" spans="1:10">
      <c r="A175" s="30" t="str">
        <f>IF(ISBLANK('Auditoria CEB'!$E$6)," ",'Auditoria CEB'!$E$6)</f>
        <v xml:space="preserve"> </v>
      </c>
      <c r="B175" s="30" t="s">
        <v>161</v>
      </c>
      <c r="C175" s="29" t="str">
        <f>IF(ISBLANK('Auditoria CEB'!B204)," ",+'Auditoria CEB'!B204)</f>
        <v xml:space="preserve"> </v>
      </c>
      <c r="D175" s="29" t="str">
        <f>IF(ISBLANK('Auditoria CEB'!D204)," ",+'Auditoria CEB'!D204)</f>
        <v xml:space="preserve"> </v>
      </c>
      <c r="E175" s="29" t="str">
        <f>IF(ISBLANK('Auditoria CEB'!E204)," ",+'Auditoria CEB'!E204)</f>
        <v xml:space="preserve"> </v>
      </c>
      <c r="F175" s="30" t="str">
        <f>IF(ISBLANK('Auditoria CEB'!F184)," ",+'Auditoria CEB'!F184)</f>
        <v xml:space="preserve"> </v>
      </c>
      <c r="G175" s="30" t="str">
        <f>IF(ISBLANK('Auditoria CEB'!I204)," ",+'Auditoria CEB'!I204)</f>
        <v xml:space="preserve"> </v>
      </c>
      <c r="H175" s="30" t="str">
        <f>IF(ISBLANK('Auditoria CEB'!AR204)," ",+'Auditoria CEB'!AR204)</f>
        <v xml:space="preserve"> </v>
      </c>
      <c r="I175" s="45" t="str">
        <f>IF(ISBLANK('Auditoria CEB'!K204)," ",+'Auditoria CEB'!K204)</f>
        <v xml:space="preserve"> </v>
      </c>
      <c r="J175" s="30" t="str">
        <f>IF(ISBLANK('Auditoria CEB'!AM204)," ",+'Auditoria CEB'!AM204)</f>
        <v xml:space="preserve"> </v>
      </c>
    </row>
    <row r="176" spans="1:10">
      <c r="A176" s="30" t="str">
        <f>IF(ISBLANK('Auditoria CEB'!$E$6)," ",'Auditoria CEB'!$E$6)</f>
        <v xml:space="preserve"> </v>
      </c>
      <c r="B176" s="30" t="s">
        <v>161</v>
      </c>
      <c r="C176" s="29" t="str">
        <f>IF(ISBLANK('Auditoria CEB'!B205)," ",+'Auditoria CEB'!B205)</f>
        <v xml:space="preserve"> </v>
      </c>
      <c r="D176" s="29" t="str">
        <f>IF(ISBLANK('Auditoria CEB'!D205)," ",+'Auditoria CEB'!D205)</f>
        <v xml:space="preserve"> </v>
      </c>
      <c r="E176" s="29" t="str">
        <f>IF(ISBLANK('Auditoria CEB'!E205)," ",+'Auditoria CEB'!E205)</f>
        <v xml:space="preserve"> </v>
      </c>
      <c r="F176" s="30" t="str">
        <f>IF(ISBLANK('Auditoria CEB'!F185)," ",+'Auditoria CEB'!F185)</f>
        <v xml:space="preserve"> </v>
      </c>
      <c r="G176" s="30" t="str">
        <f>IF(ISBLANK('Auditoria CEB'!I205)," ",+'Auditoria CEB'!I205)</f>
        <v xml:space="preserve"> </v>
      </c>
      <c r="H176" s="30" t="str">
        <f>IF(ISBLANK('Auditoria CEB'!AR205)," ",+'Auditoria CEB'!AR205)</f>
        <v xml:space="preserve"> </v>
      </c>
      <c r="I176" s="45" t="str">
        <f>IF(ISBLANK('Auditoria CEB'!K205)," ",+'Auditoria CEB'!K205)</f>
        <v xml:space="preserve"> </v>
      </c>
      <c r="J176" s="30" t="str">
        <f>IF(ISBLANK('Auditoria CEB'!AM205)," ",+'Auditoria CEB'!AM205)</f>
        <v xml:space="preserve"> </v>
      </c>
    </row>
    <row r="177" spans="1:10">
      <c r="A177" s="30" t="str">
        <f>IF(ISBLANK('Auditoria CEB'!$E$6)," ",'Auditoria CEB'!$E$6)</f>
        <v xml:space="preserve"> </v>
      </c>
      <c r="B177" s="30" t="s">
        <v>161</v>
      </c>
      <c r="C177" s="29" t="str">
        <f>IF(ISBLANK('Auditoria CEB'!B206)," ",+'Auditoria CEB'!B206)</f>
        <v xml:space="preserve"> </v>
      </c>
      <c r="D177" s="29" t="str">
        <f>IF(ISBLANK('Auditoria CEB'!D206)," ",+'Auditoria CEB'!D206)</f>
        <v xml:space="preserve"> </v>
      </c>
      <c r="E177" s="29" t="str">
        <f>IF(ISBLANK('Auditoria CEB'!E206)," ",+'Auditoria CEB'!E206)</f>
        <v xml:space="preserve"> </v>
      </c>
      <c r="F177" s="30" t="str">
        <f>IF(ISBLANK('Auditoria CEB'!F186)," ",+'Auditoria CEB'!F186)</f>
        <v xml:space="preserve"> </v>
      </c>
      <c r="G177" s="30" t="str">
        <f>IF(ISBLANK('Auditoria CEB'!I206)," ",+'Auditoria CEB'!I206)</f>
        <v xml:space="preserve"> </v>
      </c>
      <c r="H177" s="30" t="str">
        <f>IF(ISBLANK('Auditoria CEB'!AR206)," ",+'Auditoria CEB'!AR206)</f>
        <v xml:space="preserve"> </v>
      </c>
      <c r="I177" s="45" t="str">
        <f>IF(ISBLANK('Auditoria CEB'!K206)," ",+'Auditoria CEB'!K206)</f>
        <v xml:space="preserve"> </v>
      </c>
      <c r="J177" s="30" t="str">
        <f>IF(ISBLANK('Auditoria CEB'!AM206)," ",+'Auditoria CEB'!AM206)</f>
        <v xml:space="preserve"> </v>
      </c>
    </row>
    <row r="178" spans="1:10">
      <c r="A178" s="30" t="str">
        <f>IF(ISBLANK('Auditoria CEB'!$E$6)," ",'Auditoria CEB'!$E$6)</f>
        <v xml:space="preserve"> </v>
      </c>
      <c r="B178" s="30" t="s">
        <v>161</v>
      </c>
      <c r="C178" s="29" t="str">
        <f>IF(ISBLANK('Auditoria CEB'!B207)," ",+'Auditoria CEB'!B207)</f>
        <v xml:space="preserve"> </v>
      </c>
      <c r="D178" s="29" t="str">
        <f>IF(ISBLANK('Auditoria CEB'!D207)," ",+'Auditoria CEB'!D207)</f>
        <v xml:space="preserve"> </v>
      </c>
      <c r="E178" s="29" t="str">
        <f>IF(ISBLANK('Auditoria CEB'!E207)," ",+'Auditoria CEB'!E207)</f>
        <v xml:space="preserve"> </v>
      </c>
      <c r="F178" s="30" t="str">
        <f>IF(ISBLANK('Auditoria CEB'!F187)," ",+'Auditoria CEB'!F187)</f>
        <v xml:space="preserve"> </v>
      </c>
      <c r="G178" s="30" t="str">
        <f>IF(ISBLANK('Auditoria CEB'!I207)," ",+'Auditoria CEB'!I207)</f>
        <v xml:space="preserve"> </v>
      </c>
      <c r="H178" s="30" t="str">
        <f>IF(ISBLANK('Auditoria CEB'!AR207)," ",+'Auditoria CEB'!AR207)</f>
        <v xml:space="preserve"> </v>
      </c>
      <c r="I178" s="45" t="str">
        <f>IF(ISBLANK('Auditoria CEB'!K207)," ",+'Auditoria CEB'!K207)</f>
        <v xml:space="preserve"> </v>
      </c>
      <c r="J178" s="30" t="str">
        <f>IF(ISBLANK('Auditoria CEB'!AM207)," ",+'Auditoria CEB'!AM207)</f>
        <v xml:space="preserve"> </v>
      </c>
    </row>
    <row r="179" spans="1:10">
      <c r="A179" s="30" t="str">
        <f>IF(ISBLANK('Auditoria CEB'!$E$6)," ",'Auditoria CEB'!$E$6)</f>
        <v xml:space="preserve"> </v>
      </c>
      <c r="B179" s="30" t="s">
        <v>161</v>
      </c>
      <c r="C179" s="29" t="str">
        <f>IF(ISBLANK('Auditoria CEB'!B208)," ",+'Auditoria CEB'!B208)</f>
        <v xml:space="preserve"> </v>
      </c>
      <c r="D179" s="29" t="str">
        <f>IF(ISBLANK('Auditoria CEB'!D208)," ",+'Auditoria CEB'!D208)</f>
        <v xml:space="preserve"> </v>
      </c>
      <c r="E179" s="29" t="str">
        <f>IF(ISBLANK('Auditoria CEB'!E208)," ",+'Auditoria CEB'!E208)</f>
        <v xml:space="preserve"> </v>
      </c>
      <c r="F179" s="30" t="str">
        <f>IF(ISBLANK('Auditoria CEB'!F188)," ",+'Auditoria CEB'!F188)</f>
        <v xml:space="preserve"> </v>
      </c>
      <c r="G179" s="30" t="str">
        <f>IF(ISBLANK('Auditoria CEB'!I208)," ",+'Auditoria CEB'!I208)</f>
        <v xml:space="preserve"> </v>
      </c>
      <c r="H179" s="30" t="str">
        <f>IF(ISBLANK('Auditoria CEB'!AR208)," ",+'Auditoria CEB'!AR208)</f>
        <v xml:space="preserve"> </v>
      </c>
      <c r="I179" s="45" t="str">
        <f>IF(ISBLANK('Auditoria CEB'!K208)," ",+'Auditoria CEB'!K208)</f>
        <v xml:space="preserve"> </v>
      </c>
      <c r="J179" s="30" t="str">
        <f>IF(ISBLANK('Auditoria CEB'!AM208)," ",+'Auditoria CEB'!AM208)</f>
        <v xml:space="preserve"> </v>
      </c>
    </row>
    <row r="180" spans="1:10">
      <c r="A180" s="30" t="str">
        <f>IF(ISBLANK('Auditoria CEB'!$E$6)," ",'Auditoria CEB'!$E$6)</f>
        <v xml:space="preserve"> </v>
      </c>
      <c r="B180" s="30" t="s">
        <v>161</v>
      </c>
      <c r="C180" s="29" t="str">
        <f>IF(ISBLANK('Auditoria CEB'!B209)," ",+'Auditoria CEB'!B209)</f>
        <v xml:space="preserve"> </v>
      </c>
      <c r="D180" s="29" t="str">
        <f>IF(ISBLANK('Auditoria CEB'!D209)," ",+'Auditoria CEB'!D209)</f>
        <v xml:space="preserve"> </v>
      </c>
      <c r="E180" s="29" t="str">
        <f>IF(ISBLANK('Auditoria CEB'!E209)," ",+'Auditoria CEB'!E209)</f>
        <v xml:space="preserve"> </v>
      </c>
      <c r="F180" s="30" t="str">
        <f>IF(ISBLANK('Auditoria CEB'!F189)," ",+'Auditoria CEB'!F189)</f>
        <v xml:space="preserve"> </v>
      </c>
      <c r="G180" s="30" t="str">
        <f>IF(ISBLANK('Auditoria CEB'!I209)," ",+'Auditoria CEB'!I209)</f>
        <v xml:space="preserve"> </v>
      </c>
      <c r="H180" s="30" t="str">
        <f>IF(ISBLANK('Auditoria CEB'!AR209)," ",+'Auditoria CEB'!AR209)</f>
        <v xml:space="preserve"> </v>
      </c>
      <c r="I180" s="45" t="str">
        <f>IF(ISBLANK('Auditoria CEB'!K209)," ",+'Auditoria CEB'!K209)</f>
        <v xml:space="preserve"> </v>
      </c>
      <c r="J180" s="30" t="str">
        <f>IF(ISBLANK('Auditoria CEB'!AM209)," ",+'Auditoria CEB'!AM209)</f>
        <v xml:space="preserve"> </v>
      </c>
    </row>
    <row r="181" spans="1:10">
      <c r="A181" s="30" t="str">
        <f>IF(ISBLANK('Auditoria CEB'!$E$6)," ",'Auditoria CEB'!$E$6)</f>
        <v xml:space="preserve"> </v>
      </c>
      <c r="B181" s="30" t="s">
        <v>161</v>
      </c>
      <c r="C181" s="29" t="str">
        <f>IF(ISBLANK('Auditoria CEB'!B210)," ",+'Auditoria CEB'!B210)</f>
        <v xml:space="preserve"> </v>
      </c>
      <c r="D181" s="29" t="str">
        <f>IF(ISBLANK('Auditoria CEB'!D210)," ",+'Auditoria CEB'!D210)</f>
        <v xml:space="preserve"> </v>
      </c>
      <c r="E181" s="29" t="str">
        <f>IF(ISBLANK('Auditoria CEB'!E210)," ",+'Auditoria CEB'!E210)</f>
        <v xml:space="preserve"> </v>
      </c>
      <c r="F181" s="30" t="str">
        <f>IF(ISBLANK('Auditoria CEB'!F190)," ",+'Auditoria CEB'!F190)</f>
        <v xml:space="preserve"> </v>
      </c>
      <c r="G181" s="30" t="str">
        <f>IF(ISBLANK('Auditoria CEB'!I210)," ",+'Auditoria CEB'!I210)</f>
        <v xml:space="preserve"> </v>
      </c>
      <c r="H181" s="30" t="str">
        <f>IF(ISBLANK('Auditoria CEB'!AR210)," ",+'Auditoria CEB'!AR210)</f>
        <v xml:space="preserve"> </v>
      </c>
      <c r="I181" s="45" t="str">
        <f>IF(ISBLANK('Auditoria CEB'!K210)," ",+'Auditoria CEB'!K210)</f>
        <v xml:space="preserve"> </v>
      </c>
      <c r="J181" s="30" t="str">
        <f>IF(ISBLANK('Auditoria CEB'!AM210)," ",+'Auditoria CEB'!AM210)</f>
        <v xml:space="preserve"> </v>
      </c>
    </row>
    <row r="182" spans="1:10">
      <c r="A182" s="30" t="str">
        <f>IF(ISBLANK('Auditoria CEB'!$E$6)," ",'Auditoria CEB'!$E$6)</f>
        <v xml:space="preserve"> </v>
      </c>
      <c r="B182" s="30" t="s">
        <v>161</v>
      </c>
      <c r="C182" s="29" t="str">
        <f>IF(ISBLANK('Auditoria CEB'!B211)," ",+'Auditoria CEB'!B211)</f>
        <v xml:space="preserve"> </v>
      </c>
      <c r="D182" s="29" t="str">
        <f>IF(ISBLANK('Auditoria CEB'!D211)," ",+'Auditoria CEB'!D211)</f>
        <v xml:space="preserve"> </v>
      </c>
      <c r="E182" s="29" t="str">
        <f>IF(ISBLANK('Auditoria CEB'!E211)," ",+'Auditoria CEB'!E211)</f>
        <v xml:space="preserve"> </v>
      </c>
      <c r="F182" s="30" t="str">
        <f>IF(ISBLANK('Auditoria CEB'!F191)," ",+'Auditoria CEB'!F191)</f>
        <v xml:space="preserve"> </v>
      </c>
      <c r="G182" s="30" t="str">
        <f>IF(ISBLANK('Auditoria CEB'!I211)," ",+'Auditoria CEB'!I211)</f>
        <v xml:space="preserve"> </v>
      </c>
      <c r="H182" s="30" t="str">
        <f>IF(ISBLANK('Auditoria CEB'!AR211)," ",+'Auditoria CEB'!AR211)</f>
        <v xml:space="preserve"> </v>
      </c>
      <c r="I182" s="45" t="str">
        <f>IF(ISBLANK('Auditoria CEB'!K211)," ",+'Auditoria CEB'!K211)</f>
        <v xml:space="preserve"> </v>
      </c>
      <c r="J182" s="30" t="str">
        <f>IF(ISBLANK('Auditoria CEB'!AM211)," ",+'Auditoria CEB'!AM211)</f>
        <v xml:space="preserve"> </v>
      </c>
    </row>
    <row r="183" spans="1:10">
      <c r="A183" s="30" t="str">
        <f>IF(ISBLANK('Auditoria CEB'!$E$6)," ",'Auditoria CEB'!$E$6)</f>
        <v xml:space="preserve"> </v>
      </c>
      <c r="B183" s="30" t="s">
        <v>161</v>
      </c>
      <c r="C183" s="29" t="str">
        <f>IF(ISBLANK('Auditoria CEB'!B212)," ",+'Auditoria CEB'!B212)</f>
        <v xml:space="preserve"> </v>
      </c>
      <c r="D183" s="29" t="str">
        <f>IF(ISBLANK('Auditoria CEB'!D212)," ",+'Auditoria CEB'!D212)</f>
        <v xml:space="preserve"> </v>
      </c>
      <c r="E183" s="29" t="str">
        <f>IF(ISBLANK('Auditoria CEB'!E212)," ",+'Auditoria CEB'!E212)</f>
        <v xml:space="preserve"> </v>
      </c>
      <c r="F183" s="30" t="str">
        <f>IF(ISBLANK('Auditoria CEB'!F192)," ",+'Auditoria CEB'!F192)</f>
        <v xml:space="preserve"> </v>
      </c>
      <c r="G183" s="30" t="str">
        <f>IF(ISBLANK('Auditoria CEB'!I212)," ",+'Auditoria CEB'!I212)</f>
        <v xml:space="preserve"> </v>
      </c>
      <c r="H183" s="30" t="str">
        <f>IF(ISBLANK('Auditoria CEB'!AR212)," ",+'Auditoria CEB'!AR212)</f>
        <v xml:space="preserve"> </v>
      </c>
      <c r="I183" s="45" t="str">
        <f>IF(ISBLANK('Auditoria CEB'!K212)," ",+'Auditoria CEB'!K212)</f>
        <v xml:space="preserve"> </v>
      </c>
      <c r="J183" s="30" t="str">
        <f>IF(ISBLANK('Auditoria CEB'!AM212)," ",+'Auditoria CEB'!AM212)</f>
        <v xml:space="preserve"> </v>
      </c>
    </row>
    <row r="184" spans="1:10">
      <c r="A184" s="30" t="str">
        <f>IF(ISBLANK('Auditoria CEB'!$E$6)," ",'Auditoria CEB'!$E$6)</f>
        <v xml:space="preserve"> </v>
      </c>
      <c r="B184" s="30" t="s">
        <v>161</v>
      </c>
      <c r="C184" s="29" t="str">
        <f>IF(ISBLANK('Auditoria CEB'!B213)," ",+'Auditoria CEB'!B213)</f>
        <v xml:space="preserve"> </v>
      </c>
      <c r="D184" s="29" t="str">
        <f>IF(ISBLANK('Auditoria CEB'!D213)," ",+'Auditoria CEB'!D213)</f>
        <v xml:space="preserve"> </v>
      </c>
      <c r="E184" s="29" t="str">
        <f>IF(ISBLANK('Auditoria CEB'!E213)," ",+'Auditoria CEB'!E213)</f>
        <v xml:space="preserve"> </v>
      </c>
      <c r="F184" s="30" t="str">
        <f>IF(ISBLANK('Auditoria CEB'!F193)," ",+'Auditoria CEB'!F193)</f>
        <v xml:space="preserve"> </v>
      </c>
      <c r="G184" s="30" t="str">
        <f>IF(ISBLANK('Auditoria CEB'!I213)," ",+'Auditoria CEB'!I213)</f>
        <v xml:space="preserve"> </v>
      </c>
      <c r="H184" s="30" t="str">
        <f>IF(ISBLANK('Auditoria CEB'!AR213)," ",+'Auditoria CEB'!AR213)</f>
        <v xml:space="preserve"> </v>
      </c>
      <c r="I184" s="45" t="str">
        <f>IF(ISBLANK('Auditoria CEB'!K213)," ",+'Auditoria CEB'!K213)</f>
        <v xml:space="preserve"> </v>
      </c>
      <c r="J184" s="30" t="str">
        <f>IF(ISBLANK('Auditoria CEB'!AM213)," ",+'Auditoria CEB'!AM213)</f>
        <v xml:space="preserve"> </v>
      </c>
    </row>
    <row r="185" spans="1:10">
      <c r="A185" s="30" t="str">
        <f>IF(ISBLANK('Auditoria CEB'!$E$6)," ",'Auditoria CEB'!$E$6)</f>
        <v xml:space="preserve"> </v>
      </c>
      <c r="B185" s="30" t="s">
        <v>161</v>
      </c>
      <c r="C185" s="29" t="str">
        <f>IF(ISBLANK('Auditoria CEB'!B214)," ",+'Auditoria CEB'!B214)</f>
        <v xml:space="preserve"> </v>
      </c>
      <c r="D185" s="29" t="str">
        <f>IF(ISBLANK('Auditoria CEB'!D214)," ",+'Auditoria CEB'!D214)</f>
        <v xml:space="preserve"> </v>
      </c>
      <c r="E185" s="29" t="str">
        <f>IF(ISBLANK('Auditoria CEB'!E214)," ",+'Auditoria CEB'!E214)</f>
        <v xml:space="preserve"> </v>
      </c>
      <c r="F185" s="30" t="str">
        <f>IF(ISBLANK('Auditoria CEB'!F194)," ",+'Auditoria CEB'!F194)</f>
        <v xml:space="preserve"> </v>
      </c>
      <c r="G185" s="30" t="str">
        <f>IF(ISBLANK('Auditoria CEB'!I214)," ",+'Auditoria CEB'!I214)</f>
        <v xml:space="preserve"> </v>
      </c>
      <c r="H185" s="30" t="str">
        <f>IF(ISBLANK('Auditoria CEB'!AR214)," ",+'Auditoria CEB'!AR214)</f>
        <v xml:space="preserve"> </v>
      </c>
      <c r="I185" s="45" t="str">
        <f>IF(ISBLANK('Auditoria CEB'!K214)," ",+'Auditoria CEB'!K214)</f>
        <v xml:space="preserve"> </v>
      </c>
      <c r="J185" s="30" t="str">
        <f>IF(ISBLANK('Auditoria CEB'!AM214)," ",+'Auditoria CEB'!AM214)</f>
        <v xml:space="preserve"> </v>
      </c>
    </row>
    <row r="186" spans="1:10">
      <c r="A186" s="30" t="str">
        <f>IF(ISBLANK('Auditoria CEB'!$E$6)," ",'Auditoria CEB'!$E$6)</f>
        <v xml:space="preserve"> </v>
      </c>
      <c r="B186" s="30" t="s">
        <v>161</v>
      </c>
      <c r="C186" s="29" t="str">
        <f>IF(ISBLANK('Auditoria CEB'!B215)," ",+'Auditoria CEB'!B215)</f>
        <v xml:space="preserve"> </v>
      </c>
      <c r="D186" s="29" t="str">
        <f>IF(ISBLANK('Auditoria CEB'!D215)," ",+'Auditoria CEB'!D215)</f>
        <v xml:space="preserve"> </v>
      </c>
      <c r="E186" s="29" t="str">
        <f>IF(ISBLANK('Auditoria CEB'!E215)," ",+'Auditoria CEB'!E215)</f>
        <v xml:space="preserve"> </v>
      </c>
      <c r="F186" s="30" t="str">
        <f>IF(ISBLANK('Auditoria CEB'!F195)," ",+'Auditoria CEB'!F195)</f>
        <v xml:space="preserve"> </v>
      </c>
      <c r="G186" s="30" t="str">
        <f>IF(ISBLANK('Auditoria CEB'!I215)," ",+'Auditoria CEB'!I215)</f>
        <v xml:space="preserve"> </v>
      </c>
      <c r="H186" s="30" t="str">
        <f>IF(ISBLANK('Auditoria CEB'!AR215)," ",+'Auditoria CEB'!AR215)</f>
        <v xml:space="preserve"> </v>
      </c>
      <c r="I186" s="45" t="str">
        <f>IF(ISBLANK('Auditoria CEB'!K215)," ",+'Auditoria CEB'!K215)</f>
        <v xml:space="preserve"> </v>
      </c>
      <c r="J186" s="30" t="str">
        <f>IF(ISBLANK('Auditoria CEB'!AM215)," ",+'Auditoria CEB'!AM215)</f>
        <v xml:space="preserve"> </v>
      </c>
    </row>
    <row r="187" spans="1:10">
      <c r="A187" s="30" t="str">
        <f>IF(ISBLANK('Auditoria CEB'!$E$6)," ",'Auditoria CEB'!$E$6)</f>
        <v xml:space="preserve"> </v>
      </c>
      <c r="B187" s="30" t="s">
        <v>161</v>
      </c>
      <c r="C187" s="29" t="str">
        <f>IF(ISBLANK('Auditoria CEB'!B216)," ",+'Auditoria CEB'!B216)</f>
        <v xml:space="preserve"> </v>
      </c>
      <c r="D187" s="29" t="str">
        <f>IF(ISBLANK('Auditoria CEB'!D216)," ",+'Auditoria CEB'!D216)</f>
        <v xml:space="preserve"> </v>
      </c>
      <c r="E187" s="29" t="str">
        <f>IF(ISBLANK('Auditoria CEB'!E216)," ",+'Auditoria CEB'!E216)</f>
        <v xml:space="preserve"> </v>
      </c>
      <c r="F187" s="30" t="str">
        <f>IF(ISBLANK('Auditoria CEB'!F196)," ",+'Auditoria CEB'!F196)</f>
        <v xml:space="preserve"> </v>
      </c>
      <c r="G187" s="30" t="str">
        <f>IF(ISBLANK('Auditoria CEB'!I216)," ",+'Auditoria CEB'!I216)</f>
        <v xml:space="preserve"> </v>
      </c>
      <c r="H187" s="30" t="str">
        <f>IF(ISBLANK('Auditoria CEB'!AR216)," ",+'Auditoria CEB'!AR216)</f>
        <v xml:space="preserve"> </v>
      </c>
      <c r="I187" s="45" t="str">
        <f>IF(ISBLANK('Auditoria CEB'!K216)," ",+'Auditoria CEB'!K216)</f>
        <v xml:space="preserve"> </v>
      </c>
      <c r="J187" s="30" t="str">
        <f>IF(ISBLANK('Auditoria CEB'!AM216)," ",+'Auditoria CEB'!AM216)</f>
        <v xml:space="preserve"> </v>
      </c>
    </row>
    <row r="188" spans="1:10">
      <c r="A188" s="30" t="str">
        <f>IF(ISBLANK('Auditoria CEB'!$E$6)," ",'Auditoria CEB'!$E$6)</f>
        <v xml:space="preserve"> </v>
      </c>
      <c r="B188" s="30" t="s">
        <v>161</v>
      </c>
      <c r="C188" s="29" t="str">
        <f>IF(ISBLANK('Auditoria CEB'!B217)," ",+'Auditoria CEB'!B217)</f>
        <v xml:space="preserve"> </v>
      </c>
      <c r="D188" s="29" t="str">
        <f>IF(ISBLANK('Auditoria CEB'!D217)," ",+'Auditoria CEB'!D217)</f>
        <v xml:space="preserve"> </v>
      </c>
      <c r="E188" s="29" t="str">
        <f>IF(ISBLANK('Auditoria CEB'!E217)," ",+'Auditoria CEB'!E217)</f>
        <v xml:space="preserve"> </v>
      </c>
      <c r="F188" s="30" t="str">
        <f>IF(ISBLANK('Auditoria CEB'!F197)," ",+'Auditoria CEB'!F197)</f>
        <v xml:space="preserve"> </v>
      </c>
      <c r="G188" s="30" t="str">
        <f>IF(ISBLANK('Auditoria CEB'!I217)," ",+'Auditoria CEB'!I217)</f>
        <v xml:space="preserve"> </v>
      </c>
      <c r="H188" s="30" t="str">
        <f>IF(ISBLANK('Auditoria CEB'!AR217)," ",+'Auditoria CEB'!AR217)</f>
        <v xml:space="preserve"> </v>
      </c>
      <c r="I188" s="45" t="str">
        <f>IF(ISBLANK('Auditoria CEB'!K217)," ",+'Auditoria CEB'!K217)</f>
        <v xml:space="preserve"> </v>
      </c>
      <c r="J188" s="30" t="str">
        <f>IF(ISBLANK('Auditoria CEB'!AM217)," ",+'Auditoria CEB'!AM217)</f>
        <v xml:space="preserve"> </v>
      </c>
    </row>
    <row r="189" spans="1:10">
      <c r="A189" s="30" t="str">
        <f>IF(ISBLANK('Auditoria CEB'!$E$6)," ",'Auditoria CEB'!$E$6)</f>
        <v xml:space="preserve"> </v>
      </c>
      <c r="B189" s="30" t="s">
        <v>161</v>
      </c>
      <c r="C189" s="29" t="str">
        <f>IF(ISBLANK('Auditoria CEB'!B218)," ",+'Auditoria CEB'!B218)</f>
        <v xml:space="preserve"> </v>
      </c>
      <c r="D189" s="29" t="str">
        <f>IF(ISBLANK('Auditoria CEB'!D218)," ",+'Auditoria CEB'!D218)</f>
        <v xml:space="preserve"> </v>
      </c>
      <c r="E189" s="29" t="str">
        <f>IF(ISBLANK('Auditoria CEB'!E218)," ",+'Auditoria CEB'!E218)</f>
        <v xml:space="preserve"> </v>
      </c>
      <c r="F189" s="30" t="str">
        <f>IF(ISBLANK('Auditoria CEB'!F198)," ",+'Auditoria CEB'!F198)</f>
        <v xml:space="preserve"> </v>
      </c>
      <c r="G189" s="30" t="str">
        <f>IF(ISBLANK('Auditoria CEB'!I218)," ",+'Auditoria CEB'!I218)</f>
        <v xml:space="preserve"> </v>
      </c>
      <c r="H189" s="30" t="str">
        <f>IF(ISBLANK('Auditoria CEB'!AR218)," ",+'Auditoria CEB'!AR218)</f>
        <v xml:space="preserve"> </v>
      </c>
      <c r="I189" s="45" t="str">
        <f>IF(ISBLANK('Auditoria CEB'!K218)," ",+'Auditoria CEB'!K218)</f>
        <v xml:space="preserve"> </v>
      </c>
      <c r="J189" s="30" t="str">
        <f>IF(ISBLANK('Auditoria CEB'!AM218)," ",+'Auditoria CEB'!AM218)</f>
        <v xml:space="preserve"> </v>
      </c>
    </row>
    <row r="190" spans="1:10">
      <c r="A190" s="30" t="str">
        <f>IF(ISBLANK('Auditoria CEB'!$E$6)," ",'Auditoria CEB'!$E$6)</f>
        <v xml:space="preserve"> </v>
      </c>
      <c r="B190" s="30" t="s">
        <v>161</v>
      </c>
      <c r="C190" s="29" t="str">
        <f>IF(ISBLANK('Auditoria CEB'!B219)," ",+'Auditoria CEB'!B219)</f>
        <v xml:space="preserve"> </v>
      </c>
      <c r="D190" s="29" t="str">
        <f>IF(ISBLANK('Auditoria CEB'!D219)," ",+'Auditoria CEB'!D219)</f>
        <v xml:space="preserve"> </v>
      </c>
      <c r="E190" s="29" t="str">
        <f>IF(ISBLANK('Auditoria CEB'!E219)," ",+'Auditoria CEB'!E219)</f>
        <v xml:space="preserve"> </v>
      </c>
      <c r="F190" s="30" t="str">
        <f>IF(ISBLANK('Auditoria CEB'!F199)," ",+'Auditoria CEB'!F199)</f>
        <v xml:space="preserve"> </v>
      </c>
      <c r="G190" s="30" t="str">
        <f>IF(ISBLANK('Auditoria CEB'!I219)," ",+'Auditoria CEB'!I219)</f>
        <v xml:space="preserve"> </v>
      </c>
      <c r="H190" s="30" t="str">
        <f>IF(ISBLANK('Auditoria CEB'!AR219)," ",+'Auditoria CEB'!AR219)</f>
        <v xml:space="preserve"> </v>
      </c>
      <c r="I190" s="45" t="str">
        <f>IF(ISBLANK('Auditoria CEB'!K219)," ",+'Auditoria CEB'!K219)</f>
        <v xml:space="preserve"> </v>
      </c>
      <c r="J190" s="30" t="str">
        <f>IF(ISBLANK('Auditoria CEB'!AM219)," ",+'Auditoria CEB'!AM219)</f>
        <v xml:space="preserve"> </v>
      </c>
    </row>
    <row r="191" spans="1:10">
      <c r="A191" s="30" t="str">
        <f>IF(ISBLANK('Auditoria CEB'!$E$6)," ",'Auditoria CEB'!$E$6)</f>
        <v xml:space="preserve"> </v>
      </c>
      <c r="B191" s="30" t="s">
        <v>161</v>
      </c>
      <c r="C191" s="29" t="str">
        <f>IF(ISBLANK('Auditoria CEB'!B220)," ",+'Auditoria CEB'!B220)</f>
        <v xml:space="preserve"> </v>
      </c>
      <c r="D191" s="29" t="str">
        <f>IF(ISBLANK('Auditoria CEB'!D220)," ",+'Auditoria CEB'!D220)</f>
        <v xml:space="preserve"> </v>
      </c>
      <c r="E191" s="29" t="str">
        <f>IF(ISBLANK('Auditoria CEB'!E220)," ",+'Auditoria CEB'!E220)</f>
        <v xml:space="preserve"> </v>
      </c>
      <c r="F191" s="30" t="str">
        <f>IF(ISBLANK('Auditoria CEB'!F200)," ",+'Auditoria CEB'!F200)</f>
        <v xml:space="preserve"> </v>
      </c>
      <c r="G191" s="30" t="str">
        <f>IF(ISBLANK('Auditoria CEB'!I220)," ",+'Auditoria CEB'!I220)</f>
        <v xml:space="preserve"> </v>
      </c>
      <c r="H191" s="30" t="str">
        <f>IF(ISBLANK('Auditoria CEB'!AR220)," ",+'Auditoria CEB'!AR220)</f>
        <v xml:space="preserve"> </v>
      </c>
      <c r="I191" s="45" t="str">
        <f>IF(ISBLANK('Auditoria CEB'!K220)," ",+'Auditoria CEB'!K220)</f>
        <v xml:space="preserve"> </v>
      </c>
      <c r="J191" s="30" t="str">
        <f>IF(ISBLANK('Auditoria CEB'!AM220)," ",+'Auditoria CEB'!AM220)</f>
        <v xml:space="preserve"> </v>
      </c>
    </row>
    <row r="192" spans="1:10">
      <c r="A192" s="30" t="str">
        <f>IF(ISBLANK('Auditoria CEB'!$E$6)," ",'Auditoria CEB'!$E$6)</f>
        <v xml:space="preserve"> </v>
      </c>
      <c r="B192" s="30" t="s">
        <v>161</v>
      </c>
      <c r="C192" s="29" t="str">
        <f>IF(ISBLANK('Auditoria CEB'!B221)," ",+'Auditoria CEB'!B221)</f>
        <v xml:space="preserve"> </v>
      </c>
      <c r="D192" s="29" t="str">
        <f>IF(ISBLANK('Auditoria CEB'!D221)," ",+'Auditoria CEB'!D221)</f>
        <v xml:space="preserve"> </v>
      </c>
      <c r="E192" s="29" t="str">
        <f>IF(ISBLANK('Auditoria CEB'!E221)," ",+'Auditoria CEB'!E221)</f>
        <v xml:space="preserve"> </v>
      </c>
      <c r="F192" s="30" t="str">
        <f>IF(ISBLANK('Auditoria CEB'!F201)," ",+'Auditoria CEB'!F201)</f>
        <v xml:space="preserve"> </v>
      </c>
      <c r="G192" s="30" t="str">
        <f>IF(ISBLANK('Auditoria CEB'!I221)," ",+'Auditoria CEB'!I221)</f>
        <v xml:space="preserve"> </v>
      </c>
      <c r="H192" s="30" t="str">
        <f>IF(ISBLANK('Auditoria CEB'!AR221)," ",+'Auditoria CEB'!AR221)</f>
        <v xml:space="preserve"> </v>
      </c>
      <c r="I192" s="45" t="str">
        <f>IF(ISBLANK('Auditoria CEB'!K221)," ",+'Auditoria CEB'!K221)</f>
        <v xml:space="preserve"> </v>
      </c>
      <c r="J192" s="30" t="str">
        <f>IF(ISBLANK('Auditoria CEB'!AM221)," ",+'Auditoria CEB'!AM221)</f>
        <v xml:space="preserve"> </v>
      </c>
    </row>
    <row r="193" spans="1:10">
      <c r="A193" s="30" t="str">
        <f>IF(ISBLANK('Auditoria CEB'!$E$6)," ",'Auditoria CEB'!$E$6)</f>
        <v xml:space="preserve"> </v>
      </c>
      <c r="B193" s="30" t="s">
        <v>161</v>
      </c>
      <c r="C193" s="29" t="str">
        <f>IF(ISBLANK('Auditoria CEB'!B222)," ",+'Auditoria CEB'!B222)</f>
        <v xml:space="preserve"> </v>
      </c>
      <c r="D193" s="29" t="str">
        <f>IF(ISBLANK('Auditoria CEB'!D222)," ",+'Auditoria CEB'!D222)</f>
        <v xml:space="preserve"> </v>
      </c>
      <c r="E193" s="29" t="str">
        <f>IF(ISBLANK('Auditoria CEB'!E222)," ",+'Auditoria CEB'!E222)</f>
        <v xml:space="preserve"> </v>
      </c>
      <c r="F193" s="30" t="str">
        <f>IF(ISBLANK('Auditoria CEB'!F202)," ",+'Auditoria CEB'!F202)</f>
        <v xml:space="preserve"> </v>
      </c>
      <c r="G193" s="30" t="str">
        <f>IF(ISBLANK('Auditoria CEB'!I222)," ",+'Auditoria CEB'!I222)</f>
        <v xml:space="preserve"> </v>
      </c>
      <c r="H193" s="30" t="str">
        <f>IF(ISBLANK('Auditoria CEB'!AR222)," ",+'Auditoria CEB'!AR222)</f>
        <v xml:space="preserve"> </v>
      </c>
      <c r="I193" s="45" t="str">
        <f>IF(ISBLANK('Auditoria CEB'!K222)," ",+'Auditoria CEB'!K222)</f>
        <v xml:space="preserve"> </v>
      </c>
      <c r="J193" s="30" t="str">
        <f>IF(ISBLANK('Auditoria CEB'!AM222)," ",+'Auditoria CEB'!AM222)</f>
        <v xml:space="preserve"> </v>
      </c>
    </row>
    <row r="194" spans="1:10">
      <c r="A194" s="30" t="str">
        <f>IF(ISBLANK('Auditoria CEB'!$E$6)," ",'Auditoria CEB'!$E$6)</f>
        <v xml:space="preserve"> </v>
      </c>
      <c r="B194" s="30" t="s">
        <v>161</v>
      </c>
      <c r="C194" s="29" t="str">
        <f>IF(ISBLANK('Auditoria CEB'!B223)," ",+'Auditoria CEB'!B223)</f>
        <v xml:space="preserve"> </v>
      </c>
      <c r="D194" s="29" t="str">
        <f>IF(ISBLANK('Auditoria CEB'!D223)," ",+'Auditoria CEB'!D223)</f>
        <v xml:space="preserve"> </v>
      </c>
      <c r="E194" s="29" t="str">
        <f>IF(ISBLANK('Auditoria CEB'!E223)," ",+'Auditoria CEB'!E223)</f>
        <v xml:space="preserve"> </v>
      </c>
      <c r="F194" s="30" t="str">
        <f>IF(ISBLANK('Auditoria CEB'!F203)," ",+'Auditoria CEB'!F203)</f>
        <v xml:space="preserve"> </v>
      </c>
      <c r="G194" s="30" t="str">
        <f>IF(ISBLANK('Auditoria CEB'!I223)," ",+'Auditoria CEB'!I223)</f>
        <v xml:space="preserve"> </v>
      </c>
      <c r="H194" s="30" t="str">
        <f>IF(ISBLANK('Auditoria CEB'!AR223)," ",+'Auditoria CEB'!AR223)</f>
        <v xml:space="preserve"> </v>
      </c>
      <c r="I194" s="45" t="str">
        <f>IF(ISBLANK('Auditoria CEB'!K223)," ",+'Auditoria CEB'!K223)</f>
        <v xml:space="preserve"> </v>
      </c>
      <c r="J194" s="30" t="str">
        <f>IF(ISBLANK('Auditoria CEB'!AM223)," ",+'Auditoria CEB'!AM223)</f>
        <v xml:space="preserve"> </v>
      </c>
    </row>
    <row r="195" spans="1:10">
      <c r="A195" s="30" t="str">
        <f>IF(ISBLANK('Auditoria CEB'!$E$6)," ",'Auditoria CEB'!$E$6)</f>
        <v xml:space="preserve"> </v>
      </c>
      <c r="B195" s="30" t="s">
        <v>161</v>
      </c>
      <c r="C195" s="29" t="str">
        <f>IF(ISBLANK('Auditoria CEB'!B224)," ",+'Auditoria CEB'!B224)</f>
        <v xml:space="preserve"> </v>
      </c>
      <c r="D195" s="29" t="str">
        <f>IF(ISBLANK('Auditoria CEB'!D224)," ",+'Auditoria CEB'!D224)</f>
        <v xml:space="preserve"> </v>
      </c>
      <c r="E195" s="29" t="str">
        <f>IF(ISBLANK('Auditoria CEB'!E224)," ",+'Auditoria CEB'!E224)</f>
        <v xml:space="preserve"> </v>
      </c>
      <c r="F195" s="30" t="str">
        <f>IF(ISBLANK('Auditoria CEB'!F204)," ",+'Auditoria CEB'!F204)</f>
        <v xml:space="preserve"> </v>
      </c>
      <c r="G195" s="30" t="str">
        <f>IF(ISBLANK('Auditoria CEB'!I224)," ",+'Auditoria CEB'!I224)</f>
        <v xml:space="preserve"> </v>
      </c>
      <c r="H195" s="30" t="str">
        <f>IF(ISBLANK('Auditoria CEB'!AR224)," ",+'Auditoria CEB'!AR224)</f>
        <v xml:space="preserve"> </v>
      </c>
      <c r="I195" s="45" t="str">
        <f>IF(ISBLANK('Auditoria CEB'!K224)," ",+'Auditoria CEB'!K224)</f>
        <v xml:space="preserve"> </v>
      </c>
      <c r="J195" s="30" t="str">
        <f>IF(ISBLANK('Auditoria CEB'!AM224)," ",+'Auditoria CEB'!AM224)</f>
        <v xml:space="preserve"> </v>
      </c>
    </row>
    <row r="196" spans="1:10">
      <c r="A196" s="30" t="str">
        <f>IF(ISBLANK('Auditoria CEB'!$E$6)," ",'Auditoria CEB'!$E$6)</f>
        <v xml:space="preserve"> </v>
      </c>
      <c r="B196" s="30" t="s">
        <v>161</v>
      </c>
      <c r="C196" s="29" t="str">
        <f>IF(ISBLANK('Auditoria CEB'!B225)," ",+'Auditoria CEB'!B225)</f>
        <v xml:space="preserve"> </v>
      </c>
      <c r="D196" s="29" t="str">
        <f>IF(ISBLANK('Auditoria CEB'!D225)," ",+'Auditoria CEB'!D225)</f>
        <v xml:space="preserve"> </v>
      </c>
      <c r="E196" s="29" t="str">
        <f>IF(ISBLANK('Auditoria CEB'!E225)," ",+'Auditoria CEB'!E225)</f>
        <v xml:space="preserve"> </v>
      </c>
      <c r="F196" s="30" t="str">
        <f>IF(ISBLANK('Auditoria CEB'!F205)," ",+'Auditoria CEB'!F205)</f>
        <v xml:space="preserve"> </v>
      </c>
      <c r="G196" s="30" t="str">
        <f>IF(ISBLANK('Auditoria CEB'!I225)," ",+'Auditoria CEB'!I225)</f>
        <v xml:space="preserve"> </v>
      </c>
      <c r="H196" s="30" t="str">
        <f>IF(ISBLANK('Auditoria CEB'!AR225)," ",+'Auditoria CEB'!AR225)</f>
        <v xml:space="preserve"> </v>
      </c>
      <c r="I196" s="45" t="str">
        <f>IF(ISBLANK('Auditoria CEB'!K225)," ",+'Auditoria CEB'!K225)</f>
        <v xml:space="preserve"> </v>
      </c>
      <c r="J196" s="30" t="str">
        <f>IF(ISBLANK('Auditoria CEB'!AM225)," ",+'Auditoria CEB'!AM225)</f>
        <v xml:space="preserve"> </v>
      </c>
    </row>
    <row r="197" spans="1:10">
      <c r="A197" s="30" t="str">
        <f>IF(ISBLANK('Auditoria CEB'!$E$6)," ",'Auditoria CEB'!$E$6)</f>
        <v xml:space="preserve"> </v>
      </c>
      <c r="B197" s="30" t="s">
        <v>161</v>
      </c>
      <c r="C197" s="29" t="str">
        <f>IF(ISBLANK('Auditoria CEB'!B226)," ",+'Auditoria CEB'!B226)</f>
        <v xml:space="preserve"> </v>
      </c>
      <c r="D197" s="29" t="str">
        <f>IF(ISBLANK('Auditoria CEB'!D226)," ",+'Auditoria CEB'!D226)</f>
        <v xml:space="preserve"> </v>
      </c>
      <c r="E197" s="29" t="str">
        <f>IF(ISBLANK('Auditoria CEB'!E226)," ",+'Auditoria CEB'!E226)</f>
        <v xml:space="preserve"> </v>
      </c>
      <c r="F197" s="30" t="str">
        <f>IF(ISBLANK('Auditoria CEB'!F206)," ",+'Auditoria CEB'!F206)</f>
        <v xml:space="preserve"> </v>
      </c>
      <c r="G197" s="30" t="str">
        <f>IF(ISBLANK('Auditoria CEB'!I226)," ",+'Auditoria CEB'!I226)</f>
        <v xml:space="preserve"> </v>
      </c>
      <c r="H197" s="30" t="str">
        <f>IF(ISBLANK('Auditoria CEB'!AR226)," ",+'Auditoria CEB'!AR226)</f>
        <v xml:space="preserve"> </v>
      </c>
      <c r="I197" s="45" t="str">
        <f>IF(ISBLANK('Auditoria CEB'!K226)," ",+'Auditoria CEB'!K226)</f>
        <v xml:space="preserve"> </v>
      </c>
      <c r="J197" s="30" t="str">
        <f>IF(ISBLANK('Auditoria CEB'!AM226)," ",+'Auditoria CEB'!AM226)</f>
        <v xml:space="preserve"> </v>
      </c>
    </row>
    <row r="198" spans="1:10">
      <c r="A198" s="30" t="str">
        <f>IF(ISBLANK('Auditoria CEB'!$E$6)," ",'Auditoria CEB'!$E$6)</f>
        <v xml:space="preserve"> </v>
      </c>
      <c r="B198" s="30" t="s">
        <v>161</v>
      </c>
      <c r="C198" s="29" t="str">
        <f>IF(ISBLANK('Auditoria CEB'!B227)," ",+'Auditoria CEB'!B227)</f>
        <v xml:space="preserve"> </v>
      </c>
      <c r="D198" s="29" t="str">
        <f>IF(ISBLANK('Auditoria CEB'!D227)," ",+'Auditoria CEB'!D227)</f>
        <v xml:space="preserve"> </v>
      </c>
      <c r="E198" s="29" t="str">
        <f>IF(ISBLANK('Auditoria CEB'!E227)," ",+'Auditoria CEB'!E227)</f>
        <v xml:space="preserve"> </v>
      </c>
      <c r="F198" s="30" t="str">
        <f>IF(ISBLANK('Auditoria CEB'!F207)," ",+'Auditoria CEB'!F207)</f>
        <v xml:space="preserve"> </v>
      </c>
      <c r="G198" s="30" t="str">
        <f>IF(ISBLANK('Auditoria CEB'!I227)," ",+'Auditoria CEB'!I227)</f>
        <v xml:space="preserve"> </v>
      </c>
      <c r="H198" s="30" t="str">
        <f>IF(ISBLANK('Auditoria CEB'!AR227)," ",+'Auditoria CEB'!AR227)</f>
        <v xml:space="preserve"> </v>
      </c>
      <c r="I198" s="45" t="str">
        <f>IF(ISBLANK('Auditoria CEB'!K227)," ",+'Auditoria CEB'!K227)</f>
        <v xml:space="preserve"> </v>
      </c>
      <c r="J198" s="30" t="str">
        <f>IF(ISBLANK('Auditoria CEB'!AM227)," ",+'Auditoria CEB'!AM227)</f>
        <v xml:space="preserve"> </v>
      </c>
    </row>
    <row r="199" spans="1:10">
      <c r="A199" s="30" t="str">
        <f>IF(ISBLANK('Auditoria CEB'!$E$6)," ",'Auditoria CEB'!$E$6)</f>
        <v xml:space="preserve"> </v>
      </c>
      <c r="B199" s="30" t="s">
        <v>161</v>
      </c>
      <c r="C199" s="29" t="str">
        <f>IF(ISBLANK('Auditoria CEB'!B228)," ",+'Auditoria CEB'!B228)</f>
        <v xml:space="preserve"> </v>
      </c>
      <c r="D199" s="29" t="str">
        <f>IF(ISBLANK('Auditoria CEB'!D228)," ",+'Auditoria CEB'!D228)</f>
        <v xml:space="preserve"> </v>
      </c>
      <c r="E199" s="29" t="str">
        <f>IF(ISBLANK('Auditoria CEB'!E228)," ",+'Auditoria CEB'!E228)</f>
        <v xml:space="preserve"> </v>
      </c>
      <c r="F199" s="30" t="str">
        <f>IF(ISBLANK('Auditoria CEB'!F208)," ",+'Auditoria CEB'!F208)</f>
        <v xml:space="preserve"> </v>
      </c>
      <c r="G199" s="30" t="str">
        <f>IF(ISBLANK('Auditoria CEB'!I228)," ",+'Auditoria CEB'!I228)</f>
        <v xml:space="preserve"> </v>
      </c>
      <c r="H199" s="30" t="str">
        <f>IF(ISBLANK('Auditoria CEB'!AR228)," ",+'Auditoria CEB'!AR228)</f>
        <v xml:space="preserve"> </v>
      </c>
      <c r="I199" s="45" t="str">
        <f>IF(ISBLANK('Auditoria CEB'!K228)," ",+'Auditoria CEB'!K228)</f>
        <v xml:space="preserve"> </v>
      </c>
      <c r="J199" s="30" t="str">
        <f>IF(ISBLANK('Auditoria CEB'!AM228)," ",+'Auditoria CEB'!AM228)</f>
        <v xml:space="preserve"> </v>
      </c>
    </row>
    <row r="200" spans="1:10">
      <c r="A200" s="30" t="str">
        <f>IF(ISBLANK('Auditoria CEB'!$E$6)," ",'Auditoria CEB'!$E$6)</f>
        <v xml:space="preserve"> </v>
      </c>
      <c r="B200" s="30" t="s">
        <v>161</v>
      </c>
      <c r="C200" s="29" t="str">
        <f>IF(ISBLANK('Auditoria CEB'!B229)," ",+'Auditoria CEB'!B229)</f>
        <v xml:space="preserve"> </v>
      </c>
      <c r="D200" s="29" t="str">
        <f>IF(ISBLANK('Auditoria CEB'!D229)," ",+'Auditoria CEB'!D229)</f>
        <v xml:space="preserve"> </v>
      </c>
      <c r="E200" s="29" t="str">
        <f>IF(ISBLANK('Auditoria CEB'!E229)," ",+'Auditoria CEB'!E229)</f>
        <v xml:space="preserve"> </v>
      </c>
      <c r="F200" s="30" t="str">
        <f>IF(ISBLANK('Auditoria CEB'!F209)," ",+'Auditoria CEB'!F209)</f>
        <v xml:space="preserve"> </v>
      </c>
      <c r="G200" s="30" t="str">
        <f>IF(ISBLANK('Auditoria CEB'!I229)," ",+'Auditoria CEB'!I229)</f>
        <v xml:space="preserve"> </v>
      </c>
      <c r="H200" s="30" t="str">
        <f>IF(ISBLANK('Auditoria CEB'!AR229)," ",+'Auditoria CEB'!AR229)</f>
        <v xml:space="preserve"> </v>
      </c>
      <c r="I200" s="45" t="str">
        <f>IF(ISBLANK('Auditoria CEB'!K229)," ",+'Auditoria CEB'!K229)</f>
        <v xml:space="preserve"> </v>
      </c>
      <c r="J200" s="30" t="str">
        <f>IF(ISBLANK('Auditoria CEB'!AM229)," ",+'Auditoria CEB'!AM229)</f>
        <v xml:space="preserve"> </v>
      </c>
    </row>
    <row r="201" spans="1:10">
      <c r="A201" s="30" t="str">
        <f>IF(ISBLANK('Auditoria CEB'!$E$6)," ",'Auditoria CEB'!$E$6)</f>
        <v xml:space="preserve"> </v>
      </c>
      <c r="B201" s="30" t="s">
        <v>161</v>
      </c>
      <c r="C201" s="29" t="str">
        <f>IF(ISBLANK('Auditoria CEB'!B230)," ",+'Auditoria CEB'!B230)</f>
        <v xml:space="preserve"> </v>
      </c>
      <c r="D201" s="29" t="str">
        <f>IF(ISBLANK('Auditoria CEB'!D230)," ",+'Auditoria CEB'!D230)</f>
        <v xml:space="preserve"> </v>
      </c>
      <c r="E201" s="29" t="str">
        <f>IF(ISBLANK('Auditoria CEB'!E230)," ",+'Auditoria CEB'!E230)</f>
        <v xml:space="preserve"> </v>
      </c>
      <c r="F201" s="30" t="str">
        <f>IF(ISBLANK('Auditoria CEB'!F210)," ",+'Auditoria CEB'!F210)</f>
        <v xml:space="preserve"> </v>
      </c>
      <c r="G201" s="30" t="str">
        <f>IF(ISBLANK('Auditoria CEB'!I230)," ",+'Auditoria CEB'!I230)</f>
        <v xml:space="preserve"> </v>
      </c>
      <c r="H201" s="30" t="str">
        <f>IF(ISBLANK('Auditoria CEB'!AR230)," ",+'Auditoria CEB'!AR230)</f>
        <v xml:space="preserve"> </v>
      </c>
      <c r="I201" s="45" t="str">
        <f>IF(ISBLANK('Auditoria CEB'!K230)," ",+'Auditoria CEB'!K230)</f>
        <v xml:space="preserve"> </v>
      </c>
      <c r="J201" s="30" t="str">
        <f>IF(ISBLANK('Auditoria CEB'!AM230)," ",+'Auditoria CEB'!AM230)</f>
        <v xml:space="preserve"> </v>
      </c>
    </row>
    <row r="202" spans="1:10">
      <c r="A202" s="30" t="str">
        <f>IF(ISBLANK('Auditoria CEB'!$E$6)," ",'Auditoria CEB'!$E$6)</f>
        <v xml:space="preserve"> </v>
      </c>
      <c r="B202" s="30" t="s">
        <v>161</v>
      </c>
      <c r="C202" s="29" t="str">
        <f>IF(ISBLANK('Auditoria CEB'!B231)," ",+'Auditoria CEB'!B231)</f>
        <v xml:space="preserve"> </v>
      </c>
      <c r="D202" s="29" t="str">
        <f>IF(ISBLANK('Auditoria CEB'!D231)," ",+'Auditoria CEB'!D231)</f>
        <v xml:space="preserve"> </v>
      </c>
      <c r="E202" s="29" t="str">
        <f>IF(ISBLANK('Auditoria CEB'!E231)," ",+'Auditoria CEB'!E231)</f>
        <v xml:space="preserve"> </v>
      </c>
      <c r="F202" s="30" t="str">
        <f>IF(ISBLANK('Auditoria CEB'!F211)," ",+'Auditoria CEB'!F211)</f>
        <v xml:space="preserve"> </v>
      </c>
      <c r="G202" s="30" t="str">
        <f>IF(ISBLANK('Auditoria CEB'!I231)," ",+'Auditoria CEB'!I231)</f>
        <v xml:space="preserve"> </v>
      </c>
      <c r="H202" s="30" t="str">
        <f>IF(ISBLANK('Auditoria CEB'!AR231)," ",+'Auditoria CEB'!AR231)</f>
        <v xml:space="preserve"> </v>
      </c>
      <c r="I202" s="45" t="str">
        <f>IF(ISBLANK('Auditoria CEB'!K231)," ",+'Auditoria CEB'!K231)</f>
        <v xml:space="preserve"> </v>
      </c>
      <c r="J202" s="30" t="str">
        <f>IF(ISBLANK('Auditoria CEB'!AM231)," ",+'Auditoria CEB'!AM231)</f>
        <v xml:space="preserve"> </v>
      </c>
    </row>
    <row r="203" spans="1:10">
      <c r="A203" s="30" t="str">
        <f>IF(ISBLANK('Auditoria CEB'!$E$6)," ",'Auditoria CEB'!$E$6)</f>
        <v xml:space="preserve"> </v>
      </c>
      <c r="B203" s="30" t="s">
        <v>161</v>
      </c>
      <c r="C203" s="29" t="str">
        <f>IF(ISBLANK('Auditoria CEB'!B232)," ",+'Auditoria CEB'!B232)</f>
        <v xml:space="preserve"> </v>
      </c>
      <c r="D203" s="29" t="str">
        <f>IF(ISBLANK('Auditoria CEB'!D232)," ",+'Auditoria CEB'!D232)</f>
        <v xml:space="preserve"> </v>
      </c>
      <c r="E203" s="29" t="str">
        <f>IF(ISBLANK('Auditoria CEB'!E232)," ",+'Auditoria CEB'!E232)</f>
        <v xml:space="preserve"> </v>
      </c>
      <c r="F203" s="30" t="str">
        <f>IF(ISBLANK('Auditoria CEB'!F212)," ",+'Auditoria CEB'!F212)</f>
        <v xml:space="preserve"> </v>
      </c>
      <c r="G203" s="30" t="str">
        <f>IF(ISBLANK('Auditoria CEB'!I232)," ",+'Auditoria CEB'!I232)</f>
        <v xml:space="preserve"> </v>
      </c>
      <c r="H203" s="30" t="str">
        <f>IF(ISBLANK('Auditoria CEB'!AR232)," ",+'Auditoria CEB'!AR232)</f>
        <v xml:space="preserve"> </v>
      </c>
      <c r="I203" s="45" t="str">
        <f>IF(ISBLANK('Auditoria CEB'!K232)," ",+'Auditoria CEB'!K232)</f>
        <v xml:space="preserve"> </v>
      </c>
      <c r="J203" s="30" t="str">
        <f>IF(ISBLANK('Auditoria CEB'!AM232)," ",+'Auditoria CEB'!AM232)</f>
        <v xml:space="preserve"> </v>
      </c>
    </row>
    <row r="204" spans="1:10">
      <c r="A204" s="30" t="str">
        <f>IF(ISBLANK('Auditoria CEB'!$E$6)," ",'Auditoria CEB'!$E$6)</f>
        <v xml:space="preserve"> </v>
      </c>
      <c r="B204" s="30" t="s">
        <v>161</v>
      </c>
      <c r="C204" s="29" t="str">
        <f>IF(ISBLANK('Auditoria CEB'!B233)," ",+'Auditoria CEB'!B233)</f>
        <v xml:space="preserve"> </v>
      </c>
      <c r="D204" s="29" t="str">
        <f>IF(ISBLANK('Auditoria CEB'!D233)," ",+'Auditoria CEB'!D233)</f>
        <v xml:space="preserve"> </v>
      </c>
      <c r="E204" s="29" t="str">
        <f>IF(ISBLANK('Auditoria CEB'!E233)," ",+'Auditoria CEB'!E233)</f>
        <v xml:space="preserve"> </v>
      </c>
      <c r="F204" s="30" t="str">
        <f>IF(ISBLANK('Auditoria CEB'!F213)," ",+'Auditoria CEB'!F213)</f>
        <v xml:space="preserve"> </v>
      </c>
      <c r="G204" s="30" t="str">
        <f>IF(ISBLANK('Auditoria CEB'!I233)," ",+'Auditoria CEB'!I233)</f>
        <v xml:space="preserve"> </v>
      </c>
      <c r="H204" s="30" t="str">
        <f>IF(ISBLANK('Auditoria CEB'!AR233)," ",+'Auditoria CEB'!AR233)</f>
        <v xml:space="preserve"> </v>
      </c>
      <c r="I204" s="45" t="str">
        <f>IF(ISBLANK('Auditoria CEB'!K233)," ",+'Auditoria CEB'!K233)</f>
        <v xml:space="preserve"> </v>
      </c>
      <c r="J204" s="30" t="str">
        <f>IF(ISBLANK('Auditoria CEB'!AM233)," ",+'Auditoria CEB'!AM233)</f>
        <v xml:space="preserve"> </v>
      </c>
    </row>
    <row r="205" spans="1:10">
      <c r="A205" s="30" t="str">
        <f>IF(ISBLANK('Auditoria CEB'!$E$6)," ",'Auditoria CEB'!$E$6)</f>
        <v xml:space="preserve"> </v>
      </c>
      <c r="B205" s="30" t="s">
        <v>161</v>
      </c>
      <c r="C205" s="29" t="str">
        <f>IF(ISBLANK('Auditoria CEB'!B234)," ",+'Auditoria CEB'!B234)</f>
        <v xml:space="preserve"> </v>
      </c>
      <c r="D205" s="29" t="str">
        <f>IF(ISBLANK('Auditoria CEB'!D234)," ",+'Auditoria CEB'!D234)</f>
        <v xml:space="preserve"> </v>
      </c>
      <c r="E205" s="29" t="str">
        <f>IF(ISBLANK('Auditoria CEB'!E234)," ",+'Auditoria CEB'!E234)</f>
        <v xml:space="preserve"> </v>
      </c>
      <c r="F205" s="30" t="str">
        <f>IF(ISBLANK('Auditoria CEB'!F214)," ",+'Auditoria CEB'!F214)</f>
        <v xml:space="preserve"> </v>
      </c>
      <c r="G205" s="30" t="str">
        <f>IF(ISBLANK('Auditoria CEB'!I234)," ",+'Auditoria CEB'!I234)</f>
        <v xml:space="preserve"> </v>
      </c>
      <c r="H205" s="30" t="str">
        <f>IF(ISBLANK('Auditoria CEB'!AR234)," ",+'Auditoria CEB'!AR234)</f>
        <v xml:space="preserve"> </v>
      </c>
      <c r="I205" s="45" t="str">
        <f>IF(ISBLANK('Auditoria CEB'!K234)," ",+'Auditoria CEB'!K234)</f>
        <v xml:space="preserve"> </v>
      </c>
      <c r="J205" s="30" t="str">
        <f>IF(ISBLANK('Auditoria CEB'!AM234)," ",+'Auditoria CEB'!AM234)</f>
        <v xml:space="preserve"> </v>
      </c>
    </row>
    <row r="206" spans="1:10">
      <c r="A206" s="30" t="str">
        <f>IF(ISBLANK('Auditoria CEB'!$E$6)," ",'Auditoria CEB'!$E$6)</f>
        <v xml:space="preserve"> </v>
      </c>
      <c r="B206" s="30" t="s">
        <v>161</v>
      </c>
      <c r="C206" s="29" t="str">
        <f>IF(ISBLANK('Auditoria CEB'!B235)," ",+'Auditoria CEB'!B235)</f>
        <v xml:space="preserve"> </v>
      </c>
      <c r="D206" s="29" t="str">
        <f>IF(ISBLANK('Auditoria CEB'!D235)," ",+'Auditoria CEB'!D235)</f>
        <v xml:space="preserve"> </v>
      </c>
      <c r="E206" s="29" t="str">
        <f>IF(ISBLANK('Auditoria CEB'!E235)," ",+'Auditoria CEB'!E235)</f>
        <v xml:space="preserve"> </v>
      </c>
      <c r="F206" s="30" t="str">
        <f>IF(ISBLANK('Auditoria CEB'!F215)," ",+'Auditoria CEB'!F215)</f>
        <v xml:space="preserve"> </v>
      </c>
      <c r="G206" s="30" t="str">
        <f>IF(ISBLANK('Auditoria CEB'!I235)," ",+'Auditoria CEB'!I235)</f>
        <v xml:space="preserve"> </v>
      </c>
      <c r="H206" s="30" t="str">
        <f>IF(ISBLANK('Auditoria CEB'!AR235)," ",+'Auditoria CEB'!AR235)</f>
        <v xml:space="preserve"> </v>
      </c>
      <c r="I206" s="45" t="str">
        <f>IF(ISBLANK('Auditoria CEB'!K235)," ",+'Auditoria CEB'!K235)</f>
        <v xml:space="preserve"> </v>
      </c>
      <c r="J206" s="30" t="str">
        <f>IF(ISBLANK('Auditoria CEB'!AM235)," ",+'Auditoria CEB'!AM235)</f>
        <v xml:space="preserve"> </v>
      </c>
    </row>
    <row r="207" spans="1:10">
      <c r="A207" s="30" t="str">
        <f>IF(ISBLANK('Auditoria CEB'!$E$6)," ",'Auditoria CEB'!$E$6)</f>
        <v xml:space="preserve"> </v>
      </c>
      <c r="B207" s="30" t="s">
        <v>161</v>
      </c>
      <c r="C207" s="29" t="str">
        <f>IF(ISBLANK('Auditoria CEB'!B236)," ",+'Auditoria CEB'!B236)</f>
        <v xml:space="preserve"> </v>
      </c>
      <c r="D207" s="29" t="str">
        <f>IF(ISBLANK('Auditoria CEB'!D236)," ",+'Auditoria CEB'!D236)</f>
        <v xml:space="preserve"> </v>
      </c>
      <c r="E207" s="29" t="str">
        <f>IF(ISBLANK('Auditoria CEB'!E236)," ",+'Auditoria CEB'!E236)</f>
        <v xml:space="preserve"> </v>
      </c>
      <c r="F207" s="30" t="str">
        <f>IF(ISBLANK('Auditoria CEB'!F216)," ",+'Auditoria CEB'!F216)</f>
        <v xml:space="preserve"> </v>
      </c>
      <c r="G207" s="30" t="str">
        <f>IF(ISBLANK('Auditoria CEB'!I236)," ",+'Auditoria CEB'!I236)</f>
        <v xml:space="preserve"> </v>
      </c>
      <c r="H207" s="30" t="str">
        <f>IF(ISBLANK('Auditoria CEB'!AR236)," ",+'Auditoria CEB'!AR236)</f>
        <v xml:space="preserve"> </v>
      </c>
      <c r="I207" s="45" t="str">
        <f>IF(ISBLANK('Auditoria CEB'!K236)," ",+'Auditoria CEB'!K236)</f>
        <v xml:space="preserve"> </v>
      </c>
      <c r="J207" s="30" t="str">
        <f>IF(ISBLANK('Auditoria CEB'!AM236)," ",+'Auditoria CEB'!AM236)</f>
        <v xml:space="preserve"> </v>
      </c>
    </row>
    <row r="208" spans="1:10">
      <c r="A208" s="30" t="str">
        <f>IF(ISBLANK('Auditoria CEB'!$E$6)," ",'Auditoria CEB'!$E$6)</f>
        <v xml:space="preserve"> </v>
      </c>
      <c r="B208" s="30" t="s">
        <v>161</v>
      </c>
      <c r="C208" s="29" t="str">
        <f>IF(ISBLANK('Auditoria CEB'!B237)," ",+'Auditoria CEB'!B237)</f>
        <v xml:space="preserve"> </v>
      </c>
      <c r="D208" s="29" t="str">
        <f>IF(ISBLANK('Auditoria CEB'!D237)," ",+'Auditoria CEB'!D237)</f>
        <v xml:space="preserve"> </v>
      </c>
      <c r="E208" s="29" t="str">
        <f>IF(ISBLANK('Auditoria CEB'!E237)," ",+'Auditoria CEB'!E237)</f>
        <v xml:space="preserve"> </v>
      </c>
      <c r="F208" s="30" t="str">
        <f>IF(ISBLANK('Auditoria CEB'!F217)," ",+'Auditoria CEB'!F217)</f>
        <v xml:space="preserve"> </v>
      </c>
      <c r="G208" s="30" t="str">
        <f>IF(ISBLANK('Auditoria CEB'!I237)," ",+'Auditoria CEB'!I237)</f>
        <v xml:space="preserve"> </v>
      </c>
      <c r="H208" s="30" t="str">
        <f>IF(ISBLANK('Auditoria CEB'!AR237)," ",+'Auditoria CEB'!AR237)</f>
        <v xml:space="preserve"> </v>
      </c>
      <c r="I208" s="45" t="str">
        <f>IF(ISBLANK('Auditoria CEB'!K237)," ",+'Auditoria CEB'!K237)</f>
        <v xml:space="preserve"> </v>
      </c>
      <c r="J208" s="30" t="str">
        <f>IF(ISBLANK('Auditoria CEB'!AM237)," ",+'Auditoria CEB'!AM237)</f>
        <v xml:space="preserve"> </v>
      </c>
    </row>
    <row r="209" spans="1:10">
      <c r="A209" s="30" t="str">
        <f>IF(ISBLANK('Auditoria CEB'!$E$6)," ",'Auditoria CEB'!$E$6)</f>
        <v xml:space="preserve"> </v>
      </c>
      <c r="B209" s="30" t="s">
        <v>161</v>
      </c>
      <c r="C209" s="29" t="str">
        <f>IF(ISBLANK('Auditoria CEB'!B238)," ",+'Auditoria CEB'!B238)</f>
        <v xml:space="preserve"> </v>
      </c>
      <c r="D209" s="29" t="str">
        <f>IF(ISBLANK('Auditoria CEB'!D238)," ",+'Auditoria CEB'!D238)</f>
        <v xml:space="preserve"> </v>
      </c>
      <c r="E209" s="29" t="str">
        <f>IF(ISBLANK('Auditoria CEB'!E238)," ",+'Auditoria CEB'!E238)</f>
        <v xml:space="preserve"> </v>
      </c>
      <c r="F209" s="30" t="str">
        <f>IF(ISBLANK('Auditoria CEB'!F218)," ",+'Auditoria CEB'!F218)</f>
        <v xml:space="preserve"> </v>
      </c>
      <c r="G209" s="30" t="str">
        <f>IF(ISBLANK('Auditoria CEB'!I238)," ",+'Auditoria CEB'!I238)</f>
        <v xml:space="preserve"> </v>
      </c>
      <c r="H209" s="30" t="str">
        <f>IF(ISBLANK('Auditoria CEB'!AR238)," ",+'Auditoria CEB'!AR238)</f>
        <v xml:space="preserve"> </v>
      </c>
      <c r="I209" s="45" t="str">
        <f>IF(ISBLANK('Auditoria CEB'!K238)," ",+'Auditoria CEB'!K238)</f>
        <v xml:space="preserve"> </v>
      </c>
      <c r="J209" s="30" t="str">
        <f>IF(ISBLANK('Auditoria CEB'!AM238)," ",+'Auditoria CEB'!AM238)</f>
        <v xml:space="preserve"> </v>
      </c>
    </row>
    <row r="210" spans="1:10">
      <c r="A210" s="30" t="str">
        <f>IF(ISBLANK('Auditoria CEB'!$E$6)," ",'Auditoria CEB'!$E$6)</f>
        <v xml:space="preserve"> </v>
      </c>
      <c r="B210" s="30" t="s">
        <v>161</v>
      </c>
      <c r="C210" s="29" t="str">
        <f>IF(ISBLANK('Auditoria CEB'!B239)," ",+'Auditoria CEB'!B239)</f>
        <v xml:space="preserve"> </v>
      </c>
      <c r="D210" s="29" t="str">
        <f>IF(ISBLANK('Auditoria CEB'!D239)," ",+'Auditoria CEB'!D239)</f>
        <v xml:space="preserve"> </v>
      </c>
      <c r="E210" s="29" t="str">
        <f>IF(ISBLANK('Auditoria CEB'!E239)," ",+'Auditoria CEB'!E239)</f>
        <v xml:space="preserve"> </v>
      </c>
      <c r="F210" s="30" t="str">
        <f>IF(ISBLANK('Auditoria CEB'!F219)," ",+'Auditoria CEB'!F219)</f>
        <v xml:space="preserve"> </v>
      </c>
      <c r="G210" s="30" t="str">
        <f>IF(ISBLANK('Auditoria CEB'!I239)," ",+'Auditoria CEB'!I239)</f>
        <v xml:space="preserve"> </v>
      </c>
      <c r="H210" s="30" t="str">
        <f>IF(ISBLANK('Auditoria CEB'!AR239)," ",+'Auditoria CEB'!AR239)</f>
        <v xml:space="preserve"> </v>
      </c>
      <c r="I210" s="45" t="str">
        <f>IF(ISBLANK('Auditoria CEB'!K239)," ",+'Auditoria CEB'!K239)</f>
        <v xml:space="preserve"> </v>
      </c>
      <c r="J210" s="30" t="str">
        <f>IF(ISBLANK('Auditoria CEB'!AM239)," ",+'Auditoria CEB'!AM239)</f>
        <v xml:space="preserve"> </v>
      </c>
    </row>
    <row r="211" spans="1:10">
      <c r="A211" s="30" t="str">
        <f>IF(ISBLANK('Auditoria CEB'!$E$6)," ",'Auditoria CEB'!$E$6)</f>
        <v xml:space="preserve"> </v>
      </c>
      <c r="B211" s="30" t="s">
        <v>161</v>
      </c>
      <c r="C211" s="29" t="str">
        <f>IF(ISBLANK('Auditoria CEB'!B240)," ",+'Auditoria CEB'!B240)</f>
        <v xml:space="preserve"> </v>
      </c>
      <c r="D211" s="29" t="str">
        <f>IF(ISBLANK('Auditoria CEB'!D240)," ",+'Auditoria CEB'!D240)</f>
        <v xml:space="preserve"> </v>
      </c>
      <c r="E211" s="29" t="str">
        <f>IF(ISBLANK('Auditoria CEB'!E240)," ",+'Auditoria CEB'!E240)</f>
        <v xml:space="preserve"> </v>
      </c>
      <c r="F211" s="30" t="str">
        <f>IF(ISBLANK('Auditoria CEB'!F220)," ",+'Auditoria CEB'!F220)</f>
        <v xml:space="preserve"> </v>
      </c>
      <c r="G211" s="30" t="str">
        <f>IF(ISBLANK('Auditoria CEB'!I240)," ",+'Auditoria CEB'!I240)</f>
        <v xml:space="preserve"> </v>
      </c>
      <c r="H211" s="30" t="str">
        <f>IF(ISBLANK('Auditoria CEB'!AR240)," ",+'Auditoria CEB'!AR240)</f>
        <v xml:space="preserve"> </v>
      </c>
      <c r="I211" s="45" t="str">
        <f>IF(ISBLANK('Auditoria CEB'!K240)," ",+'Auditoria CEB'!K240)</f>
        <v xml:space="preserve"> </v>
      </c>
      <c r="J211" s="30" t="str">
        <f>IF(ISBLANK('Auditoria CEB'!AM240)," ",+'Auditoria CEB'!AM240)</f>
        <v xml:space="preserve"> </v>
      </c>
    </row>
    <row r="212" spans="1:10">
      <c r="A212" s="30" t="str">
        <f>IF(ISBLANK('Auditoria CEB'!$E$6)," ",'Auditoria CEB'!$E$6)</f>
        <v xml:space="preserve"> </v>
      </c>
      <c r="B212" s="30" t="s">
        <v>161</v>
      </c>
      <c r="C212" s="29" t="str">
        <f>IF(ISBLANK('Auditoria CEB'!B241)," ",+'Auditoria CEB'!B241)</f>
        <v xml:space="preserve"> </v>
      </c>
      <c r="D212" s="29" t="str">
        <f>IF(ISBLANK('Auditoria CEB'!D241)," ",+'Auditoria CEB'!D241)</f>
        <v xml:space="preserve"> </v>
      </c>
      <c r="E212" s="29" t="str">
        <f>IF(ISBLANK('Auditoria CEB'!E241)," ",+'Auditoria CEB'!E241)</f>
        <v xml:space="preserve"> </v>
      </c>
      <c r="F212" s="30" t="str">
        <f>IF(ISBLANK('Auditoria CEB'!F221)," ",+'Auditoria CEB'!F221)</f>
        <v xml:space="preserve"> </v>
      </c>
      <c r="G212" s="30" t="str">
        <f>IF(ISBLANK('Auditoria CEB'!I241)," ",+'Auditoria CEB'!I241)</f>
        <v xml:space="preserve"> </v>
      </c>
      <c r="H212" s="30" t="str">
        <f>IF(ISBLANK('Auditoria CEB'!AR241)," ",+'Auditoria CEB'!AR241)</f>
        <v xml:space="preserve"> </v>
      </c>
      <c r="I212" s="45" t="str">
        <f>IF(ISBLANK('Auditoria CEB'!K241)," ",+'Auditoria CEB'!K241)</f>
        <v xml:space="preserve"> </v>
      </c>
      <c r="J212" s="30" t="str">
        <f>IF(ISBLANK('Auditoria CEB'!AM241)," ",+'Auditoria CEB'!AM241)</f>
        <v xml:space="preserve"> </v>
      </c>
    </row>
    <row r="213" spans="1:10">
      <c r="A213" s="30" t="str">
        <f>IF(ISBLANK('Auditoria CEB'!$E$6)," ",'Auditoria CEB'!$E$6)</f>
        <v xml:space="preserve"> </v>
      </c>
      <c r="B213" s="30" t="s">
        <v>161</v>
      </c>
      <c r="C213" s="29" t="str">
        <f>IF(ISBLANK('Auditoria CEB'!B242)," ",+'Auditoria CEB'!B242)</f>
        <v xml:space="preserve"> </v>
      </c>
      <c r="D213" s="29" t="str">
        <f>IF(ISBLANK('Auditoria CEB'!D242)," ",+'Auditoria CEB'!D242)</f>
        <v xml:space="preserve"> </v>
      </c>
      <c r="E213" s="29" t="str">
        <f>IF(ISBLANK('Auditoria CEB'!E242)," ",+'Auditoria CEB'!E242)</f>
        <v xml:space="preserve"> </v>
      </c>
      <c r="F213" s="30" t="str">
        <f>IF(ISBLANK('Auditoria CEB'!F222)," ",+'Auditoria CEB'!F222)</f>
        <v xml:space="preserve"> </v>
      </c>
      <c r="G213" s="30" t="str">
        <f>IF(ISBLANK('Auditoria CEB'!I242)," ",+'Auditoria CEB'!I242)</f>
        <v xml:space="preserve"> </v>
      </c>
      <c r="H213" s="30" t="str">
        <f>IF(ISBLANK('Auditoria CEB'!AR242)," ",+'Auditoria CEB'!AR242)</f>
        <v xml:space="preserve"> </v>
      </c>
      <c r="I213" s="45" t="str">
        <f>IF(ISBLANK('Auditoria CEB'!K242)," ",+'Auditoria CEB'!K242)</f>
        <v xml:space="preserve"> </v>
      </c>
      <c r="J213" s="30" t="str">
        <f>IF(ISBLANK('Auditoria CEB'!AM242)," ",+'Auditoria CEB'!AM242)</f>
        <v xml:space="preserve"> </v>
      </c>
    </row>
    <row r="214" spans="1:10">
      <c r="A214" s="30" t="str">
        <f>IF(ISBLANK('Auditoria CEB'!$E$6)," ",'Auditoria CEB'!$E$6)</f>
        <v xml:space="preserve"> </v>
      </c>
      <c r="B214" s="30" t="s">
        <v>161</v>
      </c>
      <c r="C214" s="29" t="str">
        <f>IF(ISBLANK('Auditoria CEB'!B243)," ",+'Auditoria CEB'!B243)</f>
        <v xml:space="preserve"> </v>
      </c>
      <c r="D214" s="29" t="str">
        <f>IF(ISBLANK('Auditoria CEB'!D243)," ",+'Auditoria CEB'!D243)</f>
        <v xml:space="preserve"> </v>
      </c>
      <c r="E214" s="29" t="str">
        <f>IF(ISBLANK('Auditoria CEB'!E243)," ",+'Auditoria CEB'!E243)</f>
        <v xml:space="preserve"> </v>
      </c>
      <c r="F214" s="30" t="str">
        <f>IF(ISBLANK('Auditoria CEB'!F223)," ",+'Auditoria CEB'!F223)</f>
        <v xml:space="preserve"> </v>
      </c>
      <c r="G214" s="30" t="str">
        <f>IF(ISBLANK('Auditoria CEB'!I243)," ",+'Auditoria CEB'!I243)</f>
        <v xml:space="preserve"> </v>
      </c>
      <c r="H214" s="30" t="str">
        <f>IF(ISBLANK('Auditoria CEB'!AR243)," ",+'Auditoria CEB'!AR243)</f>
        <v xml:space="preserve"> </v>
      </c>
      <c r="I214" s="45" t="str">
        <f>IF(ISBLANK('Auditoria CEB'!K243)," ",+'Auditoria CEB'!K243)</f>
        <v xml:space="preserve"> </v>
      </c>
      <c r="J214" s="30" t="str">
        <f>IF(ISBLANK('Auditoria CEB'!AM243)," ",+'Auditoria CEB'!AM243)</f>
        <v xml:space="preserve"> </v>
      </c>
    </row>
    <row r="215" spans="1:10">
      <c r="A215" s="30" t="str">
        <f>IF(ISBLANK('Auditoria CEB'!$E$6)," ",'Auditoria CEB'!$E$6)</f>
        <v xml:space="preserve"> </v>
      </c>
      <c r="B215" s="30" t="s">
        <v>161</v>
      </c>
      <c r="C215" s="29" t="str">
        <f>IF(ISBLANK('Auditoria CEB'!B244)," ",+'Auditoria CEB'!B244)</f>
        <v xml:space="preserve"> </v>
      </c>
      <c r="D215" s="29" t="str">
        <f>IF(ISBLANK('Auditoria CEB'!D244)," ",+'Auditoria CEB'!D244)</f>
        <v xml:space="preserve"> </v>
      </c>
      <c r="E215" s="29" t="str">
        <f>IF(ISBLANK('Auditoria CEB'!E244)," ",+'Auditoria CEB'!E244)</f>
        <v xml:space="preserve"> </v>
      </c>
      <c r="F215" s="30" t="str">
        <f>IF(ISBLANK('Auditoria CEB'!F224)," ",+'Auditoria CEB'!F224)</f>
        <v xml:space="preserve"> </v>
      </c>
      <c r="G215" s="30" t="str">
        <f>IF(ISBLANK('Auditoria CEB'!I244)," ",+'Auditoria CEB'!I244)</f>
        <v xml:space="preserve"> </v>
      </c>
      <c r="H215" s="30" t="str">
        <f>IF(ISBLANK('Auditoria CEB'!AR244)," ",+'Auditoria CEB'!AR244)</f>
        <v xml:space="preserve"> </v>
      </c>
      <c r="I215" s="45" t="str">
        <f>IF(ISBLANK('Auditoria CEB'!K244)," ",+'Auditoria CEB'!K244)</f>
        <v xml:space="preserve"> </v>
      </c>
      <c r="J215" s="30" t="str">
        <f>IF(ISBLANK('Auditoria CEB'!AM244)," ",+'Auditoria CEB'!AM244)</f>
        <v xml:space="preserve"> </v>
      </c>
    </row>
    <row r="216" spans="1:10">
      <c r="A216" s="30" t="str">
        <f>IF(ISBLANK('Auditoria CEB'!$E$6)," ",'Auditoria CEB'!$E$6)</f>
        <v xml:space="preserve"> </v>
      </c>
      <c r="B216" s="30" t="s">
        <v>161</v>
      </c>
      <c r="C216" s="29" t="str">
        <f>IF(ISBLANK('Auditoria CEB'!B245)," ",+'Auditoria CEB'!B245)</f>
        <v xml:space="preserve"> </v>
      </c>
      <c r="D216" s="29" t="str">
        <f>IF(ISBLANK('Auditoria CEB'!D245)," ",+'Auditoria CEB'!D245)</f>
        <v xml:space="preserve"> </v>
      </c>
      <c r="E216" s="29" t="str">
        <f>IF(ISBLANK('Auditoria CEB'!E245)," ",+'Auditoria CEB'!E245)</f>
        <v xml:space="preserve"> </v>
      </c>
      <c r="F216" s="30" t="str">
        <f>IF(ISBLANK('Auditoria CEB'!F225)," ",+'Auditoria CEB'!F225)</f>
        <v xml:space="preserve"> </v>
      </c>
      <c r="G216" s="30" t="str">
        <f>IF(ISBLANK('Auditoria CEB'!I245)," ",+'Auditoria CEB'!I245)</f>
        <v xml:space="preserve"> </v>
      </c>
      <c r="H216" s="30" t="str">
        <f>IF(ISBLANK('Auditoria CEB'!AR245)," ",+'Auditoria CEB'!AR245)</f>
        <v xml:space="preserve"> </v>
      </c>
      <c r="I216" s="45" t="str">
        <f>IF(ISBLANK('Auditoria CEB'!K245)," ",+'Auditoria CEB'!K245)</f>
        <v xml:space="preserve"> </v>
      </c>
      <c r="J216" s="30" t="str">
        <f>IF(ISBLANK('Auditoria CEB'!AM245)," ",+'Auditoria CEB'!AM245)</f>
        <v xml:space="preserve"> </v>
      </c>
    </row>
    <row r="217" spans="1:10">
      <c r="A217" s="30" t="str">
        <f>IF(ISBLANK('Auditoria CEB'!$E$6)," ",'Auditoria CEB'!$E$6)</f>
        <v xml:space="preserve"> </v>
      </c>
      <c r="B217" s="30" t="s">
        <v>161</v>
      </c>
      <c r="C217" s="29" t="str">
        <f>IF(ISBLANK('Auditoria CEB'!B246)," ",+'Auditoria CEB'!B246)</f>
        <v xml:space="preserve"> </v>
      </c>
      <c r="D217" s="29" t="str">
        <f>IF(ISBLANK('Auditoria CEB'!D246)," ",+'Auditoria CEB'!D246)</f>
        <v xml:space="preserve"> </v>
      </c>
      <c r="E217" s="29" t="str">
        <f>IF(ISBLANK('Auditoria CEB'!E246)," ",+'Auditoria CEB'!E246)</f>
        <v xml:space="preserve"> </v>
      </c>
      <c r="F217" s="30" t="str">
        <f>IF(ISBLANK('Auditoria CEB'!F226)," ",+'Auditoria CEB'!F226)</f>
        <v xml:space="preserve"> </v>
      </c>
      <c r="G217" s="30" t="str">
        <f>IF(ISBLANK('Auditoria CEB'!I246)," ",+'Auditoria CEB'!I246)</f>
        <v xml:space="preserve"> </v>
      </c>
      <c r="H217" s="30" t="str">
        <f>IF(ISBLANK('Auditoria CEB'!AR246)," ",+'Auditoria CEB'!AR246)</f>
        <v xml:space="preserve"> </v>
      </c>
      <c r="I217" s="45" t="str">
        <f>IF(ISBLANK('Auditoria CEB'!K246)," ",+'Auditoria CEB'!K246)</f>
        <v xml:space="preserve"> </v>
      </c>
      <c r="J217" s="30" t="str">
        <f>IF(ISBLANK('Auditoria CEB'!AM246)," ",+'Auditoria CEB'!AM246)</f>
        <v xml:space="preserve"> </v>
      </c>
    </row>
    <row r="218" spans="1:10">
      <c r="A218" s="30" t="str">
        <f>IF(ISBLANK('Auditoria CEB'!$E$6)," ",'Auditoria CEB'!$E$6)</f>
        <v xml:space="preserve"> </v>
      </c>
      <c r="B218" s="30" t="s">
        <v>161</v>
      </c>
      <c r="C218" s="29" t="str">
        <f>IF(ISBLANK('Auditoria CEB'!B247)," ",+'Auditoria CEB'!B247)</f>
        <v xml:space="preserve"> </v>
      </c>
      <c r="D218" s="29" t="str">
        <f>IF(ISBLANK('Auditoria CEB'!D247)," ",+'Auditoria CEB'!D247)</f>
        <v xml:space="preserve"> </v>
      </c>
      <c r="E218" s="29" t="str">
        <f>IF(ISBLANK('Auditoria CEB'!E247)," ",+'Auditoria CEB'!E247)</f>
        <v xml:space="preserve"> </v>
      </c>
      <c r="F218" s="30" t="str">
        <f>IF(ISBLANK('Auditoria CEB'!F227)," ",+'Auditoria CEB'!F227)</f>
        <v xml:space="preserve"> </v>
      </c>
      <c r="G218" s="30" t="str">
        <f>IF(ISBLANK('Auditoria CEB'!I247)," ",+'Auditoria CEB'!I247)</f>
        <v xml:space="preserve"> </v>
      </c>
      <c r="H218" s="30" t="str">
        <f>IF(ISBLANK('Auditoria CEB'!AR247)," ",+'Auditoria CEB'!AR247)</f>
        <v xml:space="preserve"> </v>
      </c>
      <c r="I218" s="45" t="str">
        <f>IF(ISBLANK('Auditoria CEB'!K247)," ",+'Auditoria CEB'!K247)</f>
        <v xml:space="preserve"> </v>
      </c>
      <c r="J218" s="30" t="str">
        <f>IF(ISBLANK('Auditoria CEB'!AM247)," ",+'Auditoria CEB'!AM247)</f>
        <v xml:space="preserve"> </v>
      </c>
    </row>
    <row r="219" spans="1:10">
      <c r="A219" s="30" t="str">
        <f>IF(ISBLANK('Auditoria CEB'!$E$6)," ",'Auditoria CEB'!$E$6)</f>
        <v xml:space="preserve"> </v>
      </c>
      <c r="B219" s="30" t="s">
        <v>161</v>
      </c>
      <c r="C219" s="29" t="str">
        <f>IF(ISBLANK('Auditoria CEB'!B248)," ",+'Auditoria CEB'!B248)</f>
        <v xml:space="preserve"> </v>
      </c>
      <c r="D219" s="29" t="str">
        <f>IF(ISBLANK('Auditoria CEB'!D248)," ",+'Auditoria CEB'!D248)</f>
        <v xml:space="preserve"> </v>
      </c>
      <c r="E219" s="29" t="str">
        <f>IF(ISBLANK('Auditoria CEB'!E248)," ",+'Auditoria CEB'!E248)</f>
        <v xml:space="preserve"> </v>
      </c>
      <c r="F219" s="30" t="str">
        <f>IF(ISBLANK('Auditoria CEB'!F228)," ",+'Auditoria CEB'!F228)</f>
        <v xml:space="preserve"> </v>
      </c>
      <c r="G219" s="30" t="str">
        <f>IF(ISBLANK('Auditoria CEB'!I248)," ",+'Auditoria CEB'!I248)</f>
        <v xml:space="preserve"> </v>
      </c>
      <c r="H219" s="30" t="str">
        <f>IF(ISBLANK('Auditoria CEB'!AR248)," ",+'Auditoria CEB'!AR248)</f>
        <v xml:space="preserve"> </v>
      </c>
      <c r="I219" s="45" t="str">
        <f>IF(ISBLANK('Auditoria CEB'!K248)," ",+'Auditoria CEB'!K248)</f>
        <v xml:space="preserve"> </v>
      </c>
      <c r="J219" s="30" t="str">
        <f>IF(ISBLANK('Auditoria CEB'!AM248)," ",+'Auditoria CEB'!AM248)</f>
        <v xml:space="preserve"> </v>
      </c>
    </row>
    <row r="220" spans="1:10">
      <c r="A220" s="30" t="str">
        <f>IF(ISBLANK('Auditoria CEB'!$E$6)," ",'Auditoria CEB'!$E$6)</f>
        <v xml:space="preserve"> </v>
      </c>
      <c r="B220" s="30" t="s">
        <v>161</v>
      </c>
      <c r="C220" s="29" t="str">
        <f>IF(ISBLANK('Auditoria CEB'!B249)," ",+'Auditoria CEB'!B249)</f>
        <v xml:space="preserve"> </v>
      </c>
      <c r="D220" s="29" t="str">
        <f>IF(ISBLANK('Auditoria CEB'!D249)," ",+'Auditoria CEB'!D249)</f>
        <v xml:space="preserve"> </v>
      </c>
      <c r="E220" s="29" t="str">
        <f>IF(ISBLANK('Auditoria CEB'!E249)," ",+'Auditoria CEB'!E249)</f>
        <v xml:space="preserve"> </v>
      </c>
      <c r="F220" s="30" t="str">
        <f>IF(ISBLANK('Auditoria CEB'!F229)," ",+'Auditoria CEB'!F229)</f>
        <v xml:space="preserve"> </v>
      </c>
      <c r="G220" s="30" t="str">
        <f>IF(ISBLANK('Auditoria CEB'!I249)," ",+'Auditoria CEB'!I249)</f>
        <v xml:space="preserve"> </v>
      </c>
      <c r="H220" s="30" t="str">
        <f>IF(ISBLANK('Auditoria CEB'!AR249)," ",+'Auditoria CEB'!AR249)</f>
        <v xml:space="preserve"> </v>
      </c>
      <c r="I220" s="45" t="str">
        <f>IF(ISBLANK('Auditoria CEB'!K249)," ",+'Auditoria CEB'!K249)</f>
        <v xml:space="preserve"> </v>
      </c>
      <c r="J220" s="30" t="str">
        <f>IF(ISBLANK('Auditoria CEB'!AM249)," ",+'Auditoria CEB'!AM249)</f>
        <v xml:space="preserve"> </v>
      </c>
    </row>
    <row r="221" spans="1:10">
      <c r="A221" s="30" t="str">
        <f>IF(ISBLANK('Auditoria CEB'!$E$6)," ",'Auditoria CEB'!$E$6)</f>
        <v xml:space="preserve"> </v>
      </c>
      <c r="B221" s="30" t="s">
        <v>161</v>
      </c>
      <c r="C221" s="29" t="str">
        <f>IF(ISBLANK('Auditoria CEB'!B250)," ",+'Auditoria CEB'!B250)</f>
        <v xml:space="preserve"> </v>
      </c>
      <c r="D221" s="29" t="str">
        <f>IF(ISBLANK('Auditoria CEB'!D250)," ",+'Auditoria CEB'!D250)</f>
        <v xml:space="preserve"> </v>
      </c>
      <c r="E221" s="29" t="str">
        <f>IF(ISBLANK('Auditoria CEB'!E250)," ",+'Auditoria CEB'!E250)</f>
        <v xml:space="preserve"> </v>
      </c>
      <c r="F221" s="30" t="str">
        <f>IF(ISBLANK('Auditoria CEB'!F230)," ",+'Auditoria CEB'!F230)</f>
        <v xml:space="preserve"> </v>
      </c>
      <c r="G221" s="30" t="str">
        <f>IF(ISBLANK('Auditoria CEB'!I250)," ",+'Auditoria CEB'!I250)</f>
        <v xml:space="preserve"> </v>
      </c>
      <c r="H221" s="30" t="str">
        <f>IF(ISBLANK('Auditoria CEB'!AR250)," ",+'Auditoria CEB'!AR250)</f>
        <v xml:space="preserve"> </v>
      </c>
      <c r="I221" s="45" t="str">
        <f>IF(ISBLANK('Auditoria CEB'!K250)," ",+'Auditoria CEB'!K250)</f>
        <v xml:space="preserve"> </v>
      </c>
      <c r="J221" s="30" t="str">
        <f>IF(ISBLANK('Auditoria CEB'!AM250)," ",+'Auditoria CEB'!AM250)</f>
        <v xml:space="preserve"> </v>
      </c>
    </row>
    <row r="222" spans="1:10">
      <c r="A222" s="30" t="str">
        <f>IF(ISBLANK('Auditoria CEB'!$E$6)," ",'Auditoria CEB'!$E$6)</f>
        <v xml:space="preserve"> </v>
      </c>
      <c r="B222" s="30" t="s">
        <v>161</v>
      </c>
      <c r="C222" s="29" t="str">
        <f>IF(ISBLANK('Auditoria CEB'!B251)," ",+'Auditoria CEB'!B251)</f>
        <v xml:space="preserve"> </v>
      </c>
      <c r="D222" s="29" t="str">
        <f>IF(ISBLANK('Auditoria CEB'!D251)," ",+'Auditoria CEB'!D251)</f>
        <v xml:space="preserve"> </v>
      </c>
      <c r="E222" s="29" t="str">
        <f>IF(ISBLANK('Auditoria CEB'!E251)," ",+'Auditoria CEB'!E251)</f>
        <v xml:space="preserve"> </v>
      </c>
      <c r="F222" s="30" t="str">
        <f>IF(ISBLANK('Auditoria CEB'!F231)," ",+'Auditoria CEB'!F231)</f>
        <v xml:space="preserve"> </v>
      </c>
      <c r="G222" s="30" t="str">
        <f>IF(ISBLANK('Auditoria CEB'!I251)," ",+'Auditoria CEB'!I251)</f>
        <v xml:space="preserve"> </v>
      </c>
      <c r="H222" s="30" t="str">
        <f>IF(ISBLANK('Auditoria CEB'!AR251)," ",+'Auditoria CEB'!AR251)</f>
        <v xml:space="preserve"> </v>
      </c>
      <c r="I222" s="45" t="str">
        <f>IF(ISBLANK('Auditoria CEB'!K251)," ",+'Auditoria CEB'!K251)</f>
        <v xml:space="preserve"> </v>
      </c>
      <c r="J222" s="30" t="str">
        <f>IF(ISBLANK('Auditoria CEB'!AM251)," ",+'Auditoria CEB'!AM251)</f>
        <v xml:space="preserve"> </v>
      </c>
    </row>
    <row r="223" spans="1:10">
      <c r="A223" s="30" t="str">
        <f>IF(ISBLANK('Auditoria CEB'!$E$6)," ",'Auditoria CEB'!$E$6)</f>
        <v xml:space="preserve"> </v>
      </c>
      <c r="B223" s="30" t="s">
        <v>161</v>
      </c>
      <c r="C223" s="29" t="str">
        <f>IF(ISBLANK('Auditoria CEB'!B252)," ",+'Auditoria CEB'!B252)</f>
        <v xml:space="preserve"> </v>
      </c>
      <c r="D223" s="29" t="str">
        <f>IF(ISBLANK('Auditoria CEB'!D252)," ",+'Auditoria CEB'!D252)</f>
        <v xml:space="preserve"> </v>
      </c>
      <c r="E223" s="29" t="str">
        <f>IF(ISBLANK('Auditoria CEB'!E252)," ",+'Auditoria CEB'!E252)</f>
        <v xml:space="preserve"> </v>
      </c>
      <c r="F223" s="30" t="str">
        <f>IF(ISBLANK('Auditoria CEB'!F232)," ",+'Auditoria CEB'!F232)</f>
        <v xml:space="preserve"> </v>
      </c>
      <c r="G223" s="30" t="str">
        <f>IF(ISBLANK('Auditoria CEB'!I252)," ",+'Auditoria CEB'!I252)</f>
        <v xml:space="preserve"> </v>
      </c>
      <c r="H223" s="30" t="str">
        <f>IF(ISBLANK('Auditoria CEB'!AR252)," ",+'Auditoria CEB'!AR252)</f>
        <v xml:space="preserve"> </v>
      </c>
      <c r="I223" s="45" t="str">
        <f>IF(ISBLANK('Auditoria CEB'!K252)," ",+'Auditoria CEB'!K252)</f>
        <v xml:space="preserve"> </v>
      </c>
      <c r="J223" s="30" t="str">
        <f>IF(ISBLANK('Auditoria CEB'!AM252)," ",+'Auditoria CEB'!AM252)</f>
        <v xml:space="preserve"> </v>
      </c>
    </row>
    <row r="224" spans="1:10">
      <c r="A224" s="30" t="str">
        <f>IF(ISBLANK('Auditoria CEB'!$E$6)," ",'Auditoria CEB'!$E$6)</f>
        <v xml:space="preserve"> </v>
      </c>
      <c r="B224" s="30" t="s">
        <v>161</v>
      </c>
      <c r="C224" s="29" t="str">
        <f>IF(ISBLANK('Auditoria CEB'!B253)," ",+'Auditoria CEB'!B253)</f>
        <v xml:space="preserve"> </v>
      </c>
      <c r="D224" s="29" t="str">
        <f>IF(ISBLANK('Auditoria CEB'!D253)," ",+'Auditoria CEB'!D253)</f>
        <v xml:space="preserve"> </v>
      </c>
      <c r="E224" s="29" t="str">
        <f>IF(ISBLANK('Auditoria CEB'!E253)," ",+'Auditoria CEB'!E253)</f>
        <v xml:space="preserve"> </v>
      </c>
      <c r="F224" s="30" t="str">
        <f>IF(ISBLANK('Auditoria CEB'!F233)," ",+'Auditoria CEB'!F233)</f>
        <v xml:space="preserve"> </v>
      </c>
      <c r="G224" s="30" t="str">
        <f>IF(ISBLANK('Auditoria CEB'!I253)," ",+'Auditoria CEB'!I253)</f>
        <v xml:space="preserve"> </v>
      </c>
      <c r="H224" s="30" t="str">
        <f>IF(ISBLANK('Auditoria CEB'!AR253)," ",+'Auditoria CEB'!AR253)</f>
        <v xml:space="preserve"> </v>
      </c>
      <c r="I224" s="45" t="str">
        <f>IF(ISBLANK('Auditoria CEB'!K253)," ",+'Auditoria CEB'!K253)</f>
        <v xml:space="preserve"> </v>
      </c>
      <c r="J224" s="30" t="str">
        <f>IF(ISBLANK('Auditoria CEB'!AM253)," ",+'Auditoria CEB'!AM253)</f>
        <v xml:space="preserve"> </v>
      </c>
    </row>
    <row r="225" spans="1:10">
      <c r="A225" s="30" t="str">
        <f>IF(ISBLANK('Auditoria CEB'!$E$6)," ",'Auditoria CEB'!$E$6)</f>
        <v xml:space="preserve"> </v>
      </c>
      <c r="B225" s="30" t="s">
        <v>161</v>
      </c>
      <c r="C225" s="29" t="str">
        <f>IF(ISBLANK('Auditoria CEB'!B254)," ",+'Auditoria CEB'!B254)</f>
        <v xml:space="preserve"> </v>
      </c>
      <c r="D225" s="29" t="str">
        <f>IF(ISBLANK('Auditoria CEB'!D254)," ",+'Auditoria CEB'!D254)</f>
        <v xml:space="preserve"> </v>
      </c>
      <c r="E225" s="29" t="str">
        <f>IF(ISBLANK('Auditoria CEB'!E254)," ",+'Auditoria CEB'!E254)</f>
        <v xml:space="preserve"> </v>
      </c>
      <c r="F225" s="30" t="str">
        <f>IF(ISBLANK('Auditoria CEB'!F234)," ",+'Auditoria CEB'!F234)</f>
        <v xml:space="preserve"> </v>
      </c>
      <c r="G225" s="30" t="str">
        <f>IF(ISBLANK('Auditoria CEB'!I254)," ",+'Auditoria CEB'!I254)</f>
        <v xml:space="preserve"> </v>
      </c>
      <c r="H225" s="30" t="str">
        <f>IF(ISBLANK('Auditoria CEB'!AR254)," ",+'Auditoria CEB'!AR254)</f>
        <v xml:space="preserve"> </v>
      </c>
      <c r="I225" s="45" t="str">
        <f>IF(ISBLANK('Auditoria CEB'!K254)," ",+'Auditoria CEB'!K254)</f>
        <v xml:space="preserve"> </v>
      </c>
      <c r="J225" s="30" t="str">
        <f>IF(ISBLANK('Auditoria CEB'!AM254)," ",+'Auditoria CEB'!AM254)</f>
        <v xml:space="preserve"> </v>
      </c>
    </row>
    <row r="226" spans="1:10">
      <c r="A226" s="30" t="str">
        <f>IF(ISBLANK('Auditoria CEB'!$E$6)," ",'Auditoria CEB'!$E$6)</f>
        <v xml:space="preserve"> </v>
      </c>
      <c r="B226" s="30" t="s">
        <v>161</v>
      </c>
      <c r="C226" s="29" t="str">
        <f>IF(ISBLANK('Auditoria CEB'!B255)," ",+'Auditoria CEB'!B255)</f>
        <v xml:space="preserve"> </v>
      </c>
      <c r="D226" s="29" t="str">
        <f>IF(ISBLANK('Auditoria CEB'!D255)," ",+'Auditoria CEB'!D255)</f>
        <v xml:space="preserve"> </v>
      </c>
      <c r="E226" s="29" t="str">
        <f>IF(ISBLANK('Auditoria CEB'!E255)," ",+'Auditoria CEB'!E255)</f>
        <v xml:space="preserve"> </v>
      </c>
      <c r="F226" s="30" t="str">
        <f>IF(ISBLANK('Auditoria CEB'!F235)," ",+'Auditoria CEB'!F235)</f>
        <v xml:space="preserve"> </v>
      </c>
      <c r="G226" s="30" t="str">
        <f>IF(ISBLANK('Auditoria CEB'!I255)," ",+'Auditoria CEB'!I255)</f>
        <v xml:space="preserve"> </v>
      </c>
      <c r="H226" s="30" t="str">
        <f>IF(ISBLANK('Auditoria CEB'!AR255)," ",+'Auditoria CEB'!AR255)</f>
        <v xml:space="preserve"> </v>
      </c>
      <c r="I226" s="45" t="str">
        <f>IF(ISBLANK('Auditoria CEB'!K255)," ",+'Auditoria CEB'!K255)</f>
        <v xml:space="preserve"> </v>
      </c>
      <c r="J226" s="30" t="str">
        <f>IF(ISBLANK('Auditoria CEB'!AM255)," ",+'Auditoria CEB'!AM255)</f>
        <v xml:space="preserve"> </v>
      </c>
    </row>
    <row r="227" spans="1:10">
      <c r="A227" s="30" t="str">
        <f>IF(ISBLANK('Auditoria CEB'!$E$6)," ",'Auditoria CEB'!$E$6)</f>
        <v xml:space="preserve"> </v>
      </c>
      <c r="B227" s="30" t="s">
        <v>161</v>
      </c>
      <c r="C227" s="29" t="str">
        <f>IF(ISBLANK('Auditoria CEB'!B256)," ",+'Auditoria CEB'!B256)</f>
        <v xml:space="preserve"> </v>
      </c>
      <c r="D227" s="29" t="str">
        <f>IF(ISBLANK('Auditoria CEB'!D256)," ",+'Auditoria CEB'!D256)</f>
        <v xml:space="preserve"> </v>
      </c>
      <c r="E227" s="29" t="str">
        <f>IF(ISBLANK('Auditoria CEB'!E256)," ",+'Auditoria CEB'!E256)</f>
        <v xml:space="preserve"> </v>
      </c>
      <c r="F227" s="30" t="str">
        <f>IF(ISBLANK('Auditoria CEB'!F236)," ",+'Auditoria CEB'!F236)</f>
        <v xml:space="preserve"> </v>
      </c>
      <c r="G227" s="30" t="str">
        <f>IF(ISBLANK('Auditoria CEB'!I256)," ",+'Auditoria CEB'!I256)</f>
        <v xml:space="preserve"> </v>
      </c>
      <c r="H227" s="30" t="str">
        <f>IF(ISBLANK('Auditoria CEB'!AR256)," ",+'Auditoria CEB'!AR256)</f>
        <v xml:space="preserve"> </v>
      </c>
      <c r="I227" s="45" t="str">
        <f>IF(ISBLANK('Auditoria CEB'!K256)," ",+'Auditoria CEB'!K256)</f>
        <v xml:space="preserve"> </v>
      </c>
      <c r="J227" s="30" t="str">
        <f>IF(ISBLANK('Auditoria CEB'!AM256)," ",+'Auditoria CEB'!AM256)</f>
        <v xml:space="preserve"> </v>
      </c>
    </row>
    <row r="228" spans="1:10">
      <c r="A228" s="30" t="str">
        <f>IF(ISBLANK('Auditoria CEB'!$E$6)," ",'Auditoria CEB'!$E$6)</f>
        <v xml:space="preserve"> </v>
      </c>
      <c r="B228" s="30" t="s">
        <v>161</v>
      </c>
      <c r="C228" s="29" t="str">
        <f>IF(ISBLANK('Auditoria CEB'!B257)," ",+'Auditoria CEB'!B257)</f>
        <v xml:space="preserve"> </v>
      </c>
      <c r="D228" s="29" t="str">
        <f>IF(ISBLANK('Auditoria CEB'!D257)," ",+'Auditoria CEB'!D257)</f>
        <v xml:space="preserve"> </v>
      </c>
      <c r="E228" s="29" t="str">
        <f>IF(ISBLANK('Auditoria CEB'!E257)," ",+'Auditoria CEB'!E257)</f>
        <v xml:space="preserve"> </v>
      </c>
      <c r="F228" s="30" t="str">
        <f>IF(ISBLANK('Auditoria CEB'!F237)," ",+'Auditoria CEB'!F237)</f>
        <v xml:space="preserve"> </v>
      </c>
      <c r="G228" s="30" t="str">
        <f>IF(ISBLANK('Auditoria CEB'!I257)," ",+'Auditoria CEB'!I257)</f>
        <v xml:space="preserve"> </v>
      </c>
      <c r="H228" s="30" t="str">
        <f>IF(ISBLANK('Auditoria CEB'!AR257)," ",+'Auditoria CEB'!AR257)</f>
        <v xml:space="preserve"> </v>
      </c>
      <c r="I228" s="45" t="str">
        <f>IF(ISBLANK('Auditoria CEB'!K257)," ",+'Auditoria CEB'!K257)</f>
        <v xml:space="preserve"> </v>
      </c>
      <c r="J228" s="30" t="str">
        <f>IF(ISBLANK('Auditoria CEB'!AM257)," ",+'Auditoria CEB'!AM257)</f>
        <v xml:space="preserve"> </v>
      </c>
    </row>
    <row r="229" spans="1:10">
      <c r="A229" s="30" t="str">
        <f>IF(ISBLANK('Auditoria CEB'!$E$6)," ",'Auditoria CEB'!$E$6)</f>
        <v xml:space="preserve"> </v>
      </c>
      <c r="B229" s="30" t="s">
        <v>161</v>
      </c>
      <c r="C229" s="29" t="str">
        <f>IF(ISBLANK('Auditoria CEB'!B258)," ",+'Auditoria CEB'!B258)</f>
        <v xml:space="preserve"> </v>
      </c>
      <c r="D229" s="29" t="str">
        <f>IF(ISBLANK('Auditoria CEB'!D258)," ",+'Auditoria CEB'!D258)</f>
        <v xml:space="preserve"> </v>
      </c>
      <c r="E229" s="29" t="str">
        <f>IF(ISBLANK('Auditoria CEB'!E258)," ",+'Auditoria CEB'!E258)</f>
        <v xml:space="preserve"> </v>
      </c>
      <c r="F229" s="30" t="str">
        <f>IF(ISBLANK('Auditoria CEB'!F238)," ",+'Auditoria CEB'!F238)</f>
        <v xml:space="preserve"> </v>
      </c>
      <c r="G229" s="30" t="str">
        <f>IF(ISBLANK('Auditoria CEB'!I258)," ",+'Auditoria CEB'!I258)</f>
        <v xml:space="preserve"> </v>
      </c>
      <c r="H229" s="30" t="str">
        <f>IF(ISBLANK('Auditoria CEB'!AR258)," ",+'Auditoria CEB'!AR258)</f>
        <v xml:space="preserve"> </v>
      </c>
      <c r="I229" s="45" t="str">
        <f>IF(ISBLANK('Auditoria CEB'!K258)," ",+'Auditoria CEB'!K258)</f>
        <v xml:space="preserve"> </v>
      </c>
      <c r="J229" s="30" t="str">
        <f>IF(ISBLANK('Auditoria CEB'!AM258)," ",+'Auditoria CEB'!AM258)</f>
        <v xml:space="preserve"> </v>
      </c>
    </row>
    <row r="230" spans="1:10">
      <c r="A230" s="30" t="str">
        <f>IF(ISBLANK('Auditoria CEB'!$E$6)," ",'Auditoria CEB'!$E$6)</f>
        <v xml:space="preserve"> </v>
      </c>
      <c r="B230" s="30" t="s">
        <v>161</v>
      </c>
      <c r="C230" s="29" t="str">
        <f>IF(ISBLANK('Auditoria CEB'!B259)," ",+'Auditoria CEB'!B259)</f>
        <v xml:space="preserve"> </v>
      </c>
      <c r="D230" s="29" t="str">
        <f>IF(ISBLANK('Auditoria CEB'!D259)," ",+'Auditoria CEB'!D259)</f>
        <v xml:space="preserve"> </v>
      </c>
      <c r="E230" s="29" t="str">
        <f>IF(ISBLANK('Auditoria CEB'!E259)," ",+'Auditoria CEB'!E259)</f>
        <v xml:space="preserve"> </v>
      </c>
      <c r="F230" s="30" t="str">
        <f>IF(ISBLANK('Auditoria CEB'!F239)," ",+'Auditoria CEB'!F239)</f>
        <v xml:space="preserve"> </v>
      </c>
      <c r="G230" s="30" t="str">
        <f>IF(ISBLANK('Auditoria CEB'!I259)," ",+'Auditoria CEB'!I259)</f>
        <v xml:space="preserve"> </v>
      </c>
      <c r="H230" s="30" t="str">
        <f>IF(ISBLANK('Auditoria CEB'!AR259)," ",+'Auditoria CEB'!AR259)</f>
        <v xml:space="preserve"> </v>
      </c>
      <c r="I230" s="45" t="str">
        <f>IF(ISBLANK('Auditoria CEB'!K259)," ",+'Auditoria CEB'!K259)</f>
        <v xml:space="preserve"> </v>
      </c>
      <c r="J230" s="30" t="str">
        <f>IF(ISBLANK('Auditoria CEB'!AM259)," ",+'Auditoria CEB'!AM259)</f>
        <v xml:space="preserve"> </v>
      </c>
    </row>
    <row r="231" spans="1:10">
      <c r="A231" s="30" t="str">
        <f>IF(ISBLANK('Auditoria CEB'!$E$6)," ",'Auditoria CEB'!$E$6)</f>
        <v xml:space="preserve"> </v>
      </c>
      <c r="B231" s="30" t="s">
        <v>161</v>
      </c>
      <c r="C231" s="29" t="str">
        <f>IF(ISBLANK('Auditoria CEB'!B260)," ",+'Auditoria CEB'!B260)</f>
        <v xml:space="preserve"> </v>
      </c>
      <c r="D231" s="29" t="str">
        <f>IF(ISBLANK('Auditoria CEB'!D260)," ",+'Auditoria CEB'!D260)</f>
        <v xml:space="preserve"> </v>
      </c>
      <c r="E231" s="29" t="str">
        <f>IF(ISBLANK('Auditoria CEB'!E260)," ",+'Auditoria CEB'!E260)</f>
        <v xml:space="preserve"> </v>
      </c>
      <c r="F231" s="30" t="str">
        <f>IF(ISBLANK('Auditoria CEB'!F240)," ",+'Auditoria CEB'!F240)</f>
        <v xml:space="preserve"> </v>
      </c>
      <c r="G231" s="30" t="str">
        <f>IF(ISBLANK('Auditoria CEB'!I260)," ",+'Auditoria CEB'!I260)</f>
        <v xml:space="preserve"> </v>
      </c>
      <c r="H231" s="30" t="str">
        <f>IF(ISBLANK('Auditoria CEB'!AR260)," ",+'Auditoria CEB'!AR260)</f>
        <v xml:space="preserve"> </v>
      </c>
      <c r="I231" s="45" t="str">
        <f>IF(ISBLANK('Auditoria CEB'!K260)," ",+'Auditoria CEB'!K260)</f>
        <v xml:space="preserve"> </v>
      </c>
      <c r="J231" s="30" t="str">
        <f>IF(ISBLANK('Auditoria CEB'!AM260)," ",+'Auditoria CEB'!AM260)</f>
        <v xml:space="preserve"> </v>
      </c>
    </row>
    <row r="232" spans="1:10">
      <c r="A232" s="30" t="str">
        <f>IF(ISBLANK('Auditoria CEB'!$E$6)," ",'Auditoria CEB'!$E$6)</f>
        <v xml:space="preserve"> </v>
      </c>
      <c r="B232" s="30" t="s">
        <v>161</v>
      </c>
      <c r="C232" s="29" t="str">
        <f>IF(ISBLANK('Auditoria CEB'!B261)," ",+'Auditoria CEB'!B261)</f>
        <v xml:space="preserve"> </v>
      </c>
      <c r="D232" s="29" t="str">
        <f>IF(ISBLANK('Auditoria CEB'!D261)," ",+'Auditoria CEB'!D261)</f>
        <v xml:space="preserve"> </v>
      </c>
      <c r="E232" s="29" t="str">
        <f>IF(ISBLANK('Auditoria CEB'!E261)," ",+'Auditoria CEB'!E261)</f>
        <v xml:space="preserve"> </v>
      </c>
      <c r="F232" s="30" t="str">
        <f>IF(ISBLANK('Auditoria CEB'!F241)," ",+'Auditoria CEB'!F241)</f>
        <v xml:space="preserve"> </v>
      </c>
      <c r="G232" s="30" t="str">
        <f>IF(ISBLANK('Auditoria CEB'!I261)," ",+'Auditoria CEB'!I261)</f>
        <v xml:space="preserve"> </v>
      </c>
      <c r="H232" s="30" t="str">
        <f>IF(ISBLANK('Auditoria CEB'!AR261)," ",+'Auditoria CEB'!AR261)</f>
        <v xml:space="preserve"> </v>
      </c>
      <c r="I232" s="45" t="str">
        <f>IF(ISBLANK('Auditoria CEB'!K261)," ",+'Auditoria CEB'!K261)</f>
        <v xml:space="preserve"> </v>
      </c>
      <c r="J232" s="30" t="str">
        <f>IF(ISBLANK('Auditoria CEB'!AM261)," ",+'Auditoria CEB'!AM261)</f>
        <v xml:space="preserve"> </v>
      </c>
    </row>
    <row r="233" spans="1:10">
      <c r="A233" s="30" t="str">
        <f>IF(ISBLANK('Auditoria CEB'!$E$6)," ",'Auditoria CEB'!$E$6)</f>
        <v xml:space="preserve"> </v>
      </c>
      <c r="B233" s="30" t="s">
        <v>161</v>
      </c>
      <c r="C233" s="29" t="str">
        <f>IF(ISBLANK('Auditoria CEB'!B262)," ",+'Auditoria CEB'!B262)</f>
        <v xml:space="preserve"> </v>
      </c>
      <c r="D233" s="29" t="str">
        <f>IF(ISBLANK('Auditoria CEB'!D262)," ",+'Auditoria CEB'!D262)</f>
        <v xml:space="preserve"> </v>
      </c>
      <c r="E233" s="29" t="str">
        <f>IF(ISBLANK('Auditoria CEB'!E262)," ",+'Auditoria CEB'!E262)</f>
        <v xml:space="preserve"> </v>
      </c>
      <c r="F233" s="30" t="str">
        <f>IF(ISBLANK('Auditoria CEB'!F242)," ",+'Auditoria CEB'!F242)</f>
        <v xml:space="preserve"> </v>
      </c>
      <c r="G233" s="30" t="str">
        <f>IF(ISBLANK('Auditoria CEB'!I262)," ",+'Auditoria CEB'!I262)</f>
        <v xml:space="preserve"> </v>
      </c>
      <c r="H233" s="30" t="str">
        <f>IF(ISBLANK('Auditoria CEB'!AR262)," ",+'Auditoria CEB'!AR262)</f>
        <v xml:space="preserve"> </v>
      </c>
      <c r="I233" s="45" t="str">
        <f>IF(ISBLANK('Auditoria CEB'!K262)," ",+'Auditoria CEB'!K262)</f>
        <v xml:space="preserve"> </v>
      </c>
      <c r="J233" s="30" t="str">
        <f>IF(ISBLANK('Auditoria CEB'!AM262)," ",+'Auditoria CEB'!AM262)</f>
        <v xml:space="preserve"> </v>
      </c>
    </row>
    <row r="234" spans="1:10">
      <c r="A234" s="30" t="str">
        <f>IF(ISBLANK('Auditoria CEB'!$E$6)," ",'Auditoria CEB'!$E$6)</f>
        <v xml:space="preserve"> </v>
      </c>
      <c r="B234" s="30" t="s">
        <v>161</v>
      </c>
      <c r="C234" s="29" t="str">
        <f>IF(ISBLANK('Auditoria CEB'!B263)," ",+'Auditoria CEB'!B263)</f>
        <v xml:space="preserve"> </v>
      </c>
      <c r="D234" s="29" t="str">
        <f>IF(ISBLANK('Auditoria CEB'!D263)," ",+'Auditoria CEB'!D263)</f>
        <v xml:space="preserve"> </v>
      </c>
      <c r="E234" s="29" t="str">
        <f>IF(ISBLANK('Auditoria CEB'!E263)," ",+'Auditoria CEB'!E263)</f>
        <v xml:space="preserve"> </v>
      </c>
      <c r="F234" s="30" t="str">
        <f>IF(ISBLANK('Auditoria CEB'!F243)," ",+'Auditoria CEB'!F243)</f>
        <v xml:space="preserve"> </v>
      </c>
      <c r="G234" s="30" t="str">
        <f>IF(ISBLANK('Auditoria CEB'!I263)," ",+'Auditoria CEB'!I263)</f>
        <v xml:space="preserve"> </v>
      </c>
      <c r="H234" s="30" t="str">
        <f>IF(ISBLANK('Auditoria CEB'!AR263)," ",+'Auditoria CEB'!AR263)</f>
        <v xml:space="preserve"> </v>
      </c>
      <c r="I234" s="45" t="str">
        <f>IF(ISBLANK('Auditoria CEB'!K263)," ",+'Auditoria CEB'!K263)</f>
        <v xml:space="preserve"> </v>
      </c>
      <c r="J234" s="30" t="str">
        <f>IF(ISBLANK('Auditoria CEB'!AM263)," ",+'Auditoria CEB'!AM263)</f>
        <v xml:space="preserve"> </v>
      </c>
    </row>
    <row r="235" spans="1:10">
      <c r="A235" s="30" t="str">
        <f>IF(ISBLANK('Auditoria CEB'!$E$6)," ",'Auditoria CEB'!$E$6)</f>
        <v xml:space="preserve"> </v>
      </c>
      <c r="B235" s="30" t="s">
        <v>161</v>
      </c>
      <c r="C235" s="29" t="str">
        <f>IF(ISBLANK('Auditoria CEB'!B264)," ",+'Auditoria CEB'!B264)</f>
        <v xml:space="preserve"> </v>
      </c>
      <c r="D235" s="29" t="str">
        <f>IF(ISBLANK('Auditoria CEB'!D264)," ",+'Auditoria CEB'!D264)</f>
        <v xml:space="preserve"> </v>
      </c>
      <c r="E235" s="29" t="str">
        <f>IF(ISBLANK('Auditoria CEB'!E264)," ",+'Auditoria CEB'!E264)</f>
        <v xml:space="preserve"> </v>
      </c>
      <c r="F235" s="30" t="str">
        <f>IF(ISBLANK('Auditoria CEB'!F244)," ",+'Auditoria CEB'!F244)</f>
        <v xml:space="preserve"> </v>
      </c>
      <c r="G235" s="30" t="str">
        <f>IF(ISBLANK('Auditoria CEB'!I264)," ",+'Auditoria CEB'!I264)</f>
        <v xml:space="preserve"> </v>
      </c>
      <c r="H235" s="30" t="str">
        <f>IF(ISBLANK('Auditoria CEB'!AR264)," ",+'Auditoria CEB'!AR264)</f>
        <v xml:space="preserve"> </v>
      </c>
      <c r="I235" s="45" t="str">
        <f>IF(ISBLANK('Auditoria CEB'!K264)," ",+'Auditoria CEB'!K264)</f>
        <v xml:space="preserve"> </v>
      </c>
      <c r="J235" s="30" t="str">
        <f>IF(ISBLANK('Auditoria CEB'!AM264)," ",+'Auditoria CEB'!AM264)</f>
        <v xml:space="preserve"> </v>
      </c>
    </row>
    <row r="236" spans="1:10">
      <c r="A236" s="30" t="str">
        <f>IF(ISBLANK('Auditoria CEB'!$E$6)," ",'Auditoria CEB'!$E$6)</f>
        <v xml:space="preserve"> </v>
      </c>
      <c r="B236" s="30" t="s">
        <v>161</v>
      </c>
      <c r="C236" s="29" t="str">
        <f>IF(ISBLANK('Auditoria CEB'!B265)," ",+'Auditoria CEB'!B265)</f>
        <v xml:space="preserve"> </v>
      </c>
      <c r="D236" s="29" t="str">
        <f>IF(ISBLANK('Auditoria CEB'!D265)," ",+'Auditoria CEB'!D265)</f>
        <v xml:space="preserve"> </v>
      </c>
      <c r="E236" s="29" t="str">
        <f>IF(ISBLANK('Auditoria CEB'!E265)," ",+'Auditoria CEB'!E265)</f>
        <v xml:space="preserve"> </v>
      </c>
      <c r="F236" s="30" t="str">
        <f>IF(ISBLANK('Auditoria CEB'!F245)," ",+'Auditoria CEB'!F245)</f>
        <v xml:space="preserve"> </v>
      </c>
      <c r="G236" s="30" t="str">
        <f>IF(ISBLANK('Auditoria CEB'!I265)," ",+'Auditoria CEB'!I265)</f>
        <v xml:space="preserve"> </v>
      </c>
      <c r="H236" s="30" t="str">
        <f>IF(ISBLANK('Auditoria CEB'!AR265)," ",+'Auditoria CEB'!AR265)</f>
        <v xml:space="preserve"> </v>
      </c>
      <c r="I236" s="45" t="str">
        <f>IF(ISBLANK('Auditoria CEB'!K265)," ",+'Auditoria CEB'!K265)</f>
        <v xml:space="preserve"> </v>
      </c>
      <c r="J236" s="30" t="str">
        <f>IF(ISBLANK('Auditoria CEB'!AM265)," ",+'Auditoria CEB'!AM265)</f>
        <v xml:space="preserve"> </v>
      </c>
    </row>
    <row r="237" spans="1:10">
      <c r="A237" s="30" t="str">
        <f>IF(ISBLANK('Auditoria CEB'!$E$6)," ",'Auditoria CEB'!$E$6)</f>
        <v xml:space="preserve"> </v>
      </c>
      <c r="B237" s="30" t="s">
        <v>161</v>
      </c>
      <c r="C237" s="29" t="str">
        <f>IF(ISBLANK('Auditoria CEB'!B266)," ",+'Auditoria CEB'!B266)</f>
        <v xml:space="preserve"> </v>
      </c>
      <c r="D237" s="29" t="str">
        <f>IF(ISBLANK('Auditoria CEB'!D266)," ",+'Auditoria CEB'!D266)</f>
        <v xml:space="preserve"> </v>
      </c>
      <c r="E237" s="29" t="str">
        <f>IF(ISBLANK('Auditoria CEB'!E266)," ",+'Auditoria CEB'!E266)</f>
        <v xml:space="preserve"> </v>
      </c>
      <c r="F237" s="30" t="str">
        <f>IF(ISBLANK('Auditoria CEB'!F246)," ",+'Auditoria CEB'!F246)</f>
        <v xml:space="preserve"> </v>
      </c>
      <c r="G237" s="30" t="str">
        <f>IF(ISBLANK('Auditoria CEB'!I266)," ",+'Auditoria CEB'!I266)</f>
        <v xml:space="preserve"> </v>
      </c>
      <c r="H237" s="30" t="str">
        <f>IF(ISBLANK('Auditoria CEB'!AR266)," ",+'Auditoria CEB'!AR266)</f>
        <v xml:space="preserve"> </v>
      </c>
      <c r="I237" s="45" t="str">
        <f>IF(ISBLANK('Auditoria CEB'!K266)," ",+'Auditoria CEB'!K266)</f>
        <v xml:space="preserve"> </v>
      </c>
      <c r="J237" s="30" t="str">
        <f>IF(ISBLANK('Auditoria CEB'!AM266)," ",+'Auditoria CEB'!AM266)</f>
        <v xml:space="preserve"> </v>
      </c>
    </row>
    <row r="238" spans="1:10">
      <c r="A238" s="30" t="str">
        <f>IF(ISBLANK('Auditoria CEB'!$E$6)," ",'Auditoria CEB'!$E$6)</f>
        <v xml:space="preserve"> </v>
      </c>
      <c r="B238" s="30" t="s">
        <v>161</v>
      </c>
      <c r="C238" s="29" t="str">
        <f>IF(ISBLANK('Auditoria CEB'!B267)," ",+'Auditoria CEB'!B267)</f>
        <v xml:space="preserve"> </v>
      </c>
      <c r="D238" s="29" t="str">
        <f>IF(ISBLANK('Auditoria CEB'!D267)," ",+'Auditoria CEB'!D267)</f>
        <v xml:space="preserve"> </v>
      </c>
      <c r="E238" s="29" t="str">
        <f>IF(ISBLANK('Auditoria CEB'!E267)," ",+'Auditoria CEB'!E267)</f>
        <v xml:space="preserve"> </v>
      </c>
      <c r="F238" s="30" t="str">
        <f>IF(ISBLANK('Auditoria CEB'!F247)," ",+'Auditoria CEB'!F247)</f>
        <v xml:space="preserve"> </v>
      </c>
      <c r="G238" s="30" t="str">
        <f>IF(ISBLANK('Auditoria CEB'!I267)," ",+'Auditoria CEB'!I267)</f>
        <v xml:space="preserve"> </v>
      </c>
      <c r="H238" s="30" t="str">
        <f>IF(ISBLANK('Auditoria CEB'!AR267)," ",+'Auditoria CEB'!AR267)</f>
        <v xml:space="preserve"> </v>
      </c>
      <c r="I238" s="45" t="str">
        <f>IF(ISBLANK('Auditoria CEB'!K267)," ",+'Auditoria CEB'!K267)</f>
        <v xml:space="preserve"> </v>
      </c>
      <c r="J238" s="30" t="str">
        <f>IF(ISBLANK('Auditoria CEB'!AM267)," ",+'Auditoria CEB'!AM267)</f>
        <v xml:space="preserve"> </v>
      </c>
    </row>
    <row r="239" spans="1:10">
      <c r="A239" s="30" t="str">
        <f>IF(ISBLANK('Auditoria CEB'!$E$6)," ",'Auditoria CEB'!$E$6)</f>
        <v xml:space="preserve"> </v>
      </c>
      <c r="B239" s="30" t="s">
        <v>161</v>
      </c>
      <c r="C239" s="29" t="str">
        <f>IF(ISBLANK('Auditoria CEB'!B268)," ",+'Auditoria CEB'!B268)</f>
        <v xml:space="preserve"> </v>
      </c>
      <c r="D239" s="29" t="str">
        <f>IF(ISBLANK('Auditoria CEB'!D268)," ",+'Auditoria CEB'!D268)</f>
        <v xml:space="preserve"> </v>
      </c>
      <c r="E239" s="29" t="str">
        <f>IF(ISBLANK('Auditoria CEB'!E268)," ",+'Auditoria CEB'!E268)</f>
        <v xml:space="preserve"> </v>
      </c>
      <c r="F239" s="30" t="str">
        <f>IF(ISBLANK('Auditoria CEB'!F248)," ",+'Auditoria CEB'!F248)</f>
        <v xml:space="preserve"> </v>
      </c>
      <c r="G239" s="30" t="str">
        <f>IF(ISBLANK('Auditoria CEB'!I268)," ",+'Auditoria CEB'!I268)</f>
        <v xml:space="preserve"> </v>
      </c>
      <c r="H239" s="30" t="str">
        <f>IF(ISBLANK('Auditoria CEB'!AR268)," ",+'Auditoria CEB'!AR268)</f>
        <v xml:space="preserve"> </v>
      </c>
      <c r="I239" s="45" t="str">
        <f>IF(ISBLANK('Auditoria CEB'!K268)," ",+'Auditoria CEB'!K268)</f>
        <v xml:space="preserve"> </v>
      </c>
      <c r="J239" s="30" t="str">
        <f>IF(ISBLANK('Auditoria CEB'!AM268)," ",+'Auditoria CEB'!AM268)</f>
        <v xml:space="preserve"> </v>
      </c>
    </row>
    <row r="240" spans="1:10">
      <c r="A240" s="30" t="str">
        <f>IF(ISBLANK('Auditoria CEB'!$E$6)," ",'Auditoria CEB'!$E$6)</f>
        <v xml:space="preserve"> </v>
      </c>
      <c r="B240" s="30" t="s">
        <v>161</v>
      </c>
      <c r="C240" s="29" t="str">
        <f>IF(ISBLANK('Auditoria CEB'!B269)," ",+'Auditoria CEB'!B269)</f>
        <v xml:space="preserve"> </v>
      </c>
      <c r="D240" s="29" t="str">
        <f>IF(ISBLANK('Auditoria CEB'!D269)," ",+'Auditoria CEB'!D269)</f>
        <v xml:space="preserve"> </v>
      </c>
      <c r="E240" s="29" t="str">
        <f>IF(ISBLANK('Auditoria CEB'!E269)," ",+'Auditoria CEB'!E269)</f>
        <v xml:space="preserve"> </v>
      </c>
      <c r="F240" s="30" t="str">
        <f>IF(ISBLANK('Auditoria CEB'!F249)," ",+'Auditoria CEB'!F249)</f>
        <v xml:space="preserve"> </v>
      </c>
      <c r="G240" s="30" t="str">
        <f>IF(ISBLANK('Auditoria CEB'!I269)," ",+'Auditoria CEB'!I269)</f>
        <v xml:space="preserve"> </v>
      </c>
      <c r="H240" s="30" t="str">
        <f>IF(ISBLANK('Auditoria CEB'!AR269)," ",+'Auditoria CEB'!AR269)</f>
        <v xml:space="preserve"> </v>
      </c>
      <c r="I240" s="45" t="str">
        <f>IF(ISBLANK('Auditoria CEB'!K269)," ",+'Auditoria CEB'!K269)</f>
        <v xml:space="preserve"> </v>
      </c>
      <c r="J240" s="30" t="str">
        <f>IF(ISBLANK('Auditoria CEB'!AM269)," ",+'Auditoria CEB'!AM269)</f>
        <v xml:space="preserve"> </v>
      </c>
    </row>
    <row r="241" spans="1:10">
      <c r="A241" s="30" t="str">
        <f>IF(ISBLANK('Auditoria CEB'!$E$6)," ",'Auditoria CEB'!$E$6)</f>
        <v xml:space="preserve"> </v>
      </c>
      <c r="B241" s="30" t="s">
        <v>161</v>
      </c>
      <c r="C241" s="29" t="str">
        <f>IF(ISBLANK('Auditoria CEB'!B270)," ",+'Auditoria CEB'!B270)</f>
        <v xml:space="preserve"> </v>
      </c>
      <c r="D241" s="29" t="str">
        <f>IF(ISBLANK('Auditoria CEB'!D270)," ",+'Auditoria CEB'!D270)</f>
        <v xml:space="preserve"> </v>
      </c>
      <c r="E241" s="29" t="str">
        <f>IF(ISBLANK('Auditoria CEB'!E270)," ",+'Auditoria CEB'!E270)</f>
        <v xml:space="preserve"> </v>
      </c>
      <c r="F241" s="30" t="str">
        <f>IF(ISBLANK('Auditoria CEB'!F250)," ",+'Auditoria CEB'!F250)</f>
        <v xml:space="preserve"> </v>
      </c>
      <c r="G241" s="30" t="str">
        <f>IF(ISBLANK('Auditoria CEB'!I270)," ",+'Auditoria CEB'!I270)</f>
        <v xml:space="preserve"> </v>
      </c>
      <c r="H241" s="30" t="str">
        <f>IF(ISBLANK('Auditoria CEB'!AR270)," ",+'Auditoria CEB'!AR270)</f>
        <v xml:space="preserve"> </v>
      </c>
      <c r="I241" s="45" t="str">
        <f>IF(ISBLANK('Auditoria CEB'!K270)," ",+'Auditoria CEB'!K270)</f>
        <v xml:space="preserve"> </v>
      </c>
      <c r="J241" s="30" t="str">
        <f>IF(ISBLANK('Auditoria CEB'!AM270)," ",+'Auditoria CEB'!AM270)</f>
        <v xml:space="preserve"> </v>
      </c>
    </row>
    <row r="242" spans="1:10">
      <c r="A242" s="30" t="str">
        <f>IF(ISBLANK('Auditoria CEB'!$E$6)," ",'Auditoria CEB'!$E$6)</f>
        <v xml:space="preserve"> </v>
      </c>
      <c r="B242" s="30" t="s">
        <v>161</v>
      </c>
      <c r="C242" s="29" t="str">
        <f>IF(ISBLANK('Auditoria CEB'!B271)," ",+'Auditoria CEB'!B271)</f>
        <v xml:space="preserve"> </v>
      </c>
      <c r="D242" s="29" t="str">
        <f>IF(ISBLANK('Auditoria CEB'!D271)," ",+'Auditoria CEB'!D271)</f>
        <v xml:space="preserve"> </v>
      </c>
      <c r="E242" s="29" t="str">
        <f>IF(ISBLANK('Auditoria CEB'!E271)," ",+'Auditoria CEB'!E271)</f>
        <v xml:space="preserve"> </v>
      </c>
      <c r="F242" s="30" t="str">
        <f>IF(ISBLANK('Auditoria CEB'!F251)," ",+'Auditoria CEB'!F251)</f>
        <v xml:space="preserve"> </v>
      </c>
      <c r="G242" s="30" t="str">
        <f>IF(ISBLANK('Auditoria CEB'!I271)," ",+'Auditoria CEB'!I271)</f>
        <v xml:space="preserve"> </v>
      </c>
      <c r="H242" s="30" t="str">
        <f>IF(ISBLANK('Auditoria CEB'!AR271)," ",+'Auditoria CEB'!AR271)</f>
        <v xml:space="preserve"> </v>
      </c>
      <c r="I242" s="45" t="str">
        <f>IF(ISBLANK('Auditoria CEB'!K271)," ",+'Auditoria CEB'!K271)</f>
        <v xml:space="preserve"> </v>
      </c>
      <c r="J242" s="30" t="str">
        <f>IF(ISBLANK('Auditoria CEB'!AM271)," ",+'Auditoria CEB'!AM271)</f>
        <v xml:space="preserve"> </v>
      </c>
    </row>
    <row r="243" spans="1:10">
      <c r="A243" s="30" t="str">
        <f>IF(ISBLANK('Auditoria CEB'!$E$6)," ",'Auditoria CEB'!$E$6)</f>
        <v xml:space="preserve"> </v>
      </c>
      <c r="B243" s="30" t="s">
        <v>161</v>
      </c>
      <c r="C243" s="29" t="str">
        <f>IF(ISBLANK('Auditoria CEB'!B272)," ",+'Auditoria CEB'!B272)</f>
        <v xml:space="preserve"> </v>
      </c>
      <c r="D243" s="29" t="str">
        <f>IF(ISBLANK('Auditoria CEB'!D272)," ",+'Auditoria CEB'!D272)</f>
        <v xml:space="preserve"> </v>
      </c>
      <c r="E243" s="29" t="str">
        <f>IF(ISBLANK('Auditoria CEB'!E272)," ",+'Auditoria CEB'!E272)</f>
        <v xml:space="preserve"> </v>
      </c>
      <c r="F243" s="30" t="str">
        <f>IF(ISBLANK('Auditoria CEB'!F252)," ",+'Auditoria CEB'!F252)</f>
        <v xml:space="preserve"> </v>
      </c>
      <c r="G243" s="30" t="str">
        <f>IF(ISBLANK('Auditoria CEB'!I272)," ",+'Auditoria CEB'!I272)</f>
        <v xml:space="preserve"> </v>
      </c>
      <c r="H243" s="30" t="str">
        <f>IF(ISBLANK('Auditoria CEB'!AR272)," ",+'Auditoria CEB'!AR272)</f>
        <v xml:space="preserve"> </v>
      </c>
      <c r="I243" s="45" t="str">
        <f>IF(ISBLANK('Auditoria CEB'!K272)," ",+'Auditoria CEB'!K272)</f>
        <v xml:space="preserve"> </v>
      </c>
      <c r="J243" s="30" t="str">
        <f>IF(ISBLANK('Auditoria CEB'!AM272)," ",+'Auditoria CEB'!AM272)</f>
        <v xml:space="preserve"> </v>
      </c>
    </row>
    <row r="244" spans="1:10">
      <c r="A244" s="30" t="str">
        <f>IF(ISBLANK('Auditoria CEB'!$E$6)," ",'Auditoria CEB'!$E$6)</f>
        <v xml:space="preserve"> </v>
      </c>
      <c r="B244" s="30" t="s">
        <v>161</v>
      </c>
      <c r="C244" s="29" t="str">
        <f>IF(ISBLANK('Auditoria CEB'!B273)," ",+'Auditoria CEB'!B273)</f>
        <v xml:space="preserve"> </v>
      </c>
      <c r="D244" s="29" t="str">
        <f>IF(ISBLANK('Auditoria CEB'!D273)," ",+'Auditoria CEB'!D273)</f>
        <v xml:space="preserve"> </v>
      </c>
      <c r="E244" s="29" t="str">
        <f>IF(ISBLANK('Auditoria CEB'!E273)," ",+'Auditoria CEB'!E273)</f>
        <v xml:space="preserve"> </v>
      </c>
      <c r="F244" s="30" t="str">
        <f>IF(ISBLANK('Auditoria CEB'!F253)," ",+'Auditoria CEB'!F253)</f>
        <v xml:space="preserve"> </v>
      </c>
      <c r="G244" s="30" t="str">
        <f>IF(ISBLANK('Auditoria CEB'!I273)," ",+'Auditoria CEB'!I273)</f>
        <v xml:space="preserve"> </v>
      </c>
      <c r="H244" s="30" t="str">
        <f>IF(ISBLANK('Auditoria CEB'!AR273)," ",+'Auditoria CEB'!AR273)</f>
        <v xml:space="preserve"> </v>
      </c>
      <c r="I244" s="45" t="str">
        <f>IF(ISBLANK('Auditoria CEB'!K273)," ",+'Auditoria CEB'!K273)</f>
        <v xml:space="preserve"> </v>
      </c>
      <c r="J244" s="30" t="str">
        <f>IF(ISBLANK('Auditoria CEB'!AM273)," ",+'Auditoria CEB'!AM273)</f>
        <v xml:space="preserve"> </v>
      </c>
    </row>
    <row r="245" spans="1:10">
      <c r="A245" s="30" t="str">
        <f>IF(ISBLANK('Auditoria CEB'!$E$6)," ",'Auditoria CEB'!$E$6)</f>
        <v xml:space="preserve"> </v>
      </c>
      <c r="B245" s="30" t="s">
        <v>161</v>
      </c>
      <c r="C245" s="29" t="str">
        <f>IF(ISBLANK('Auditoria CEB'!B274)," ",+'Auditoria CEB'!B274)</f>
        <v xml:space="preserve"> </v>
      </c>
      <c r="D245" s="29" t="str">
        <f>IF(ISBLANK('Auditoria CEB'!D274)," ",+'Auditoria CEB'!D274)</f>
        <v xml:space="preserve"> </v>
      </c>
      <c r="E245" s="29" t="str">
        <f>IF(ISBLANK('Auditoria CEB'!E274)," ",+'Auditoria CEB'!E274)</f>
        <v xml:space="preserve"> </v>
      </c>
      <c r="F245" s="30" t="str">
        <f>IF(ISBLANK('Auditoria CEB'!F254)," ",+'Auditoria CEB'!F254)</f>
        <v xml:space="preserve"> </v>
      </c>
      <c r="G245" s="30" t="str">
        <f>IF(ISBLANK('Auditoria CEB'!I274)," ",+'Auditoria CEB'!I274)</f>
        <v xml:space="preserve"> </v>
      </c>
      <c r="H245" s="30" t="str">
        <f>IF(ISBLANK('Auditoria CEB'!AR274)," ",+'Auditoria CEB'!AR274)</f>
        <v xml:space="preserve"> </v>
      </c>
      <c r="I245" s="45" t="str">
        <f>IF(ISBLANK('Auditoria CEB'!K274)," ",+'Auditoria CEB'!K274)</f>
        <v xml:space="preserve"> </v>
      </c>
      <c r="J245" s="30" t="str">
        <f>IF(ISBLANK('Auditoria CEB'!AM274)," ",+'Auditoria CEB'!AM274)</f>
        <v xml:space="preserve"> </v>
      </c>
    </row>
    <row r="246" spans="1:10">
      <c r="A246" s="30" t="str">
        <f>IF(ISBLANK('Auditoria CEB'!$E$6)," ",'Auditoria CEB'!$E$6)</f>
        <v xml:space="preserve"> </v>
      </c>
      <c r="B246" s="30" t="s">
        <v>161</v>
      </c>
      <c r="C246" s="29" t="str">
        <f>IF(ISBLANK('Auditoria CEB'!B275)," ",+'Auditoria CEB'!B275)</f>
        <v xml:space="preserve"> </v>
      </c>
      <c r="D246" s="29" t="str">
        <f>IF(ISBLANK('Auditoria CEB'!D275)," ",+'Auditoria CEB'!D275)</f>
        <v xml:space="preserve"> </v>
      </c>
      <c r="E246" s="29" t="str">
        <f>IF(ISBLANK('Auditoria CEB'!E275)," ",+'Auditoria CEB'!E275)</f>
        <v xml:space="preserve"> </v>
      </c>
      <c r="F246" s="30" t="str">
        <f>IF(ISBLANK('Auditoria CEB'!F255)," ",+'Auditoria CEB'!F255)</f>
        <v xml:space="preserve"> </v>
      </c>
      <c r="G246" s="30" t="str">
        <f>IF(ISBLANK('Auditoria CEB'!I275)," ",+'Auditoria CEB'!I275)</f>
        <v xml:space="preserve"> </v>
      </c>
      <c r="H246" s="30" t="str">
        <f>IF(ISBLANK('Auditoria CEB'!AR275)," ",+'Auditoria CEB'!AR275)</f>
        <v xml:space="preserve"> </v>
      </c>
      <c r="I246" s="45" t="str">
        <f>IF(ISBLANK('Auditoria CEB'!K275)," ",+'Auditoria CEB'!K275)</f>
        <v xml:space="preserve"> </v>
      </c>
      <c r="J246" s="30" t="str">
        <f>IF(ISBLANK('Auditoria CEB'!AM275)," ",+'Auditoria CEB'!AM275)</f>
        <v xml:space="preserve"> </v>
      </c>
    </row>
    <row r="247" spans="1:10">
      <c r="A247" s="30" t="str">
        <f>IF(ISBLANK('Auditoria CEB'!$E$6)," ",'Auditoria CEB'!$E$6)</f>
        <v xml:space="preserve"> </v>
      </c>
      <c r="B247" s="30" t="s">
        <v>161</v>
      </c>
      <c r="C247" s="29" t="str">
        <f>IF(ISBLANK('Auditoria CEB'!B276)," ",+'Auditoria CEB'!B276)</f>
        <v xml:space="preserve"> </v>
      </c>
      <c r="D247" s="29" t="str">
        <f>IF(ISBLANK('Auditoria CEB'!D276)," ",+'Auditoria CEB'!D276)</f>
        <v xml:space="preserve"> </v>
      </c>
      <c r="E247" s="29" t="str">
        <f>IF(ISBLANK('Auditoria CEB'!E276)," ",+'Auditoria CEB'!E276)</f>
        <v xml:space="preserve"> </v>
      </c>
      <c r="F247" s="30" t="str">
        <f>IF(ISBLANK('Auditoria CEB'!F256)," ",+'Auditoria CEB'!F256)</f>
        <v xml:space="preserve"> </v>
      </c>
      <c r="G247" s="30" t="str">
        <f>IF(ISBLANK('Auditoria CEB'!I276)," ",+'Auditoria CEB'!I276)</f>
        <v xml:space="preserve"> </v>
      </c>
      <c r="H247" s="30" t="str">
        <f>IF(ISBLANK('Auditoria CEB'!AR276)," ",+'Auditoria CEB'!AR276)</f>
        <v xml:space="preserve"> </v>
      </c>
      <c r="I247" s="45" t="str">
        <f>IF(ISBLANK('Auditoria CEB'!K276)," ",+'Auditoria CEB'!K276)</f>
        <v xml:space="preserve"> </v>
      </c>
      <c r="J247" s="30" t="str">
        <f>IF(ISBLANK('Auditoria CEB'!AM276)," ",+'Auditoria CEB'!AM276)</f>
        <v xml:space="preserve"> </v>
      </c>
    </row>
    <row r="248" spans="1:10">
      <c r="A248" s="30" t="str">
        <f>IF(ISBLANK('Auditoria CEB'!$E$6)," ",'Auditoria CEB'!$E$6)</f>
        <v xml:space="preserve"> </v>
      </c>
      <c r="B248" s="30" t="s">
        <v>161</v>
      </c>
      <c r="C248" s="29" t="str">
        <f>IF(ISBLANK('Auditoria CEB'!B277)," ",+'Auditoria CEB'!B277)</f>
        <v xml:space="preserve"> </v>
      </c>
      <c r="D248" s="29" t="str">
        <f>IF(ISBLANK('Auditoria CEB'!D277)," ",+'Auditoria CEB'!D277)</f>
        <v xml:space="preserve"> </v>
      </c>
      <c r="E248" s="29" t="str">
        <f>IF(ISBLANK('Auditoria CEB'!E277)," ",+'Auditoria CEB'!E277)</f>
        <v xml:space="preserve"> </v>
      </c>
      <c r="F248" s="30" t="str">
        <f>IF(ISBLANK('Auditoria CEB'!F257)," ",+'Auditoria CEB'!F257)</f>
        <v xml:space="preserve"> </v>
      </c>
      <c r="G248" s="30" t="str">
        <f>IF(ISBLANK('Auditoria CEB'!I277)," ",+'Auditoria CEB'!I277)</f>
        <v xml:space="preserve"> </v>
      </c>
      <c r="H248" s="30" t="str">
        <f>IF(ISBLANK('Auditoria CEB'!AR277)," ",+'Auditoria CEB'!AR277)</f>
        <v xml:space="preserve"> </v>
      </c>
      <c r="I248" s="45" t="str">
        <f>IF(ISBLANK('Auditoria CEB'!K277)," ",+'Auditoria CEB'!K277)</f>
        <v xml:space="preserve"> </v>
      </c>
      <c r="J248" s="30" t="str">
        <f>IF(ISBLANK('Auditoria CEB'!AM277)," ",+'Auditoria CEB'!AM277)</f>
        <v xml:space="preserve"> </v>
      </c>
    </row>
    <row r="249" spans="1:10">
      <c r="A249" s="30" t="str">
        <f>IF(ISBLANK('Auditoria CEB'!$E$6)," ",'Auditoria CEB'!$E$6)</f>
        <v xml:space="preserve"> </v>
      </c>
      <c r="B249" s="30" t="s">
        <v>161</v>
      </c>
      <c r="C249" s="29" t="str">
        <f>IF(ISBLANK('Auditoria CEB'!B278)," ",+'Auditoria CEB'!B278)</f>
        <v xml:space="preserve"> </v>
      </c>
      <c r="D249" s="29" t="str">
        <f>IF(ISBLANK('Auditoria CEB'!D278)," ",+'Auditoria CEB'!D278)</f>
        <v xml:space="preserve"> </v>
      </c>
      <c r="E249" s="29" t="str">
        <f>IF(ISBLANK('Auditoria CEB'!E278)," ",+'Auditoria CEB'!E278)</f>
        <v xml:space="preserve"> </v>
      </c>
      <c r="F249" s="30" t="str">
        <f>IF(ISBLANK('Auditoria CEB'!F258)," ",+'Auditoria CEB'!F258)</f>
        <v xml:space="preserve"> </v>
      </c>
      <c r="G249" s="30" t="str">
        <f>IF(ISBLANK('Auditoria CEB'!I278)," ",+'Auditoria CEB'!I278)</f>
        <v xml:space="preserve"> </v>
      </c>
      <c r="H249" s="30" t="str">
        <f>IF(ISBLANK('Auditoria CEB'!AR278)," ",+'Auditoria CEB'!AR278)</f>
        <v xml:space="preserve"> </v>
      </c>
      <c r="I249" s="45" t="str">
        <f>IF(ISBLANK('Auditoria CEB'!K278)," ",+'Auditoria CEB'!K278)</f>
        <v xml:space="preserve"> </v>
      </c>
      <c r="J249" s="30" t="str">
        <f>IF(ISBLANK('Auditoria CEB'!AM278)," ",+'Auditoria CEB'!AM278)</f>
        <v xml:space="preserve"> </v>
      </c>
    </row>
    <row r="250" spans="1:10">
      <c r="A250" s="30" t="str">
        <f>IF(ISBLANK('Auditoria CEB'!$E$6)," ",'Auditoria CEB'!$E$6)</f>
        <v xml:space="preserve"> </v>
      </c>
      <c r="B250" s="30" t="s">
        <v>161</v>
      </c>
      <c r="C250" s="29" t="str">
        <f>IF(ISBLANK('Auditoria CEB'!B279)," ",+'Auditoria CEB'!B279)</f>
        <v xml:space="preserve"> </v>
      </c>
      <c r="D250" s="29" t="str">
        <f>IF(ISBLANK('Auditoria CEB'!D279)," ",+'Auditoria CEB'!D279)</f>
        <v xml:space="preserve"> </v>
      </c>
      <c r="E250" s="29" t="str">
        <f>IF(ISBLANK('Auditoria CEB'!E279)," ",+'Auditoria CEB'!E279)</f>
        <v xml:space="preserve"> </v>
      </c>
      <c r="F250" s="30" t="str">
        <f>IF(ISBLANK('Auditoria CEB'!F259)," ",+'Auditoria CEB'!F259)</f>
        <v xml:space="preserve"> </v>
      </c>
      <c r="G250" s="30" t="str">
        <f>IF(ISBLANK('Auditoria CEB'!I279)," ",+'Auditoria CEB'!I279)</f>
        <v xml:space="preserve"> </v>
      </c>
      <c r="H250" s="30" t="str">
        <f>IF(ISBLANK('Auditoria CEB'!AR279)," ",+'Auditoria CEB'!AR279)</f>
        <v xml:space="preserve"> </v>
      </c>
      <c r="I250" s="45" t="str">
        <f>IF(ISBLANK('Auditoria CEB'!K279)," ",+'Auditoria CEB'!K279)</f>
        <v xml:space="preserve"> </v>
      </c>
      <c r="J250" s="30" t="str">
        <f>IF(ISBLANK('Auditoria CEB'!AM279)," ",+'Auditoria CEB'!AM279)</f>
        <v xml:space="preserve"> </v>
      </c>
    </row>
    <row r="251" spans="1:10">
      <c r="A251" s="30" t="str">
        <f>IF(ISBLANK('Auditoria CEB'!$E$6)," ",'Auditoria CEB'!$E$6)</f>
        <v xml:space="preserve"> </v>
      </c>
      <c r="B251" s="30" t="s">
        <v>161</v>
      </c>
      <c r="C251" s="29" t="str">
        <f>IF(ISBLANK('Auditoria CEB'!B280)," ",+'Auditoria CEB'!B280)</f>
        <v xml:space="preserve"> </v>
      </c>
      <c r="D251" s="29" t="str">
        <f>IF(ISBLANK('Auditoria CEB'!D280)," ",+'Auditoria CEB'!D280)</f>
        <v xml:space="preserve"> </v>
      </c>
      <c r="E251" s="29" t="str">
        <f>IF(ISBLANK('Auditoria CEB'!E280)," ",+'Auditoria CEB'!E280)</f>
        <v xml:space="preserve"> </v>
      </c>
      <c r="F251" s="30" t="str">
        <f>IF(ISBLANK('Auditoria CEB'!F260)," ",+'Auditoria CEB'!F260)</f>
        <v xml:space="preserve"> </v>
      </c>
      <c r="G251" s="30" t="str">
        <f>IF(ISBLANK('Auditoria CEB'!I280)," ",+'Auditoria CEB'!I280)</f>
        <v xml:space="preserve"> </v>
      </c>
      <c r="H251" s="30" t="str">
        <f>IF(ISBLANK('Auditoria CEB'!AR280)," ",+'Auditoria CEB'!AR280)</f>
        <v xml:space="preserve"> </v>
      </c>
      <c r="I251" s="45" t="str">
        <f>IF(ISBLANK('Auditoria CEB'!K280)," ",+'Auditoria CEB'!K280)</f>
        <v xml:space="preserve"> </v>
      </c>
      <c r="J251" s="30" t="str">
        <f>IF(ISBLANK('Auditoria CEB'!AM280)," ",+'Auditoria CEB'!AM280)</f>
        <v xml:space="preserve"> </v>
      </c>
    </row>
    <row r="252" spans="1:10">
      <c r="A252" s="30" t="str">
        <f>IF(ISBLANK('Auditoria CEB'!$E$6)," ",'Auditoria CEB'!$E$6)</f>
        <v xml:space="preserve"> </v>
      </c>
      <c r="B252" s="30" t="s">
        <v>161</v>
      </c>
      <c r="C252" s="29" t="str">
        <f>IF(ISBLANK('Auditoria CEB'!B281)," ",+'Auditoria CEB'!B281)</f>
        <v xml:space="preserve"> </v>
      </c>
      <c r="D252" s="29" t="str">
        <f>IF(ISBLANK('Auditoria CEB'!D281)," ",+'Auditoria CEB'!D281)</f>
        <v xml:space="preserve"> </v>
      </c>
      <c r="E252" s="29" t="str">
        <f>IF(ISBLANK('Auditoria CEB'!E281)," ",+'Auditoria CEB'!E281)</f>
        <v xml:space="preserve"> </v>
      </c>
      <c r="F252" s="30" t="str">
        <f>IF(ISBLANK('Auditoria CEB'!F261)," ",+'Auditoria CEB'!F261)</f>
        <v xml:space="preserve"> </v>
      </c>
      <c r="G252" s="30" t="str">
        <f>IF(ISBLANK('Auditoria CEB'!I281)," ",+'Auditoria CEB'!I281)</f>
        <v xml:space="preserve"> </v>
      </c>
      <c r="H252" s="30" t="str">
        <f>IF(ISBLANK('Auditoria CEB'!AR281)," ",+'Auditoria CEB'!AR281)</f>
        <v xml:space="preserve"> </v>
      </c>
      <c r="I252" s="45" t="str">
        <f>IF(ISBLANK('Auditoria CEB'!K281)," ",+'Auditoria CEB'!K281)</f>
        <v xml:space="preserve"> </v>
      </c>
      <c r="J252" s="30" t="str">
        <f>IF(ISBLANK('Auditoria CEB'!AM281)," ",+'Auditoria CEB'!AM281)</f>
        <v xml:space="preserve"> </v>
      </c>
    </row>
    <row r="253" spans="1:10">
      <c r="A253" s="30" t="str">
        <f>IF(ISBLANK('Auditoria CEB'!$E$6)," ",'Auditoria CEB'!$E$6)</f>
        <v xml:space="preserve"> </v>
      </c>
      <c r="B253" s="30" t="s">
        <v>161</v>
      </c>
      <c r="C253" s="29" t="str">
        <f>IF(ISBLANK('Auditoria CEB'!B282)," ",+'Auditoria CEB'!B282)</f>
        <v xml:space="preserve"> </v>
      </c>
      <c r="D253" s="29" t="str">
        <f>IF(ISBLANK('Auditoria CEB'!D282)," ",+'Auditoria CEB'!D282)</f>
        <v xml:space="preserve"> </v>
      </c>
      <c r="E253" s="29" t="str">
        <f>IF(ISBLANK('Auditoria CEB'!E282)," ",+'Auditoria CEB'!E282)</f>
        <v xml:space="preserve"> </v>
      </c>
      <c r="F253" s="30" t="str">
        <f>IF(ISBLANK('Auditoria CEB'!F262)," ",+'Auditoria CEB'!F262)</f>
        <v xml:space="preserve"> </v>
      </c>
      <c r="G253" s="30" t="str">
        <f>IF(ISBLANK('Auditoria CEB'!I282)," ",+'Auditoria CEB'!I282)</f>
        <v xml:space="preserve"> </v>
      </c>
      <c r="H253" s="30" t="str">
        <f>IF(ISBLANK('Auditoria CEB'!AR282)," ",+'Auditoria CEB'!AR282)</f>
        <v xml:space="preserve"> </v>
      </c>
      <c r="I253" s="45" t="str">
        <f>IF(ISBLANK('Auditoria CEB'!K282)," ",+'Auditoria CEB'!K282)</f>
        <v xml:space="preserve"> </v>
      </c>
      <c r="J253" s="30" t="str">
        <f>IF(ISBLANK('Auditoria CEB'!AM282)," ",+'Auditoria CEB'!AM282)</f>
        <v xml:space="preserve"> </v>
      </c>
    </row>
    <row r="254" spans="1:10">
      <c r="A254" s="30" t="str">
        <f>IF(ISBLANK('Auditoria CEB'!$E$6)," ",'Auditoria CEB'!$E$6)</f>
        <v xml:space="preserve"> </v>
      </c>
      <c r="B254" s="30" t="s">
        <v>161</v>
      </c>
      <c r="C254" s="29" t="str">
        <f>IF(ISBLANK('Auditoria CEB'!B283)," ",+'Auditoria CEB'!B283)</f>
        <v xml:space="preserve"> </v>
      </c>
      <c r="D254" s="29" t="str">
        <f>IF(ISBLANK('Auditoria CEB'!D283)," ",+'Auditoria CEB'!D283)</f>
        <v xml:space="preserve"> </v>
      </c>
      <c r="E254" s="29" t="str">
        <f>IF(ISBLANK('Auditoria CEB'!E283)," ",+'Auditoria CEB'!E283)</f>
        <v xml:space="preserve"> </v>
      </c>
      <c r="F254" s="30" t="str">
        <f>IF(ISBLANK('Auditoria CEB'!F263)," ",+'Auditoria CEB'!F263)</f>
        <v xml:space="preserve"> </v>
      </c>
      <c r="G254" s="30" t="str">
        <f>IF(ISBLANK('Auditoria CEB'!I283)," ",+'Auditoria CEB'!I283)</f>
        <v xml:space="preserve"> </v>
      </c>
      <c r="H254" s="30" t="str">
        <f>IF(ISBLANK('Auditoria CEB'!AR283)," ",+'Auditoria CEB'!AR283)</f>
        <v xml:space="preserve"> </v>
      </c>
      <c r="I254" s="45" t="str">
        <f>IF(ISBLANK('Auditoria CEB'!K283)," ",+'Auditoria CEB'!K283)</f>
        <v xml:space="preserve"> </v>
      </c>
      <c r="J254" s="30" t="str">
        <f>IF(ISBLANK('Auditoria CEB'!AM283)," ",+'Auditoria CEB'!AM283)</f>
        <v xml:space="preserve"> </v>
      </c>
    </row>
    <row r="255" spans="1:10">
      <c r="A255" s="30" t="str">
        <f>IF(ISBLANK('Auditoria CEB'!$E$6)," ",'Auditoria CEB'!$E$6)</f>
        <v xml:space="preserve"> </v>
      </c>
      <c r="B255" s="30" t="s">
        <v>161</v>
      </c>
      <c r="C255" s="29" t="str">
        <f>IF(ISBLANK('Auditoria CEB'!B284)," ",+'Auditoria CEB'!B284)</f>
        <v xml:space="preserve"> </v>
      </c>
      <c r="D255" s="29" t="str">
        <f>IF(ISBLANK('Auditoria CEB'!D284)," ",+'Auditoria CEB'!D284)</f>
        <v xml:space="preserve"> </v>
      </c>
      <c r="E255" s="29" t="str">
        <f>IF(ISBLANK('Auditoria CEB'!E284)," ",+'Auditoria CEB'!E284)</f>
        <v xml:space="preserve"> </v>
      </c>
      <c r="F255" s="30" t="str">
        <f>IF(ISBLANK('Auditoria CEB'!F264)," ",+'Auditoria CEB'!F264)</f>
        <v xml:space="preserve"> </v>
      </c>
      <c r="G255" s="30" t="str">
        <f>IF(ISBLANK('Auditoria CEB'!I284)," ",+'Auditoria CEB'!I284)</f>
        <v xml:space="preserve"> </v>
      </c>
      <c r="H255" s="30" t="str">
        <f>IF(ISBLANK('Auditoria CEB'!AR284)," ",+'Auditoria CEB'!AR284)</f>
        <v xml:space="preserve"> </v>
      </c>
      <c r="I255" s="45" t="str">
        <f>IF(ISBLANK('Auditoria CEB'!K284)," ",+'Auditoria CEB'!K284)</f>
        <v xml:space="preserve"> </v>
      </c>
      <c r="J255" s="30" t="str">
        <f>IF(ISBLANK('Auditoria CEB'!AM284)," ",+'Auditoria CEB'!AM284)</f>
        <v xml:space="preserve"> </v>
      </c>
    </row>
    <row r="256" spans="1:10">
      <c r="A256" s="30" t="str">
        <f>IF(ISBLANK('Auditoria CEB'!$E$6)," ",'Auditoria CEB'!$E$6)</f>
        <v xml:space="preserve"> </v>
      </c>
      <c r="B256" s="30" t="s">
        <v>161</v>
      </c>
      <c r="C256" s="29" t="str">
        <f>IF(ISBLANK('Auditoria CEB'!B285)," ",+'Auditoria CEB'!B285)</f>
        <v xml:space="preserve"> </v>
      </c>
      <c r="D256" s="29" t="str">
        <f>IF(ISBLANK('Auditoria CEB'!D285)," ",+'Auditoria CEB'!D285)</f>
        <v xml:space="preserve"> </v>
      </c>
      <c r="E256" s="29" t="str">
        <f>IF(ISBLANK('Auditoria CEB'!E285)," ",+'Auditoria CEB'!E285)</f>
        <v xml:space="preserve"> </v>
      </c>
      <c r="F256" s="30" t="str">
        <f>IF(ISBLANK('Auditoria CEB'!F265)," ",+'Auditoria CEB'!F265)</f>
        <v xml:space="preserve"> </v>
      </c>
      <c r="G256" s="30" t="str">
        <f>IF(ISBLANK('Auditoria CEB'!I285)," ",+'Auditoria CEB'!I285)</f>
        <v xml:space="preserve"> </v>
      </c>
      <c r="H256" s="30" t="str">
        <f>IF(ISBLANK('Auditoria CEB'!AR285)," ",+'Auditoria CEB'!AR285)</f>
        <v xml:space="preserve"> </v>
      </c>
      <c r="I256" s="45" t="str">
        <f>IF(ISBLANK('Auditoria CEB'!K285)," ",+'Auditoria CEB'!K285)</f>
        <v xml:space="preserve"> </v>
      </c>
      <c r="J256" s="30" t="str">
        <f>IF(ISBLANK('Auditoria CEB'!AM285)," ",+'Auditoria CEB'!AM285)</f>
        <v xml:space="preserve"> </v>
      </c>
    </row>
    <row r="257" spans="1:10">
      <c r="A257" s="30" t="str">
        <f>IF(ISBLANK('Auditoria CEB'!$E$6)," ",'Auditoria CEB'!$E$6)</f>
        <v xml:space="preserve"> </v>
      </c>
      <c r="B257" s="30" t="s">
        <v>161</v>
      </c>
      <c r="C257" s="29" t="str">
        <f>IF(ISBLANK('Auditoria CEB'!B286)," ",+'Auditoria CEB'!B286)</f>
        <v xml:space="preserve"> </v>
      </c>
      <c r="D257" s="29" t="str">
        <f>IF(ISBLANK('Auditoria CEB'!D286)," ",+'Auditoria CEB'!D286)</f>
        <v xml:space="preserve"> </v>
      </c>
      <c r="E257" s="29" t="str">
        <f>IF(ISBLANK('Auditoria CEB'!E286)," ",+'Auditoria CEB'!E286)</f>
        <v xml:space="preserve"> </v>
      </c>
      <c r="F257" s="30" t="str">
        <f>IF(ISBLANK('Auditoria CEB'!F266)," ",+'Auditoria CEB'!F266)</f>
        <v xml:space="preserve"> </v>
      </c>
      <c r="G257" s="30" t="str">
        <f>IF(ISBLANK('Auditoria CEB'!I286)," ",+'Auditoria CEB'!I286)</f>
        <v xml:space="preserve"> </v>
      </c>
      <c r="H257" s="30" t="str">
        <f>IF(ISBLANK('Auditoria CEB'!AR286)," ",+'Auditoria CEB'!AR286)</f>
        <v xml:space="preserve"> </v>
      </c>
      <c r="I257" s="45" t="str">
        <f>IF(ISBLANK('Auditoria CEB'!K286)," ",+'Auditoria CEB'!K286)</f>
        <v xml:space="preserve"> </v>
      </c>
      <c r="J257" s="30" t="str">
        <f>IF(ISBLANK('Auditoria CEB'!AM286)," ",+'Auditoria CEB'!AM286)</f>
        <v xml:space="preserve"> </v>
      </c>
    </row>
    <row r="258" spans="1:10">
      <c r="A258" s="30" t="str">
        <f>IF(ISBLANK('Auditoria CEB'!$E$6)," ",'Auditoria CEB'!$E$6)</f>
        <v xml:space="preserve"> </v>
      </c>
      <c r="B258" s="30" t="s">
        <v>161</v>
      </c>
      <c r="C258" s="29" t="str">
        <f>IF(ISBLANK('Auditoria CEB'!B287)," ",+'Auditoria CEB'!B287)</f>
        <v xml:space="preserve"> </v>
      </c>
      <c r="D258" s="29" t="str">
        <f>IF(ISBLANK('Auditoria CEB'!D287)," ",+'Auditoria CEB'!D287)</f>
        <v xml:space="preserve"> </v>
      </c>
      <c r="E258" s="29" t="str">
        <f>IF(ISBLANK('Auditoria CEB'!E287)," ",+'Auditoria CEB'!E287)</f>
        <v xml:space="preserve"> </v>
      </c>
      <c r="F258" s="30" t="str">
        <f>IF(ISBLANK('Auditoria CEB'!F267)," ",+'Auditoria CEB'!F267)</f>
        <v xml:space="preserve"> </v>
      </c>
      <c r="G258" s="30" t="str">
        <f>IF(ISBLANK('Auditoria CEB'!I287)," ",+'Auditoria CEB'!I287)</f>
        <v xml:space="preserve"> </v>
      </c>
      <c r="H258" s="30" t="str">
        <f>IF(ISBLANK('Auditoria CEB'!AR287)," ",+'Auditoria CEB'!AR287)</f>
        <v xml:space="preserve"> </v>
      </c>
      <c r="I258" s="45" t="str">
        <f>IF(ISBLANK('Auditoria CEB'!K287)," ",+'Auditoria CEB'!K287)</f>
        <v xml:space="preserve"> </v>
      </c>
      <c r="J258" s="30" t="str">
        <f>IF(ISBLANK('Auditoria CEB'!AM287)," ",+'Auditoria CEB'!AM287)</f>
        <v xml:space="preserve"> </v>
      </c>
    </row>
    <row r="259" spans="1:10">
      <c r="A259" s="30" t="str">
        <f>IF(ISBLANK('Auditoria CEB'!$E$6)," ",'Auditoria CEB'!$E$6)</f>
        <v xml:space="preserve"> </v>
      </c>
      <c r="B259" s="30" t="s">
        <v>161</v>
      </c>
      <c r="C259" s="29" t="str">
        <f>IF(ISBLANK('Auditoria CEB'!B288)," ",+'Auditoria CEB'!B288)</f>
        <v xml:space="preserve"> </v>
      </c>
      <c r="D259" s="29" t="str">
        <f>IF(ISBLANK('Auditoria CEB'!D288)," ",+'Auditoria CEB'!D288)</f>
        <v xml:space="preserve"> </v>
      </c>
      <c r="E259" s="29" t="str">
        <f>IF(ISBLANK('Auditoria CEB'!E288)," ",+'Auditoria CEB'!E288)</f>
        <v xml:space="preserve"> </v>
      </c>
      <c r="F259" s="30" t="str">
        <f>IF(ISBLANK('Auditoria CEB'!F268)," ",+'Auditoria CEB'!F268)</f>
        <v xml:space="preserve"> </v>
      </c>
      <c r="G259" s="30" t="str">
        <f>IF(ISBLANK('Auditoria CEB'!I288)," ",+'Auditoria CEB'!I288)</f>
        <v xml:space="preserve"> </v>
      </c>
      <c r="H259" s="30" t="str">
        <f>IF(ISBLANK('Auditoria CEB'!AR288)," ",+'Auditoria CEB'!AR288)</f>
        <v xml:space="preserve"> </v>
      </c>
      <c r="I259" s="45" t="str">
        <f>IF(ISBLANK('Auditoria CEB'!K288)," ",+'Auditoria CEB'!K288)</f>
        <v xml:space="preserve"> </v>
      </c>
      <c r="J259" s="30" t="str">
        <f>IF(ISBLANK('Auditoria CEB'!AM288)," ",+'Auditoria CEB'!AM288)</f>
        <v xml:space="preserve"> </v>
      </c>
    </row>
    <row r="260" spans="1:10">
      <c r="A260" s="30" t="str">
        <f>IF(ISBLANK('Auditoria CEB'!$E$6)," ",'Auditoria CEB'!$E$6)</f>
        <v xml:space="preserve"> </v>
      </c>
      <c r="B260" s="30" t="s">
        <v>161</v>
      </c>
      <c r="C260" s="29" t="str">
        <f>IF(ISBLANK('Auditoria CEB'!B289)," ",+'Auditoria CEB'!B289)</f>
        <v xml:space="preserve"> </v>
      </c>
      <c r="D260" s="29" t="str">
        <f>IF(ISBLANK('Auditoria CEB'!D289)," ",+'Auditoria CEB'!D289)</f>
        <v xml:space="preserve"> </v>
      </c>
      <c r="E260" s="29" t="str">
        <f>IF(ISBLANK('Auditoria CEB'!E289)," ",+'Auditoria CEB'!E289)</f>
        <v xml:space="preserve"> </v>
      </c>
      <c r="F260" s="30" t="str">
        <f>IF(ISBLANK('Auditoria CEB'!F269)," ",+'Auditoria CEB'!F269)</f>
        <v xml:space="preserve"> </v>
      </c>
      <c r="G260" s="30" t="str">
        <f>IF(ISBLANK('Auditoria CEB'!I289)," ",+'Auditoria CEB'!I289)</f>
        <v xml:space="preserve"> </v>
      </c>
      <c r="H260" s="30" t="str">
        <f>IF(ISBLANK('Auditoria CEB'!AR289)," ",+'Auditoria CEB'!AR289)</f>
        <v xml:space="preserve"> </v>
      </c>
      <c r="I260" s="45" t="str">
        <f>IF(ISBLANK('Auditoria CEB'!K289)," ",+'Auditoria CEB'!K289)</f>
        <v xml:space="preserve"> </v>
      </c>
      <c r="J260" s="30" t="str">
        <f>IF(ISBLANK('Auditoria CEB'!AM289)," ",+'Auditoria CEB'!AM289)</f>
        <v xml:space="preserve"> </v>
      </c>
    </row>
    <row r="261" spans="1:10">
      <c r="A261" s="30" t="str">
        <f>IF(ISBLANK('Auditoria CEB'!$E$6)," ",'Auditoria CEB'!$E$6)</f>
        <v xml:space="preserve"> </v>
      </c>
      <c r="B261" s="30" t="s">
        <v>161</v>
      </c>
      <c r="C261" s="29" t="str">
        <f>IF(ISBLANK('Auditoria CEB'!B290)," ",+'Auditoria CEB'!B290)</f>
        <v xml:space="preserve"> </v>
      </c>
      <c r="D261" s="29" t="str">
        <f>IF(ISBLANK('Auditoria CEB'!D290)," ",+'Auditoria CEB'!D290)</f>
        <v xml:space="preserve"> </v>
      </c>
      <c r="E261" s="29" t="str">
        <f>IF(ISBLANK('Auditoria CEB'!E290)," ",+'Auditoria CEB'!E290)</f>
        <v xml:space="preserve"> </v>
      </c>
      <c r="F261" s="30" t="str">
        <f>IF(ISBLANK('Auditoria CEB'!F270)," ",+'Auditoria CEB'!F270)</f>
        <v xml:space="preserve"> </v>
      </c>
      <c r="G261" s="30" t="str">
        <f>IF(ISBLANK('Auditoria CEB'!I290)," ",+'Auditoria CEB'!I290)</f>
        <v xml:space="preserve"> </v>
      </c>
      <c r="H261" s="30" t="str">
        <f>IF(ISBLANK('Auditoria CEB'!AR290)," ",+'Auditoria CEB'!AR290)</f>
        <v xml:space="preserve"> </v>
      </c>
      <c r="I261" s="45" t="str">
        <f>IF(ISBLANK('Auditoria CEB'!K290)," ",+'Auditoria CEB'!K290)</f>
        <v xml:space="preserve"> </v>
      </c>
      <c r="J261" s="30" t="str">
        <f>IF(ISBLANK('Auditoria CEB'!AM290)," ",+'Auditoria CEB'!AM290)</f>
        <v xml:space="preserve"> </v>
      </c>
    </row>
    <row r="262" spans="1:10">
      <c r="A262" s="30" t="str">
        <f>IF(ISBLANK('Auditoria CEB'!$E$6)," ",'Auditoria CEB'!$E$6)</f>
        <v xml:space="preserve"> </v>
      </c>
      <c r="B262" s="30" t="s">
        <v>161</v>
      </c>
      <c r="C262" s="29" t="str">
        <f>IF(ISBLANK('Auditoria CEB'!B291)," ",+'Auditoria CEB'!B291)</f>
        <v xml:space="preserve"> </v>
      </c>
      <c r="D262" s="29" t="str">
        <f>IF(ISBLANK('Auditoria CEB'!D291)," ",+'Auditoria CEB'!D291)</f>
        <v xml:space="preserve"> </v>
      </c>
      <c r="E262" s="29" t="str">
        <f>IF(ISBLANK('Auditoria CEB'!E291)," ",+'Auditoria CEB'!E291)</f>
        <v xml:space="preserve"> </v>
      </c>
      <c r="F262" s="30" t="str">
        <f>IF(ISBLANK('Auditoria CEB'!F271)," ",+'Auditoria CEB'!F271)</f>
        <v xml:space="preserve"> </v>
      </c>
      <c r="G262" s="30" t="str">
        <f>IF(ISBLANK('Auditoria CEB'!I291)," ",+'Auditoria CEB'!I291)</f>
        <v xml:space="preserve"> </v>
      </c>
      <c r="H262" s="30" t="str">
        <f>IF(ISBLANK('Auditoria CEB'!AR291)," ",+'Auditoria CEB'!AR291)</f>
        <v xml:space="preserve"> </v>
      </c>
      <c r="I262" s="45" t="str">
        <f>IF(ISBLANK('Auditoria CEB'!K291)," ",+'Auditoria CEB'!K291)</f>
        <v xml:space="preserve"> </v>
      </c>
      <c r="J262" s="30" t="str">
        <f>IF(ISBLANK('Auditoria CEB'!AM291)," ",+'Auditoria CEB'!AM291)</f>
        <v xml:space="preserve"> </v>
      </c>
    </row>
    <row r="263" spans="1:10">
      <c r="A263" s="30" t="str">
        <f>IF(ISBLANK('Auditoria CEB'!$E$6)," ",'Auditoria CEB'!$E$6)</f>
        <v xml:space="preserve"> </v>
      </c>
      <c r="B263" s="30" t="s">
        <v>161</v>
      </c>
      <c r="C263" s="29" t="str">
        <f>IF(ISBLANK('Auditoria CEB'!B292)," ",+'Auditoria CEB'!B292)</f>
        <v xml:space="preserve"> </v>
      </c>
      <c r="D263" s="29" t="str">
        <f>IF(ISBLANK('Auditoria CEB'!D292)," ",+'Auditoria CEB'!D292)</f>
        <v xml:space="preserve"> </v>
      </c>
      <c r="E263" s="29" t="str">
        <f>IF(ISBLANK('Auditoria CEB'!E292)," ",+'Auditoria CEB'!E292)</f>
        <v xml:space="preserve"> </v>
      </c>
      <c r="F263" s="30" t="str">
        <f>IF(ISBLANK('Auditoria CEB'!F272)," ",+'Auditoria CEB'!F272)</f>
        <v xml:space="preserve"> </v>
      </c>
      <c r="G263" s="30" t="str">
        <f>IF(ISBLANK('Auditoria CEB'!I292)," ",+'Auditoria CEB'!I292)</f>
        <v xml:space="preserve"> </v>
      </c>
      <c r="H263" s="30" t="str">
        <f>IF(ISBLANK('Auditoria CEB'!AR292)," ",+'Auditoria CEB'!AR292)</f>
        <v xml:space="preserve"> </v>
      </c>
      <c r="I263" s="45" t="str">
        <f>IF(ISBLANK('Auditoria CEB'!K292)," ",+'Auditoria CEB'!K292)</f>
        <v xml:space="preserve"> </v>
      </c>
      <c r="J263" s="30" t="str">
        <f>IF(ISBLANK('Auditoria CEB'!AM292)," ",+'Auditoria CEB'!AM292)</f>
        <v xml:space="preserve"> </v>
      </c>
    </row>
    <row r="264" spans="1:10">
      <c r="A264" s="30" t="str">
        <f>IF(ISBLANK('Auditoria CEB'!$E$6)," ",'Auditoria CEB'!$E$6)</f>
        <v xml:space="preserve"> </v>
      </c>
      <c r="B264" s="30" t="s">
        <v>161</v>
      </c>
      <c r="C264" s="29" t="str">
        <f>IF(ISBLANK('Auditoria CEB'!B293)," ",+'Auditoria CEB'!B293)</f>
        <v xml:space="preserve"> </v>
      </c>
      <c r="D264" s="29" t="str">
        <f>IF(ISBLANK('Auditoria CEB'!D293)," ",+'Auditoria CEB'!D293)</f>
        <v xml:space="preserve"> </v>
      </c>
      <c r="E264" s="29" t="str">
        <f>IF(ISBLANK('Auditoria CEB'!E293)," ",+'Auditoria CEB'!E293)</f>
        <v xml:space="preserve"> </v>
      </c>
      <c r="F264" s="30" t="str">
        <f>IF(ISBLANK('Auditoria CEB'!F273)," ",+'Auditoria CEB'!F273)</f>
        <v xml:space="preserve"> </v>
      </c>
      <c r="G264" s="30" t="str">
        <f>IF(ISBLANK('Auditoria CEB'!I293)," ",+'Auditoria CEB'!I293)</f>
        <v xml:space="preserve"> </v>
      </c>
      <c r="H264" s="30" t="str">
        <f>IF(ISBLANK('Auditoria CEB'!AR293)," ",+'Auditoria CEB'!AR293)</f>
        <v xml:space="preserve"> </v>
      </c>
      <c r="I264" s="45" t="str">
        <f>IF(ISBLANK('Auditoria CEB'!K293)," ",+'Auditoria CEB'!K293)</f>
        <v xml:space="preserve"> </v>
      </c>
      <c r="J264" s="30" t="str">
        <f>IF(ISBLANK('Auditoria CEB'!AM293)," ",+'Auditoria CEB'!AM293)</f>
        <v xml:space="preserve"> </v>
      </c>
    </row>
    <row r="265" spans="1:10">
      <c r="A265" s="30" t="str">
        <f>IF(ISBLANK('Auditoria CEB'!$E$6)," ",'Auditoria CEB'!$E$6)</f>
        <v xml:space="preserve"> </v>
      </c>
      <c r="B265" s="30" t="s">
        <v>161</v>
      </c>
      <c r="C265" s="29" t="str">
        <f>IF(ISBLANK('Auditoria CEB'!B294)," ",+'Auditoria CEB'!B294)</f>
        <v xml:space="preserve"> </v>
      </c>
      <c r="D265" s="29" t="str">
        <f>IF(ISBLANK('Auditoria CEB'!D294)," ",+'Auditoria CEB'!D294)</f>
        <v xml:space="preserve"> </v>
      </c>
      <c r="E265" s="29" t="str">
        <f>IF(ISBLANK('Auditoria CEB'!E294)," ",+'Auditoria CEB'!E294)</f>
        <v xml:space="preserve"> </v>
      </c>
      <c r="F265" s="30" t="str">
        <f>IF(ISBLANK('Auditoria CEB'!F274)," ",+'Auditoria CEB'!F274)</f>
        <v xml:space="preserve"> </v>
      </c>
      <c r="G265" s="30" t="str">
        <f>IF(ISBLANK('Auditoria CEB'!I294)," ",+'Auditoria CEB'!I294)</f>
        <v xml:space="preserve"> </v>
      </c>
      <c r="H265" s="30" t="str">
        <f>IF(ISBLANK('Auditoria CEB'!AR294)," ",+'Auditoria CEB'!AR294)</f>
        <v xml:space="preserve"> </v>
      </c>
      <c r="I265" s="45" t="str">
        <f>IF(ISBLANK('Auditoria CEB'!K294)," ",+'Auditoria CEB'!K294)</f>
        <v xml:space="preserve"> </v>
      </c>
      <c r="J265" s="30" t="str">
        <f>IF(ISBLANK('Auditoria CEB'!AM294)," ",+'Auditoria CEB'!AM294)</f>
        <v xml:space="preserve"> </v>
      </c>
    </row>
    <row r="266" spans="1:10">
      <c r="A266" s="30" t="str">
        <f>IF(ISBLANK('Auditoria CEB'!$E$6)," ",'Auditoria CEB'!$E$6)</f>
        <v xml:space="preserve"> </v>
      </c>
      <c r="B266" s="30" t="s">
        <v>161</v>
      </c>
      <c r="C266" s="29" t="str">
        <f>IF(ISBLANK('Auditoria CEB'!B295)," ",+'Auditoria CEB'!B295)</f>
        <v xml:space="preserve"> </v>
      </c>
      <c r="D266" s="29" t="str">
        <f>IF(ISBLANK('Auditoria CEB'!D295)," ",+'Auditoria CEB'!D295)</f>
        <v xml:space="preserve"> </v>
      </c>
      <c r="E266" s="29" t="str">
        <f>IF(ISBLANK('Auditoria CEB'!E295)," ",+'Auditoria CEB'!E295)</f>
        <v xml:space="preserve"> </v>
      </c>
      <c r="F266" s="30" t="str">
        <f>IF(ISBLANK('Auditoria CEB'!F275)," ",+'Auditoria CEB'!F275)</f>
        <v xml:space="preserve"> </v>
      </c>
      <c r="G266" s="30" t="str">
        <f>IF(ISBLANK('Auditoria CEB'!I295)," ",+'Auditoria CEB'!I295)</f>
        <v xml:space="preserve"> </v>
      </c>
      <c r="H266" s="30" t="str">
        <f>IF(ISBLANK('Auditoria CEB'!AR295)," ",+'Auditoria CEB'!AR295)</f>
        <v xml:space="preserve"> </v>
      </c>
      <c r="I266" s="45" t="str">
        <f>IF(ISBLANK('Auditoria CEB'!K295)," ",+'Auditoria CEB'!K295)</f>
        <v xml:space="preserve"> </v>
      </c>
      <c r="J266" s="30" t="str">
        <f>IF(ISBLANK('Auditoria CEB'!AM295)," ",+'Auditoria CEB'!AM295)</f>
        <v xml:space="preserve"> </v>
      </c>
    </row>
    <row r="267" spans="1:10">
      <c r="A267" s="30" t="str">
        <f>IF(ISBLANK('Auditoria CEB'!$E$6)," ",'Auditoria CEB'!$E$6)</f>
        <v xml:space="preserve"> </v>
      </c>
      <c r="B267" s="30" t="s">
        <v>161</v>
      </c>
      <c r="C267" s="29" t="str">
        <f>IF(ISBLANK('Auditoria CEB'!B296)," ",+'Auditoria CEB'!B296)</f>
        <v xml:space="preserve"> </v>
      </c>
      <c r="D267" s="29" t="str">
        <f>IF(ISBLANK('Auditoria CEB'!D296)," ",+'Auditoria CEB'!D296)</f>
        <v xml:space="preserve"> </v>
      </c>
      <c r="E267" s="29" t="str">
        <f>IF(ISBLANK('Auditoria CEB'!E296)," ",+'Auditoria CEB'!E296)</f>
        <v xml:space="preserve"> </v>
      </c>
      <c r="F267" s="30" t="str">
        <f>IF(ISBLANK('Auditoria CEB'!F276)," ",+'Auditoria CEB'!F276)</f>
        <v xml:space="preserve"> </v>
      </c>
      <c r="G267" s="30" t="str">
        <f>IF(ISBLANK('Auditoria CEB'!I296)," ",+'Auditoria CEB'!I296)</f>
        <v xml:space="preserve"> </v>
      </c>
      <c r="H267" s="30" t="str">
        <f>IF(ISBLANK('Auditoria CEB'!AR296)," ",+'Auditoria CEB'!AR296)</f>
        <v xml:space="preserve"> </v>
      </c>
      <c r="I267" s="45" t="str">
        <f>IF(ISBLANK('Auditoria CEB'!K296)," ",+'Auditoria CEB'!K296)</f>
        <v xml:space="preserve"> </v>
      </c>
      <c r="J267" s="30" t="str">
        <f>IF(ISBLANK('Auditoria CEB'!AM296)," ",+'Auditoria CEB'!AM296)</f>
        <v xml:space="preserve"> </v>
      </c>
    </row>
    <row r="268" spans="1:10">
      <c r="A268" s="30" t="str">
        <f>IF(ISBLANK('Auditoria CEB'!$E$6)," ",'Auditoria CEB'!$E$6)</f>
        <v xml:space="preserve"> </v>
      </c>
      <c r="B268" s="30" t="s">
        <v>161</v>
      </c>
      <c r="C268" s="29" t="str">
        <f>IF(ISBLANK('Auditoria CEB'!B297)," ",+'Auditoria CEB'!B297)</f>
        <v xml:space="preserve"> </v>
      </c>
      <c r="D268" s="29" t="str">
        <f>IF(ISBLANK('Auditoria CEB'!D297)," ",+'Auditoria CEB'!D297)</f>
        <v xml:space="preserve"> </v>
      </c>
      <c r="E268" s="29" t="str">
        <f>IF(ISBLANK('Auditoria CEB'!E297)," ",+'Auditoria CEB'!E297)</f>
        <v xml:space="preserve"> </v>
      </c>
      <c r="F268" s="30" t="str">
        <f>IF(ISBLANK('Auditoria CEB'!F277)," ",+'Auditoria CEB'!F277)</f>
        <v xml:space="preserve"> </v>
      </c>
      <c r="G268" s="30" t="str">
        <f>IF(ISBLANK('Auditoria CEB'!I297)," ",+'Auditoria CEB'!I297)</f>
        <v xml:space="preserve"> </v>
      </c>
      <c r="H268" s="30" t="str">
        <f>IF(ISBLANK('Auditoria CEB'!AR297)," ",+'Auditoria CEB'!AR297)</f>
        <v xml:space="preserve"> </v>
      </c>
      <c r="I268" s="45" t="str">
        <f>IF(ISBLANK('Auditoria CEB'!K297)," ",+'Auditoria CEB'!K297)</f>
        <v xml:space="preserve"> </v>
      </c>
      <c r="J268" s="30" t="str">
        <f>IF(ISBLANK('Auditoria CEB'!AM297)," ",+'Auditoria CEB'!AM297)</f>
        <v xml:space="preserve"> </v>
      </c>
    </row>
    <row r="269" spans="1:10">
      <c r="A269" s="30" t="str">
        <f>IF(ISBLANK('Auditoria CEB'!$E$6)," ",'Auditoria CEB'!$E$6)</f>
        <v xml:space="preserve"> </v>
      </c>
      <c r="B269" s="30" t="s">
        <v>161</v>
      </c>
      <c r="C269" s="29" t="str">
        <f>IF(ISBLANK('Auditoria CEB'!B298)," ",+'Auditoria CEB'!B298)</f>
        <v xml:space="preserve"> </v>
      </c>
      <c r="D269" s="29" t="str">
        <f>IF(ISBLANK('Auditoria CEB'!D298)," ",+'Auditoria CEB'!D298)</f>
        <v xml:space="preserve"> </v>
      </c>
      <c r="E269" s="29" t="str">
        <f>IF(ISBLANK('Auditoria CEB'!E298)," ",+'Auditoria CEB'!E298)</f>
        <v xml:space="preserve"> </v>
      </c>
      <c r="F269" s="30" t="str">
        <f>IF(ISBLANK('Auditoria CEB'!F278)," ",+'Auditoria CEB'!F278)</f>
        <v xml:space="preserve"> </v>
      </c>
      <c r="G269" s="30" t="str">
        <f>IF(ISBLANK('Auditoria CEB'!I298)," ",+'Auditoria CEB'!I298)</f>
        <v xml:space="preserve"> </v>
      </c>
      <c r="H269" s="30" t="str">
        <f>IF(ISBLANK('Auditoria CEB'!AR298)," ",+'Auditoria CEB'!AR298)</f>
        <v xml:space="preserve"> </v>
      </c>
      <c r="I269" s="45" t="str">
        <f>IF(ISBLANK('Auditoria CEB'!K298)," ",+'Auditoria CEB'!K298)</f>
        <v xml:space="preserve"> </v>
      </c>
      <c r="J269" s="30" t="str">
        <f>IF(ISBLANK('Auditoria CEB'!AM298)," ",+'Auditoria CEB'!AM298)</f>
        <v xml:space="preserve"> </v>
      </c>
    </row>
    <row r="270" spans="1:10">
      <c r="A270" s="30" t="str">
        <f>IF(ISBLANK('Auditoria CEB'!$E$6)," ",'Auditoria CEB'!$E$6)</f>
        <v xml:space="preserve"> </v>
      </c>
      <c r="B270" s="30" t="s">
        <v>161</v>
      </c>
      <c r="C270" s="29" t="str">
        <f>IF(ISBLANK('Auditoria CEB'!B299)," ",+'Auditoria CEB'!B299)</f>
        <v xml:space="preserve"> </v>
      </c>
      <c r="D270" s="29" t="str">
        <f>IF(ISBLANK('Auditoria CEB'!D299)," ",+'Auditoria CEB'!D299)</f>
        <v xml:space="preserve"> </v>
      </c>
      <c r="E270" s="29" t="str">
        <f>IF(ISBLANK('Auditoria CEB'!E299)," ",+'Auditoria CEB'!E299)</f>
        <v xml:space="preserve"> </v>
      </c>
      <c r="F270" s="30" t="str">
        <f>IF(ISBLANK('Auditoria CEB'!F279)," ",+'Auditoria CEB'!F279)</f>
        <v xml:space="preserve"> </v>
      </c>
      <c r="G270" s="30" t="str">
        <f>IF(ISBLANK('Auditoria CEB'!I299)," ",+'Auditoria CEB'!I299)</f>
        <v xml:space="preserve"> </v>
      </c>
      <c r="H270" s="30" t="str">
        <f>IF(ISBLANK('Auditoria CEB'!AR299)," ",+'Auditoria CEB'!AR299)</f>
        <v xml:space="preserve"> </v>
      </c>
      <c r="I270" s="45" t="str">
        <f>IF(ISBLANK('Auditoria CEB'!K299)," ",+'Auditoria CEB'!K299)</f>
        <v xml:space="preserve"> </v>
      </c>
      <c r="J270" s="30" t="str">
        <f>IF(ISBLANK('Auditoria CEB'!AM299)," ",+'Auditoria CEB'!AM299)</f>
        <v xml:space="preserve"> </v>
      </c>
    </row>
    <row r="271" spans="1:10">
      <c r="A271" s="30" t="str">
        <f>IF(ISBLANK('Auditoria CEB'!$E$6)," ",'Auditoria CEB'!$E$6)</f>
        <v xml:space="preserve"> </v>
      </c>
      <c r="B271" s="30" t="s">
        <v>161</v>
      </c>
      <c r="C271" s="29" t="str">
        <f>IF(ISBLANK('Auditoria CEB'!B300)," ",+'Auditoria CEB'!B300)</f>
        <v xml:space="preserve"> </v>
      </c>
      <c r="D271" s="29" t="str">
        <f>IF(ISBLANK('Auditoria CEB'!D300)," ",+'Auditoria CEB'!D300)</f>
        <v xml:space="preserve"> </v>
      </c>
      <c r="E271" s="29" t="str">
        <f>IF(ISBLANK('Auditoria CEB'!E300)," ",+'Auditoria CEB'!E300)</f>
        <v xml:space="preserve"> </v>
      </c>
      <c r="F271" s="30" t="str">
        <f>IF(ISBLANK('Auditoria CEB'!F280)," ",+'Auditoria CEB'!F280)</f>
        <v xml:space="preserve"> </v>
      </c>
      <c r="G271" s="30" t="str">
        <f>IF(ISBLANK('Auditoria CEB'!I300)," ",+'Auditoria CEB'!I300)</f>
        <v xml:space="preserve"> </v>
      </c>
      <c r="H271" s="30" t="str">
        <f>IF(ISBLANK('Auditoria CEB'!AR300)," ",+'Auditoria CEB'!AR300)</f>
        <v xml:space="preserve"> </v>
      </c>
      <c r="I271" s="45" t="str">
        <f>IF(ISBLANK('Auditoria CEB'!K300)," ",+'Auditoria CEB'!K300)</f>
        <v xml:space="preserve"> </v>
      </c>
      <c r="J271" s="30" t="str">
        <f>IF(ISBLANK('Auditoria CEB'!AM300)," ",+'Auditoria CEB'!AM300)</f>
        <v xml:space="preserve"> </v>
      </c>
    </row>
    <row r="272" spans="1:10">
      <c r="A272" s="30" t="str">
        <f>IF(ISBLANK('Auditoria CEB'!$E$6)," ",'Auditoria CEB'!$E$6)</f>
        <v xml:space="preserve"> </v>
      </c>
      <c r="B272" s="30" t="s">
        <v>161</v>
      </c>
      <c r="C272" s="29" t="str">
        <f>IF(ISBLANK('Auditoria CEB'!B301)," ",+'Auditoria CEB'!B301)</f>
        <v xml:space="preserve"> </v>
      </c>
      <c r="D272" s="29" t="str">
        <f>IF(ISBLANK('Auditoria CEB'!D301)," ",+'Auditoria CEB'!D301)</f>
        <v xml:space="preserve"> </v>
      </c>
      <c r="E272" s="29" t="str">
        <f>IF(ISBLANK('Auditoria CEB'!E301)," ",+'Auditoria CEB'!E301)</f>
        <v xml:space="preserve"> </v>
      </c>
      <c r="F272" s="30" t="str">
        <f>IF(ISBLANK('Auditoria CEB'!F281)," ",+'Auditoria CEB'!F281)</f>
        <v xml:space="preserve"> </v>
      </c>
      <c r="G272" s="30" t="str">
        <f>IF(ISBLANK('Auditoria CEB'!I301)," ",+'Auditoria CEB'!I301)</f>
        <v xml:space="preserve"> </v>
      </c>
      <c r="H272" s="30" t="str">
        <f>IF(ISBLANK('Auditoria CEB'!AR301)," ",+'Auditoria CEB'!AR301)</f>
        <v xml:space="preserve"> </v>
      </c>
      <c r="I272" s="45" t="str">
        <f>IF(ISBLANK('Auditoria CEB'!K301)," ",+'Auditoria CEB'!K301)</f>
        <v xml:space="preserve"> </v>
      </c>
      <c r="J272" s="30" t="str">
        <f>IF(ISBLANK('Auditoria CEB'!AM301)," ",+'Auditoria CEB'!AM301)</f>
        <v xml:space="preserve"> </v>
      </c>
    </row>
    <row r="273" spans="1:10">
      <c r="A273" s="30" t="str">
        <f>IF(ISBLANK('Auditoria CEB'!$E$6)," ",'Auditoria CEB'!$E$6)</f>
        <v xml:space="preserve"> </v>
      </c>
      <c r="B273" s="30" t="s">
        <v>161</v>
      </c>
      <c r="C273" s="29" t="str">
        <f>IF(ISBLANK('Auditoria CEB'!B302)," ",+'Auditoria CEB'!B302)</f>
        <v xml:space="preserve"> </v>
      </c>
      <c r="D273" s="29" t="str">
        <f>IF(ISBLANK('Auditoria CEB'!D302)," ",+'Auditoria CEB'!D302)</f>
        <v xml:space="preserve"> </v>
      </c>
      <c r="E273" s="29" t="str">
        <f>IF(ISBLANK('Auditoria CEB'!E302)," ",+'Auditoria CEB'!E302)</f>
        <v xml:space="preserve"> </v>
      </c>
      <c r="F273" s="30" t="str">
        <f>IF(ISBLANK('Auditoria CEB'!F282)," ",+'Auditoria CEB'!F282)</f>
        <v xml:space="preserve"> </v>
      </c>
      <c r="G273" s="30" t="str">
        <f>IF(ISBLANK('Auditoria CEB'!I302)," ",+'Auditoria CEB'!I302)</f>
        <v xml:space="preserve"> </v>
      </c>
      <c r="H273" s="30" t="str">
        <f>IF(ISBLANK('Auditoria CEB'!AR302)," ",+'Auditoria CEB'!AR302)</f>
        <v xml:space="preserve"> </v>
      </c>
      <c r="I273" s="45" t="str">
        <f>IF(ISBLANK('Auditoria CEB'!K302)," ",+'Auditoria CEB'!K302)</f>
        <v xml:space="preserve"> </v>
      </c>
      <c r="J273" s="30" t="str">
        <f>IF(ISBLANK('Auditoria CEB'!AM302)," ",+'Auditoria CEB'!AM302)</f>
        <v xml:space="preserve"> </v>
      </c>
    </row>
    <row r="274" spans="1:10">
      <c r="A274" s="30" t="str">
        <f>IF(ISBLANK('Auditoria CEB'!$E$6)," ",'Auditoria CEB'!$E$6)</f>
        <v xml:space="preserve"> </v>
      </c>
      <c r="B274" s="30" t="s">
        <v>161</v>
      </c>
      <c r="C274" s="29" t="str">
        <f>IF(ISBLANK('Auditoria CEB'!B303)," ",+'Auditoria CEB'!B303)</f>
        <v xml:space="preserve"> </v>
      </c>
      <c r="D274" s="29" t="str">
        <f>IF(ISBLANK('Auditoria CEB'!D303)," ",+'Auditoria CEB'!D303)</f>
        <v xml:space="preserve"> </v>
      </c>
      <c r="E274" s="29" t="str">
        <f>IF(ISBLANK('Auditoria CEB'!E303)," ",+'Auditoria CEB'!E303)</f>
        <v xml:space="preserve"> </v>
      </c>
      <c r="F274" s="30" t="str">
        <f>IF(ISBLANK('Auditoria CEB'!F283)," ",+'Auditoria CEB'!F283)</f>
        <v xml:space="preserve"> </v>
      </c>
      <c r="G274" s="30" t="str">
        <f>IF(ISBLANK('Auditoria CEB'!I303)," ",+'Auditoria CEB'!I303)</f>
        <v xml:space="preserve"> </v>
      </c>
      <c r="H274" s="30" t="str">
        <f>IF(ISBLANK('Auditoria CEB'!AR303)," ",+'Auditoria CEB'!AR303)</f>
        <v xml:space="preserve"> </v>
      </c>
      <c r="I274" s="45" t="str">
        <f>IF(ISBLANK('Auditoria CEB'!K303)," ",+'Auditoria CEB'!K303)</f>
        <v xml:space="preserve"> </v>
      </c>
      <c r="J274" s="30" t="str">
        <f>IF(ISBLANK('Auditoria CEB'!AM303)," ",+'Auditoria CEB'!AM303)</f>
        <v xml:space="preserve"> </v>
      </c>
    </row>
    <row r="275" spans="1:10">
      <c r="A275" s="30" t="str">
        <f>IF(ISBLANK('Auditoria CEB'!$E$6)," ",'Auditoria CEB'!$E$6)</f>
        <v xml:space="preserve"> </v>
      </c>
      <c r="B275" s="30" t="s">
        <v>161</v>
      </c>
      <c r="C275" s="29" t="str">
        <f>IF(ISBLANK('Auditoria CEB'!B304)," ",+'Auditoria CEB'!B304)</f>
        <v xml:space="preserve"> </v>
      </c>
      <c r="D275" s="29" t="str">
        <f>IF(ISBLANK('Auditoria CEB'!D304)," ",+'Auditoria CEB'!D304)</f>
        <v xml:space="preserve"> </v>
      </c>
      <c r="E275" s="29" t="str">
        <f>IF(ISBLANK('Auditoria CEB'!E304)," ",+'Auditoria CEB'!E304)</f>
        <v xml:space="preserve"> </v>
      </c>
      <c r="F275" s="30" t="str">
        <f>IF(ISBLANK('Auditoria CEB'!F284)," ",+'Auditoria CEB'!F284)</f>
        <v xml:space="preserve"> </v>
      </c>
      <c r="G275" s="30" t="str">
        <f>IF(ISBLANK('Auditoria CEB'!I304)," ",+'Auditoria CEB'!I304)</f>
        <v xml:space="preserve"> </v>
      </c>
      <c r="H275" s="30" t="str">
        <f>IF(ISBLANK('Auditoria CEB'!AR304)," ",+'Auditoria CEB'!AR304)</f>
        <v xml:space="preserve"> </v>
      </c>
      <c r="I275" s="45" t="str">
        <f>IF(ISBLANK('Auditoria CEB'!K304)," ",+'Auditoria CEB'!K304)</f>
        <v xml:space="preserve"> </v>
      </c>
      <c r="J275" s="30" t="str">
        <f>IF(ISBLANK('Auditoria CEB'!AM304)," ",+'Auditoria CEB'!AM304)</f>
        <v xml:space="preserve"> </v>
      </c>
    </row>
    <row r="276" spans="1:10">
      <c r="A276" s="30" t="str">
        <f>IF(ISBLANK('Auditoria CEB'!$E$6)," ",'Auditoria CEB'!$E$6)</f>
        <v xml:space="preserve"> </v>
      </c>
      <c r="B276" s="30" t="s">
        <v>161</v>
      </c>
      <c r="C276" s="29" t="str">
        <f>IF(ISBLANK('Auditoria CEB'!B305)," ",+'Auditoria CEB'!B305)</f>
        <v xml:space="preserve"> </v>
      </c>
      <c r="D276" s="29" t="str">
        <f>IF(ISBLANK('Auditoria CEB'!D305)," ",+'Auditoria CEB'!D305)</f>
        <v xml:space="preserve"> </v>
      </c>
      <c r="E276" s="29" t="str">
        <f>IF(ISBLANK('Auditoria CEB'!E305)," ",+'Auditoria CEB'!E305)</f>
        <v xml:space="preserve"> </v>
      </c>
      <c r="F276" s="30" t="str">
        <f>IF(ISBLANK('Auditoria CEB'!F285)," ",+'Auditoria CEB'!F285)</f>
        <v xml:space="preserve"> </v>
      </c>
      <c r="G276" s="30" t="str">
        <f>IF(ISBLANK('Auditoria CEB'!I305)," ",+'Auditoria CEB'!I305)</f>
        <v xml:space="preserve"> </v>
      </c>
      <c r="H276" s="30" t="str">
        <f>IF(ISBLANK('Auditoria CEB'!AR305)," ",+'Auditoria CEB'!AR305)</f>
        <v xml:space="preserve"> </v>
      </c>
      <c r="I276" s="45" t="str">
        <f>IF(ISBLANK('Auditoria CEB'!K305)," ",+'Auditoria CEB'!K305)</f>
        <v xml:space="preserve"> </v>
      </c>
      <c r="J276" s="30" t="str">
        <f>IF(ISBLANK('Auditoria CEB'!AM305)," ",+'Auditoria CEB'!AM305)</f>
        <v xml:space="preserve"> </v>
      </c>
    </row>
    <row r="277" spans="1:10">
      <c r="A277" s="30" t="str">
        <f>IF(ISBLANK('Auditoria CEB'!$E$6)," ",'Auditoria CEB'!$E$6)</f>
        <v xml:space="preserve"> </v>
      </c>
      <c r="B277" s="30" t="s">
        <v>161</v>
      </c>
      <c r="C277" s="29" t="str">
        <f>IF(ISBLANK('Auditoria CEB'!B306)," ",+'Auditoria CEB'!B306)</f>
        <v xml:space="preserve"> </v>
      </c>
      <c r="D277" s="29" t="str">
        <f>IF(ISBLANK('Auditoria CEB'!D306)," ",+'Auditoria CEB'!D306)</f>
        <v xml:space="preserve"> </v>
      </c>
      <c r="E277" s="29" t="str">
        <f>IF(ISBLANK('Auditoria CEB'!E306)," ",+'Auditoria CEB'!E306)</f>
        <v xml:space="preserve"> </v>
      </c>
      <c r="F277" s="30" t="str">
        <f>IF(ISBLANK('Auditoria CEB'!F286)," ",+'Auditoria CEB'!F286)</f>
        <v xml:space="preserve"> </v>
      </c>
      <c r="G277" s="30" t="str">
        <f>IF(ISBLANK('Auditoria CEB'!I306)," ",+'Auditoria CEB'!I306)</f>
        <v xml:space="preserve"> </v>
      </c>
      <c r="H277" s="30" t="str">
        <f>IF(ISBLANK('Auditoria CEB'!AR306)," ",+'Auditoria CEB'!AR306)</f>
        <v xml:space="preserve"> </v>
      </c>
      <c r="I277" s="45" t="str">
        <f>IF(ISBLANK('Auditoria CEB'!K306)," ",+'Auditoria CEB'!K306)</f>
        <v xml:space="preserve"> </v>
      </c>
      <c r="J277" s="30" t="str">
        <f>IF(ISBLANK('Auditoria CEB'!AM306)," ",+'Auditoria CEB'!AM306)</f>
        <v xml:space="preserve"> </v>
      </c>
    </row>
    <row r="278" spans="1:10">
      <c r="A278" s="30" t="str">
        <f>IF(ISBLANK('Auditoria CEB'!$E$6)," ",'Auditoria CEB'!$E$6)</f>
        <v xml:space="preserve"> </v>
      </c>
      <c r="B278" s="30" t="s">
        <v>161</v>
      </c>
      <c r="C278" s="29" t="str">
        <f>IF(ISBLANK('Auditoria CEB'!B307)," ",+'Auditoria CEB'!B307)</f>
        <v xml:space="preserve"> </v>
      </c>
      <c r="D278" s="29" t="str">
        <f>IF(ISBLANK('Auditoria CEB'!D307)," ",+'Auditoria CEB'!D307)</f>
        <v xml:space="preserve"> </v>
      </c>
      <c r="E278" s="29" t="str">
        <f>IF(ISBLANK('Auditoria CEB'!E307)," ",+'Auditoria CEB'!E307)</f>
        <v xml:space="preserve"> </v>
      </c>
      <c r="F278" s="30" t="str">
        <f>IF(ISBLANK('Auditoria CEB'!F287)," ",+'Auditoria CEB'!F287)</f>
        <v xml:space="preserve"> </v>
      </c>
      <c r="G278" s="30" t="str">
        <f>IF(ISBLANK('Auditoria CEB'!I307)," ",+'Auditoria CEB'!I307)</f>
        <v xml:space="preserve"> </v>
      </c>
      <c r="H278" s="30" t="str">
        <f>IF(ISBLANK('Auditoria CEB'!AR307)," ",+'Auditoria CEB'!AR307)</f>
        <v xml:space="preserve"> </v>
      </c>
      <c r="I278" s="45" t="str">
        <f>IF(ISBLANK('Auditoria CEB'!K307)," ",+'Auditoria CEB'!K307)</f>
        <v xml:space="preserve"> </v>
      </c>
      <c r="J278" s="30" t="str">
        <f>IF(ISBLANK('Auditoria CEB'!AM307)," ",+'Auditoria CEB'!AM307)</f>
        <v xml:space="preserve"> </v>
      </c>
    </row>
    <row r="279" spans="1:10">
      <c r="A279" s="30" t="str">
        <f>IF(ISBLANK('Auditoria CEB'!$E$6)," ",'Auditoria CEB'!$E$6)</f>
        <v xml:space="preserve"> </v>
      </c>
      <c r="B279" s="30" t="s">
        <v>161</v>
      </c>
      <c r="C279" s="29" t="str">
        <f>IF(ISBLANK('Auditoria CEB'!B308)," ",+'Auditoria CEB'!B308)</f>
        <v xml:space="preserve"> </v>
      </c>
      <c r="D279" s="29" t="str">
        <f>IF(ISBLANK('Auditoria CEB'!D308)," ",+'Auditoria CEB'!D308)</f>
        <v xml:space="preserve"> </v>
      </c>
      <c r="E279" s="29" t="str">
        <f>IF(ISBLANK('Auditoria CEB'!E308)," ",+'Auditoria CEB'!E308)</f>
        <v xml:space="preserve"> </v>
      </c>
      <c r="F279" s="30" t="str">
        <f>IF(ISBLANK('Auditoria CEB'!F288)," ",+'Auditoria CEB'!F288)</f>
        <v xml:space="preserve"> </v>
      </c>
      <c r="G279" s="30" t="str">
        <f>IF(ISBLANK('Auditoria CEB'!I308)," ",+'Auditoria CEB'!I308)</f>
        <v xml:space="preserve"> </v>
      </c>
      <c r="H279" s="30" t="str">
        <f>IF(ISBLANK('Auditoria CEB'!AR308)," ",+'Auditoria CEB'!AR308)</f>
        <v xml:space="preserve"> </v>
      </c>
      <c r="I279" s="45" t="str">
        <f>IF(ISBLANK('Auditoria CEB'!K308)," ",+'Auditoria CEB'!K308)</f>
        <v xml:space="preserve"> </v>
      </c>
      <c r="J279" s="30" t="str">
        <f>IF(ISBLANK('Auditoria CEB'!AM308)," ",+'Auditoria CEB'!AM308)</f>
        <v xml:space="preserve"> </v>
      </c>
    </row>
    <row r="280" spans="1:10">
      <c r="A280" s="30" t="str">
        <f>IF(ISBLANK('Auditoria CEB'!$E$6)," ",'Auditoria CEB'!$E$6)</f>
        <v xml:space="preserve"> </v>
      </c>
      <c r="B280" s="30" t="s">
        <v>161</v>
      </c>
      <c r="C280" s="29" t="str">
        <f>IF(ISBLANK('Auditoria CEB'!B309)," ",+'Auditoria CEB'!B309)</f>
        <v xml:space="preserve"> </v>
      </c>
      <c r="D280" s="29" t="str">
        <f>IF(ISBLANK('Auditoria CEB'!D309)," ",+'Auditoria CEB'!D309)</f>
        <v xml:space="preserve"> </v>
      </c>
      <c r="E280" s="29" t="str">
        <f>IF(ISBLANK('Auditoria CEB'!E309)," ",+'Auditoria CEB'!E309)</f>
        <v xml:space="preserve"> </v>
      </c>
      <c r="F280" s="30" t="str">
        <f>IF(ISBLANK('Auditoria CEB'!F289)," ",+'Auditoria CEB'!F289)</f>
        <v xml:space="preserve"> </v>
      </c>
      <c r="G280" s="30" t="str">
        <f>IF(ISBLANK('Auditoria CEB'!I309)," ",+'Auditoria CEB'!I309)</f>
        <v xml:space="preserve"> </v>
      </c>
      <c r="H280" s="30" t="str">
        <f>IF(ISBLANK('Auditoria CEB'!AR309)," ",+'Auditoria CEB'!AR309)</f>
        <v xml:space="preserve"> </v>
      </c>
      <c r="I280" s="45" t="str">
        <f>IF(ISBLANK('Auditoria CEB'!K309)," ",+'Auditoria CEB'!K309)</f>
        <v xml:space="preserve"> </v>
      </c>
      <c r="J280" s="30" t="str">
        <f>IF(ISBLANK('Auditoria CEB'!AM309)," ",+'Auditoria CEB'!AM309)</f>
        <v xml:space="preserve"> </v>
      </c>
    </row>
    <row r="281" spans="1:10">
      <c r="A281" s="30" t="str">
        <f>IF(ISBLANK('Auditoria CEB'!$E$6)," ",'Auditoria CEB'!$E$6)</f>
        <v xml:space="preserve"> </v>
      </c>
      <c r="B281" s="30" t="s">
        <v>161</v>
      </c>
      <c r="C281" s="29" t="str">
        <f>IF(ISBLANK('Auditoria CEB'!B310)," ",+'Auditoria CEB'!B310)</f>
        <v xml:space="preserve"> </v>
      </c>
      <c r="D281" s="29" t="str">
        <f>IF(ISBLANK('Auditoria CEB'!D310)," ",+'Auditoria CEB'!D310)</f>
        <v xml:space="preserve"> </v>
      </c>
      <c r="E281" s="29" t="str">
        <f>IF(ISBLANK('Auditoria CEB'!E310)," ",+'Auditoria CEB'!E310)</f>
        <v xml:space="preserve"> </v>
      </c>
      <c r="F281" s="30" t="str">
        <f>IF(ISBLANK('Auditoria CEB'!F290)," ",+'Auditoria CEB'!F290)</f>
        <v xml:space="preserve"> </v>
      </c>
      <c r="G281" s="30" t="str">
        <f>IF(ISBLANK('Auditoria CEB'!I310)," ",+'Auditoria CEB'!I310)</f>
        <v xml:space="preserve"> </v>
      </c>
      <c r="H281" s="30" t="str">
        <f>IF(ISBLANK('Auditoria CEB'!AR310)," ",+'Auditoria CEB'!AR310)</f>
        <v xml:space="preserve"> </v>
      </c>
      <c r="I281" s="45" t="str">
        <f>IF(ISBLANK('Auditoria CEB'!K310)," ",+'Auditoria CEB'!K310)</f>
        <v xml:space="preserve"> </v>
      </c>
      <c r="J281" s="30" t="str">
        <f>IF(ISBLANK('Auditoria CEB'!AM310)," ",+'Auditoria CEB'!AM310)</f>
        <v xml:space="preserve"> </v>
      </c>
    </row>
    <row r="282" spans="1:10">
      <c r="A282" s="30" t="str">
        <f>IF(ISBLANK('Auditoria CEB'!$E$6)," ",'Auditoria CEB'!$E$6)</f>
        <v xml:space="preserve"> </v>
      </c>
      <c r="B282" s="30" t="s">
        <v>161</v>
      </c>
      <c r="C282" s="29" t="str">
        <f>IF(ISBLANK('Auditoria CEB'!B311)," ",+'Auditoria CEB'!B311)</f>
        <v xml:space="preserve"> </v>
      </c>
      <c r="D282" s="29" t="str">
        <f>IF(ISBLANK('Auditoria CEB'!D311)," ",+'Auditoria CEB'!D311)</f>
        <v xml:space="preserve"> </v>
      </c>
      <c r="E282" s="29" t="str">
        <f>IF(ISBLANK('Auditoria CEB'!E311)," ",+'Auditoria CEB'!E311)</f>
        <v xml:space="preserve"> </v>
      </c>
      <c r="F282" s="30" t="str">
        <f>IF(ISBLANK('Auditoria CEB'!F291)," ",+'Auditoria CEB'!F291)</f>
        <v xml:space="preserve"> </v>
      </c>
      <c r="G282" s="30" t="str">
        <f>IF(ISBLANK('Auditoria CEB'!I311)," ",+'Auditoria CEB'!I311)</f>
        <v xml:space="preserve"> </v>
      </c>
      <c r="H282" s="30" t="str">
        <f>IF(ISBLANK('Auditoria CEB'!AR311)," ",+'Auditoria CEB'!AR311)</f>
        <v xml:space="preserve"> </v>
      </c>
      <c r="I282" s="45" t="str">
        <f>IF(ISBLANK('Auditoria CEB'!K311)," ",+'Auditoria CEB'!K311)</f>
        <v xml:space="preserve"> </v>
      </c>
      <c r="J282" s="30" t="str">
        <f>IF(ISBLANK('Auditoria CEB'!AM311)," ",+'Auditoria CEB'!AM311)</f>
        <v xml:space="preserve"> </v>
      </c>
    </row>
    <row r="283" spans="1:10">
      <c r="A283" s="30" t="str">
        <f>IF(ISBLANK('Auditoria CEB'!$E$6)," ",'Auditoria CEB'!$E$6)</f>
        <v xml:space="preserve"> </v>
      </c>
      <c r="B283" s="30" t="s">
        <v>161</v>
      </c>
      <c r="C283" s="29" t="str">
        <f>IF(ISBLANK('Auditoria CEB'!B312)," ",+'Auditoria CEB'!B312)</f>
        <v xml:space="preserve"> </v>
      </c>
      <c r="D283" s="29" t="str">
        <f>IF(ISBLANK('Auditoria CEB'!D312)," ",+'Auditoria CEB'!D312)</f>
        <v xml:space="preserve"> </v>
      </c>
      <c r="E283" s="29" t="str">
        <f>IF(ISBLANK('Auditoria CEB'!E312)," ",+'Auditoria CEB'!E312)</f>
        <v xml:space="preserve"> </v>
      </c>
      <c r="F283" s="30" t="str">
        <f>IF(ISBLANK('Auditoria CEB'!F292)," ",+'Auditoria CEB'!F292)</f>
        <v xml:space="preserve"> </v>
      </c>
      <c r="G283" s="30" t="str">
        <f>IF(ISBLANK('Auditoria CEB'!I312)," ",+'Auditoria CEB'!I312)</f>
        <v xml:space="preserve"> </v>
      </c>
      <c r="H283" s="30" t="str">
        <f>IF(ISBLANK('Auditoria CEB'!AR312)," ",+'Auditoria CEB'!AR312)</f>
        <v xml:space="preserve"> </v>
      </c>
      <c r="I283" s="45" t="str">
        <f>IF(ISBLANK('Auditoria CEB'!K312)," ",+'Auditoria CEB'!K312)</f>
        <v xml:space="preserve"> </v>
      </c>
      <c r="J283" s="30" t="str">
        <f>IF(ISBLANK('Auditoria CEB'!AM312)," ",+'Auditoria CEB'!AM312)</f>
        <v xml:space="preserve"> </v>
      </c>
    </row>
    <row r="284" spans="1:10">
      <c r="A284" s="30" t="str">
        <f>IF(ISBLANK('Auditoria CEB'!$E$6)," ",'Auditoria CEB'!$E$6)</f>
        <v xml:space="preserve"> </v>
      </c>
      <c r="B284" s="30" t="s">
        <v>161</v>
      </c>
      <c r="C284" s="29" t="str">
        <f>IF(ISBLANK('Auditoria CEB'!B313)," ",+'Auditoria CEB'!B313)</f>
        <v xml:space="preserve"> </v>
      </c>
      <c r="D284" s="29" t="str">
        <f>IF(ISBLANK('Auditoria CEB'!D313)," ",+'Auditoria CEB'!D313)</f>
        <v xml:space="preserve"> </v>
      </c>
      <c r="E284" s="29" t="str">
        <f>IF(ISBLANK('Auditoria CEB'!E313)," ",+'Auditoria CEB'!E313)</f>
        <v xml:space="preserve"> </v>
      </c>
      <c r="F284" s="30" t="str">
        <f>IF(ISBLANK('Auditoria CEB'!F293)," ",+'Auditoria CEB'!F293)</f>
        <v xml:space="preserve"> </v>
      </c>
      <c r="G284" s="30" t="str">
        <f>IF(ISBLANK('Auditoria CEB'!I313)," ",+'Auditoria CEB'!I313)</f>
        <v xml:space="preserve"> </v>
      </c>
      <c r="H284" s="30" t="str">
        <f>IF(ISBLANK('Auditoria CEB'!AR313)," ",+'Auditoria CEB'!AR313)</f>
        <v xml:space="preserve"> </v>
      </c>
      <c r="I284" s="45" t="str">
        <f>IF(ISBLANK('Auditoria CEB'!K313)," ",+'Auditoria CEB'!K313)</f>
        <v xml:space="preserve"> </v>
      </c>
      <c r="J284" s="30" t="str">
        <f>IF(ISBLANK('Auditoria CEB'!AM313)," ",+'Auditoria CEB'!AM313)</f>
        <v xml:space="preserve"> </v>
      </c>
    </row>
    <row r="285" spans="1:10">
      <c r="A285" s="30" t="str">
        <f>IF(ISBLANK('Auditoria CEB'!$E$6)," ",'Auditoria CEB'!$E$6)</f>
        <v xml:space="preserve"> </v>
      </c>
      <c r="B285" s="30" t="s">
        <v>161</v>
      </c>
      <c r="C285" s="29" t="str">
        <f>IF(ISBLANK('Auditoria CEB'!B314)," ",+'Auditoria CEB'!B314)</f>
        <v xml:space="preserve"> </v>
      </c>
      <c r="D285" s="29" t="str">
        <f>IF(ISBLANK('Auditoria CEB'!D314)," ",+'Auditoria CEB'!D314)</f>
        <v xml:space="preserve"> </v>
      </c>
      <c r="E285" s="29" t="str">
        <f>IF(ISBLANK('Auditoria CEB'!E314)," ",+'Auditoria CEB'!E314)</f>
        <v xml:space="preserve"> </v>
      </c>
      <c r="F285" s="30" t="str">
        <f>IF(ISBLANK('Auditoria CEB'!F294)," ",+'Auditoria CEB'!F294)</f>
        <v xml:space="preserve"> </v>
      </c>
      <c r="G285" s="30" t="str">
        <f>IF(ISBLANK('Auditoria CEB'!I314)," ",+'Auditoria CEB'!I314)</f>
        <v xml:space="preserve"> </v>
      </c>
      <c r="H285" s="30" t="str">
        <f>IF(ISBLANK('Auditoria CEB'!AR314)," ",+'Auditoria CEB'!AR314)</f>
        <v xml:space="preserve"> </v>
      </c>
      <c r="I285" s="45" t="str">
        <f>IF(ISBLANK('Auditoria CEB'!K314)," ",+'Auditoria CEB'!K314)</f>
        <v xml:space="preserve"> </v>
      </c>
      <c r="J285" s="30" t="str">
        <f>IF(ISBLANK('Auditoria CEB'!AM314)," ",+'Auditoria CEB'!AM314)</f>
        <v xml:space="preserve"> </v>
      </c>
    </row>
    <row r="286" spans="1:10">
      <c r="A286" s="30" t="str">
        <f>IF(ISBLANK('Auditoria CEB'!$E$6)," ",'Auditoria CEB'!$E$6)</f>
        <v xml:space="preserve"> </v>
      </c>
      <c r="B286" s="30" t="s">
        <v>161</v>
      </c>
      <c r="C286" s="29" t="str">
        <f>IF(ISBLANK('Auditoria CEB'!B315)," ",+'Auditoria CEB'!B315)</f>
        <v xml:space="preserve"> </v>
      </c>
      <c r="D286" s="29" t="str">
        <f>IF(ISBLANK('Auditoria CEB'!D315)," ",+'Auditoria CEB'!D315)</f>
        <v xml:space="preserve"> </v>
      </c>
      <c r="E286" s="29" t="str">
        <f>IF(ISBLANK('Auditoria CEB'!E315)," ",+'Auditoria CEB'!E315)</f>
        <v xml:space="preserve"> </v>
      </c>
      <c r="F286" s="30" t="str">
        <f>IF(ISBLANK('Auditoria CEB'!F295)," ",+'Auditoria CEB'!F295)</f>
        <v xml:space="preserve"> </v>
      </c>
      <c r="G286" s="30" t="str">
        <f>IF(ISBLANK('Auditoria CEB'!I315)," ",+'Auditoria CEB'!I315)</f>
        <v xml:space="preserve"> </v>
      </c>
      <c r="H286" s="30" t="str">
        <f>IF(ISBLANK('Auditoria CEB'!AR315)," ",+'Auditoria CEB'!AR315)</f>
        <v xml:space="preserve"> </v>
      </c>
      <c r="I286" s="45" t="str">
        <f>IF(ISBLANK('Auditoria CEB'!K315)," ",+'Auditoria CEB'!K315)</f>
        <v xml:space="preserve"> </v>
      </c>
      <c r="J286" s="30" t="str">
        <f>IF(ISBLANK('Auditoria CEB'!AM315)," ",+'Auditoria CEB'!AM315)</f>
        <v xml:space="preserve"> </v>
      </c>
    </row>
    <row r="287" spans="1:10">
      <c r="A287" s="30" t="str">
        <f>IF(ISBLANK('Auditoria CEB'!$E$6)," ",'Auditoria CEB'!$E$6)</f>
        <v xml:space="preserve"> </v>
      </c>
      <c r="B287" s="30" t="s">
        <v>161</v>
      </c>
      <c r="C287" s="29" t="str">
        <f>IF(ISBLANK('Auditoria CEB'!B316)," ",+'Auditoria CEB'!B316)</f>
        <v xml:space="preserve"> </v>
      </c>
      <c r="D287" s="29" t="str">
        <f>IF(ISBLANK('Auditoria CEB'!D316)," ",+'Auditoria CEB'!D316)</f>
        <v xml:space="preserve"> </v>
      </c>
      <c r="E287" s="29" t="str">
        <f>IF(ISBLANK('Auditoria CEB'!E316)," ",+'Auditoria CEB'!E316)</f>
        <v xml:space="preserve"> </v>
      </c>
      <c r="F287" s="30" t="str">
        <f>IF(ISBLANK('Auditoria CEB'!F296)," ",+'Auditoria CEB'!F296)</f>
        <v xml:space="preserve"> </v>
      </c>
      <c r="G287" s="30" t="str">
        <f>IF(ISBLANK('Auditoria CEB'!I316)," ",+'Auditoria CEB'!I316)</f>
        <v xml:space="preserve"> </v>
      </c>
      <c r="H287" s="30" t="str">
        <f>IF(ISBLANK('Auditoria CEB'!AR316)," ",+'Auditoria CEB'!AR316)</f>
        <v xml:space="preserve"> </v>
      </c>
      <c r="I287" s="45" t="str">
        <f>IF(ISBLANK('Auditoria CEB'!K316)," ",+'Auditoria CEB'!K316)</f>
        <v xml:space="preserve"> </v>
      </c>
      <c r="J287" s="30" t="str">
        <f>IF(ISBLANK('Auditoria CEB'!AM316)," ",+'Auditoria CEB'!AM316)</f>
        <v xml:space="preserve"> </v>
      </c>
    </row>
    <row r="288" spans="1:10">
      <c r="A288" s="30" t="str">
        <f>IF(ISBLANK('Auditoria CEB'!$E$6)," ",'Auditoria CEB'!$E$6)</f>
        <v xml:space="preserve"> </v>
      </c>
      <c r="B288" s="30" t="s">
        <v>161</v>
      </c>
      <c r="C288" s="29" t="str">
        <f>IF(ISBLANK('Auditoria CEB'!B317)," ",+'Auditoria CEB'!B317)</f>
        <v xml:space="preserve"> </v>
      </c>
      <c r="D288" s="29" t="str">
        <f>IF(ISBLANK('Auditoria CEB'!D317)," ",+'Auditoria CEB'!D317)</f>
        <v xml:space="preserve"> </v>
      </c>
      <c r="E288" s="29" t="str">
        <f>IF(ISBLANK('Auditoria CEB'!E317)," ",+'Auditoria CEB'!E317)</f>
        <v xml:space="preserve"> </v>
      </c>
      <c r="F288" s="30" t="str">
        <f>IF(ISBLANK('Auditoria CEB'!F297)," ",+'Auditoria CEB'!F297)</f>
        <v xml:space="preserve"> </v>
      </c>
      <c r="G288" s="30" t="str">
        <f>IF(ISBLANK('Auditoria CEB'!I317)," ",+'Auditoria CEB'!I317)</f>
        <v xml:space="preserve"> </v>
      </c>
      <c r="H288" s="30" t="str">
        <f>IF(ISBLANK('Auditoria CEB'!AR317)," ",+'Auditoria CEB'!AR317)</f>
        <v xml:space="preserve"> </v>
      </c>
      <c r="I288" s="45" t="str">
        <f>IF(ISBLANK('Auditoria CEB'!K317)," ",+'Auditoria CEB'!K317)</f>
        <v xml:space="preserve"> </v>
      </c>
      <c r="J288" s="30" t="str">
        <f>IF(ISBLANK('Auditoria CEB'!AM317)," ",+'Auditoria CEB'!AM317)</f>
        <v xml:space="preserve"> </v>
      </c>
    </row>
    <row r="289" spans="1:10">
      <c r="A289" s="30" t="str">
        <f>IF(ISBLANK('Auditoria CEB'!$E$6)," ",'Auditoria CEB'!$E$6)</f>
        <v xml:space="preserve"> </v>
      </c>
      <c r="B289" s="30" t="s">
        <v>161</v>
      </c>
      <c r="C289" s="29" t="str">
        <f>IF(ISBLANK('Auditoria CEB'!B318)," ",+'Auditoria CEB'!B318)</f>
        <v xml:space="preserve"> </v>
      </c>
      <c r="D289" s="29" t="str">
        <f>IF(ISBLANK('Auditoria CEB'!D318)," ",+'Auditoria CEB'!D318)</f>
        <v xml:space="preserve"> </v>
      </c>
      <c r="E289" s="29" t="str">
        <f>IF(ISBLANK('Auditoria CEB'!E318)," ",+'Auditoria CEB'!E318)</f>
        <v xml:space="preserve"> </v>
      </c>
      <c r="F289" s="30" t="str">
        <f>IF(ISBLANK('Auditoria CEB'!F298)," ",+'Auditoria CEB'!F298)</f>
        <v xml:space="preserve"> </v>
      </c>
      <c r="G289" s="30" t="str">
        <f>IF(ISBLANK('Auditoria CEB'!I318)," ",+'Auditoria CEB'!I318)</f>
        <v xml:space="preserve"> </v>
      </c>
      <c r="H289" s="30" t="str">
        <f>IF(ISBLANK('Auditoria CEB'!AR318)," ",+'Auditoria CEB'!AR318)</f>
        <v xml:space="preserve"> </v>
      </c>
      <c r="I289" s="45" t="str">
        <f>IF(ISBLANK('Auditoria CEB'!K318)," ",+'Auditoria CEB'!K318)</f>
        <v xml:space="preserve"> </v>
      </c>
      <c r="J289" s="30" t="str">
        <f>IF(ISBLANK('Auditoria CEB'!AM318)," ",+'Auditoria CEB'!AM318)</f>
        <v xml:space="preserve"> </v>
      </c>
    </row>
    <row r="290" spans="1:10">
      <c r="A290" s="30" t="str">
        <f>IF(ISBLANK('Auditoria CEB'!$E$6)," ",'Auditoria CEB'!$E$6)</f>
        <v xml:space="preserve"> </v>
      </c>
      <c r="B290" s="30" t="s">
        <v>161</v>
      </c>
      <c r="C290" s="29" t="str">
        <f>IF(ISBLANK('Auditoria CEB'!B319)," ",+'Auditoria CEB'!B319)</f>
        <v xml:space="preserve"> </v>
      </c>
      <c r="D290" s="29" t="str">
        <f>IF(ISBLANK('Auditoria CEB'!D319)," ",+'Auditoria CEB'!D319)</f>
        <v xml:space="preserve"> </v>
      </c>
      <c r="E290" s="29" t="str">
        <f>IF(ISBLANK('Auditoria CEB'!E319)," ",+'Auditoria CEB'!E319)</f>
        <v xml:space="preserve"> </v>
      </c>
      <c r="F290" s="30" t="str">
        <f>IF(ISBLANK('Auditoria CEB'!F299)," ",+'Auditoria CEB'!F299)</f>
        <v xml:space="preserve"> </v>
      </c>
      <c r="G290" s="30" t="str">
        <f>IF(ISBLANK('Auditoria CEB'!I319)," ",+'Auditoria CEB'!I319)</f>
        <v xml:space="preserve"> </v>
      </c>
      <c r="H290" s="30" t="str">
        <f>IF(ISBLANK('Auditoria CEB'!AR319)," ",+'Auditoria CEB'!AR319)</f>
        <v xml:space="preserve"> </v>
      </c>
      <c r="I290" s="45" t="str">
        <f>IF(ISBLANK('Auditoria CEB'!K319)," ",+'Auditoria CEB'!K319)</f>
        <v xml:space="preserve"> </v>
      </c>
      <c r="J290" s="30" t="str">
        <f>IF(ISBLANK('Auditoria CEB'!AM319)," ",+'Auditoria CEB'!AM319)</f>
        <v xml:space="preserve"> </v>
      </c>
    </row>
    <row r="291" spans="1:10">
      <c r="A291" s="30" t="str">
        <f>IF(ISBLANK('Auditoria CEB'!$E$6)," ",'Auditoria CEB'!$E$6)</f>
        <v xml:space="preserve"> </v>
      </c>
      <c r="B291" s="30" t="s">
        <v>161</v>
      </c>
      <c r="C291" s="29" t="str">
        <f>IF(ISBLANK('Auditoria CEB'!B320)," ",+'Auditoria CEB'!B320)</f>
        <v xml:space="preserve"> </v>
      </c>
      <c r="D291" s="29" t="str">
        <f>IF(ISBLANK('Auditoria CEB'!D320)," ",+'Auditoria CEB'!D320)</f>
        <v xml:space="preserve"> </v>
      </c>
      <c r="E291" s="29" t="str">
        <f>IF(ISBLANK('Auditoria CEB'!E320)," ",+'Auditoria CEB'!E320)</f>
        <v xml:space="preserve"> </v>
      </c>
      <c r="F291" s="30" t="str">
        <f>IF(ISBLANK('Auditoria CEB'!F300)," ",+'Auditoria CEB'!F300)</f>
        <v xml:space="preserve"> </v>
      </c>
      <c r="G291" s="30" t="str">
        <f>IF(ISBLANK('Auditoria CEB'!I320)," ",+'Auditoria CEB'!I320)</f>
        <v xml:space="preserve"> </v>
      </c>
      <c r="H291" s="30" t="str">
        <f>IF(ISBLANK('Auditoria CEB'!AR320)," ",+'Auditoria CEB'!AR320)</f>
        <v xml:space="preserve"> </v>
      </c>
      <c r="I291" s="45" t="str">
        <f>IF(ISBLANK('Auditoria CEB'!K320)," ",+'Auditoria CEB'!K320)</f>
        <v xml:space="preserve"> </v>
      </c>
      <c r="J291" s="30" t="str">
        <f>IF(ISBLANK('Auditoria CEB'!AM320)," ",+'Auditoria CEB'!AM320)</f>
        <v xml:space="preserve"> </v>
      </c>
    </row>
    <row r="292" spans="1:10">
      <c r="A292" s="30" t="str">
        <f>IF(ISBLANK('Auditoria CEB'!$E$6)," ",'Auditoria CEB'!$E$6)</f>
        <v xml:space="preserve"> </v>
      </c>
      <c r="B292" s="30" t="s">
        <v>161</v>
      </c>
      <c r="C292" s="29" t="str">
        <f>IF(ISBLANK('Auditoria CEB'!B321)," ",+'Auditoria CEB'!B321)</f>
        <v xml:space="preserve"> </v>
      </c>
      <c r="D292" s="29" t="str">
        <f>IF(ISBLANK('Auditoria CEB'!D321)," ",+'Auditoria CEB'!D321)</f>
        <v xml:space="preserve"> </v>
      </c>
      <c r="E292" s="29" t="str">
        <f>IF(ISBLANK('Auditoria CEB'!E321)," ",+'Auditoria CEB'!E321)</f>
        <v xml:space="preserve"> </v>
      </c>
      <c r="F292" s="30" t="str">
        <f>IF(ISBLANK('Auditoria CEB'!F301)," ",+'Auditoria CEB'!F301)</f>
        <v xml:space="preserve"> </v>
      </c>
      <c r="G292" s="30" t="str">
        <f>IF(ISBLANK('Auditoria CEB'!I321)," ",+'Auditoria CEB'!I321)</f>
        <v xml:space="preserve"> </v>
      </c>
      <c r="H292" s="30" t="str">
        <f>IF(ISBLANK('Auditoria CEB'!AR321)," ",+'Auditoria CEB'!AR321)</f>
        <v xml:space="preserve"> </v>
      </c>
      <c r="I292" s="45" t="str">
        <f>IF(ISBLANK('Auditoria CEB'!K321)," ",+'Auditoria CEB'!K321)</f>
        <v xml:space="preserve"> </v>
      </c>
      <c r="J292" s="30" t="str">
        <f>IF(ISBLANK('Auditoria CEB'!AM321)," ",+'Auditoria CEB'!AM321)</f>
        <v xml:space="preserve"> </v>
      </c>
    </row>
    <row r="293" spans="1:10">
      <c r="A293" s="30" t="str">
        <f>IF(ISBLANK('Auditoria CEB'!$E$6)," ",'Auditoria CEB'!$E$6)</f>
        <v xml:space="preserve"> </v>
      </c>
      <c r="B293" s="30" t="s">
        <v>161</v>
      </c>
      <c r="C293" s="29" t="str">
        <f>IF(ISBLANK('Auditoria CEB'!B322)," ",+'Auditoria CEB'!B322)</f>
        <v xml:space="preserve"> </v>
      </c>
      <c r="D293" s="29" t="str">
        <f>IF(ISBLANK('Auditoria CEB'!D322)," ",+'Auditoria CEB'!D322)</f>
        <v xml:space="preserve"> </v>
      </c>
      <c r="E293" s="29" t="str">
        <f>IF(ISBLANK('Auditoria CEB'!E322)," ",+'Auditoria CEB'!E322)</f>
        <v xml:space="preserve"> </v>
      </c>
      <c r="F293" s="30" t="str">
        <f>IF(ISBLANK('Auditoria CEB'!F302)," ",+'Auditoria CEB'!F302)</f>
        <v xml:space="preserve"> </v>
      </c>
      <c r="G293" s="30" t="str">
        <f>IF(ISBLANK('Auditoria CEB'!I322)," ",+'Auditoria CEB'!I322)</f>
        <v xml:space="preserve"> </v>
      </c>
      <c r="H293" s="30" t="str">
        <f>IF(ISBLANK('Auditoria CEB'!AR322)," ",+'Auditoria CEB'!AR322)</f>
        <v xml:space="preserve"> </v>
      </c>
      <c r="I293" s="45" t="str">
        <f>IF(ISBLANK('Auditoria CEB'!K322)," ",+'Auditoria CEB'!K322)</f>
        <v xml:space="preserve"> </v>
      </c>
      <c r="J293" s="30" t="str">
        <f>IF(ISBLANK('Auditoria CEB'!AM322)," ",+'Auditoria CEB'!AM322)</f>
        <v xml:space="preserve"> </v>
      </c>
    </row>
    <row r="294" spans="1:10">
      <c r="A294" s="30" t="str">
        <f>IF(ISBLANK('Auditoria CEB'!$E$6)," ",'Auditoria CEB'!$E$6)</f>
        <v xml:space="preserve"> </v>
      </c>
      <c r="B294" s="30" t="s">
        <v>161</v>
      </c>
      <c r="C294" s="29" t="str">
        <f>IF(ISBLANK('Auditoria CEB'!B323)," ",+'Auditoria CEB'!B323)</f>
        <v xml:space="preserve"> </v>
      </c>
      <c r="D294" s="29" t="str">
        <f>IF(ISBLANK('Auditoria CEB'!D323)," ",+'Auditoria CEB'!D323)</f>
        <v xml:space="preserve"> </v>
      </c>
      <c r="E294" s="29" t="str">
        <f>IF(ISBLANK('Auditoria CEB'!E323)," ",+'Auditoria CEB'!E323)</f>
        <v xml:space="preserve"> </v>
      </c>
      <c r="F294" s="30" t="str">
        <f>IF(ISBLANK('Auditoria CEB'!F303)," ",+'Auditoria CEB'!F303)</f>
        <v xml:space="preserve"> </v>
      </c>
      <c r="G294" s="30" t="str">
        <f>IF(ISBLANK('Auditoria CEB'!I323)," ",+'Auditoria CEB'!I323)</f>
        <v xml:space="preserve"> </v>
      </c>
      <c r="H294" s="30" t="str">
        <f>IF(ISBLANK('Auditoria CEB'!AR323)," ",+'Auditoria CEB'!AR323)</f>
        <v xml:space="preserve"> </v>
      </c>
      <c r="I294" s="45" t="str">
        <f>IF(ISBLANK('Auditoria CEB'!K323)," ",+'Auditoria CEB'!K323)</f>
        <v xml:space="preserve"> </v>
      </c>
      <c r="J294" s="30" t="str">
        <f>IF(ISBLANK('Auditoria CEB'!AM323)," ",+'Auditoria CEB'!AM323)</f>
        <v xml:space="preserve"> </v>
      </c>
    </row>
    <row r="295" spans="1:10">
      <c r="A295" s="30" t="str">
        <f>IF(ISBLANK('Auditoria CEB'!$E$6)," ",'Auditoria CEB'!$E$6)</f>
        <v xml:space="preserve"> </v>
      </c>
      <c r="B295" s="30" t="s">
        <v>161</v>
      </c>
      <c r="C295" s="29" t="str">
        <f>IF(ISBLANK('Auditoria CEB'!B324)," ",+'Auditoria CEB'!B324)</f>
        <v xml:space="preserve"> </v>
      </c>
      <c r="D295" s="29" t="str">
        <f>IF(ISBLANK('Auditoria CEB'!D324)," ",+'Auditoria CEB'!D324)</f>
        <v xml:space="preserve"> </v>
      </c>
      <c r="E295" s="29" t="str">
        <f>IF(ISBLANK('Auditoria CEB'!E324)," ",+'Auditoria CEB'!E324)</f>
        <v xml:space="preserve"> </v>
      </c>
      <c r="F295" s="30" t="str">
        <f>IF(ISBLANK('Auditoria CEB'!F304)," ",+'Auditoria CEB'!F304)</f>
        <v xml:space="preserve"> </v>
      </c>
      <c r="G295" s="30" t="str">
        <f>IF(ISBLANK('Auditoria CEB'!I324)," ",+'Auditoria CEB'!I324)</f>
        <v xml:space="preserve"> </v>
      </c>
      <c r="H295" s="30" t="str">
        <f>IF(ISBLANK('Auditoria CEB'!AR324)," ",+'Auditoria CEB'!AR324)</f>
        <v xml:space="preserve"> </v>
      </c>
      <c r="I295" s="45" t="str">
        <f>IF(ISBLANK('Auditoria CEB'!K324)," ",+'Auditoria CEB'!K324)</f>
        <v xml:space="preserve"> </v>
      </c>
      <c r="J295" s="30" t="str">
        <f>IF(ISBLANK('Auditoria CEB'!AM324)," ",+'Auditoria CEB'!AM324)</f>
        <v xml:space="preserve"> </v>
      </c>
    </row>
    <row r="296" spans="1:10">
      <c r="A296" s="30" t="str">
        <f>IF(ISBLANK('Auditoria CEB'!$E$6)," ",'Auditoria CEB'!$E$6)</f>
        <v xml:space="preserve"> </v>
      </c>
      <c r="B296" s="30" t="s">
        <v>161</v>
      </c>
      <c r="C296" s="29" t="str">
        <f>IF(ISBLANK('Auditoria CEB'!B325)," ",+'Auditoria CEB'!B325)</f>
        <v xml:space="preserve"> </v>
      </c>
      <c r="D296" s="29" t="str">
        <f>IF(ISBLANK('Auditoria CEB'!D325)," ",+'Auditoria CEB'!D325)</f>
        <v xml:space="preserve"> </v>
      </c>
      <c r="E296" s="29" t="str">
        <f>IF(ISBLANK('Auditoria CEB'!E325)," ",+'Auditoria CEB'!E325)</f>
        <v xml:space="preserve"> </v>
      </c>
      <c r="F296" s="30" t="str">
        <f>IF(ISBLANK('Auditoria CEB'!F305)," ",+'Auditoria CEB'!F305)</f>
        <v xml:space="preserve"> </v>
      </c>
      <c r="G296" s="30" t="str">
        <f>IF(ISBLANK('Auditoria CEB'!I325)," ",+'Auditoria CEB'!I325)</f>
        <v xml:space="preserve"> </v>
      </c>
      <c r="H296" s="30" t="str">
        <f>IF(ISBLANK('Auditoria CEB'!AR325)," ",+'Auditoria CEB'!AR325)</f>
        <v xml:space="preserve"> </v>
      </c>
      <c r="I296" s="45" t="str">
        <f>IF(ISBLANK('Auditoria CEB'!K325)," ",+'Auditoria CEB'!K325)</f>
        <v xml:space="preserve"> </v>
      </c>
      <c r="J296" s="30" t="str">
        <f>IF(ISBLANK('Auditoria CEB'!AM325)," ",+'Auditoria CEB'!AM325)</f>
        <v xml:space="preserve"> </v>
      </c>
    </row>
    <row r="297" spans="1:10">
      <c r="A297" s="30" t="str">
        <f>IF(ISBLANK('Auditoria CEB'!$E$6)," ",'Auditoria CEB'!$E$6)</f>
        <v xml:space="preserve"> </v>
      </c>
      <c r="B297" s="30" t="s">
        <v>161</v>
      </c>
      <c r="C297" s="29" t="str">
        <f>IF(ISBLANK('Auditoria CEB'!B326)," ",+'Auditoria CEB'!B326)</f>
        <v xml:space="preserve"> </v>
      </c>
      <c r="D297" s="29" t="str">
        <f>IF(ISBLANK('Auditoria CEB'!D326)," ",+'Auditoria CEB'!D326)</f>
        <v xml:space="preserve"> </v>
      </c>
      <c r="E297" s="29" t="str">
        <f>IF(ISBLANK('Auditoria CEB'!E326)," ",+'Auditoria CEB'!E326)</f>
        <v xml:space="preserve"> </v>
      </c>
      <c r="F297" s="30" t="str">
        <f>IF(ISBLANK('Auditoria CEB'!F306)," ",+'Auditoria CEB'!F306)</f>
        <v xml:space="preserve"> </v>
      </c>
      <c r="G297" s="30" t="str">
        <f>IF(ISBLANK('Auditoria CEB'!I326)," ",+'Auditoria CEB'!I326)</f>
        <v xml:space="preserve"> </v>
      </c>
      <c r="H297" s="30" t="str">
        <f>IF(ISBLANK('Auditoria CEB'!AR326)," ",+'Auditoria CEB'!AR326)</f>
        <v xml:space="preserve"> </v>
      </c>
      <c r="I297" s="45" t="str">
        <f>IF(ISBLANK('Auditoria CEB'!K326)," ",+'Auditoria CEB'!K326)</f>
        <v xml:space="preserve"> </v>
      </c>
      <c r="J297" s="30" t="str">
        <f>IF(ISBLANK('Auditoria CEB'!AM326)," ",+'Auditoria CEB'!AM326)</f>
        <v xml:space="preserve"> </v>
      </c>
    </row>
    <row r="298" spans="1:10">
      <c r="A298" s="30" t="str">
        <f>IF(ISBLANK('Auditoria CEB'!$E$6)," ",'Auditoria CEB'!$E$6)</f>
        <v xml:space="preserve"> </v>
      </c>
      <c r="B298" s="30" t="s">
        <v>161</v>
      </c>
      <c r="C298" s="29" t="str">
        <f>IF(ISBLANK('Auditoria CEB'!B327)," ",+'Auditoria CEB'!B327)</f>
        <v xml:space="preserve"> </v>
      </c>
      <c r="D298" s="29" t="str">
        <f>IF(ISBLANK('Auditoria CEB'!D327)," ",+'Auditoria CEB'!D327)</f>
        <v xml:space="preserve"> </v>
      </c>
      <c r="E298" s="29" t="str">
        <f>IF(ISBLANK('Auditoria CEB'!E327)," ",+'Auditoria CEB'!E327)</f>
        <v xml:space="preserve"> </v>
      </c>
      <c r="F298" s="30" t="str">
        <f>IF(ISBLANK('Auditoria CEB'!F307)," ",+'Auditoria CEB'!F307)</f>
        <v xml:space="preserve"> </v>
      </c>
      <c r="G298" s="30" t="str">
        <f>IF(ISBLANK('Auditoria CEB'!I327)," ",+'Auditoria CEB'!I327)</f>
        <v xml:space="preserve"> </v>
      </c>
      <c r="H298" s="30" t="str">
        <f>IF(ISBLANK('Auditoria CEB'!AR327)," ",+'Auditoria CEB'!AR327)</f>
        <v xml:space="preserve"> </v>
      </c>
      <c r="I298" s="45" t="str">
        <f>IF(ISBLANK('Auditoria CEB'!K327)," ",+'Auditoria CEB'!K327)</f>
        <v xml:space="preserve"> </v>
      </c>
      <c r="J298" s="30" t="str">
        <f>IF(ISBLANK('Auditoria CEB'!AM327)," ",+'Auditoria CEB'!AM327)</f>
        <v xml:space="preserve"> </v>
      </c>
    </row>
    <row r="299" spans="1:10">
      <c r="A299" s="30" t="str">
        <f>IF(ISBLANK('Auditoria CEB'!$E$6)," ",'Auditoria CEB'!$E$6)</f>
        <v xml:space="preserve"> </v>
      </c>
      <c r="B299" s="30" t="s">
        <v>161</v>
      </c>
      <c r="C299" s="29" t="str">
        <f>IF(ISBLANK('Auditoria CEB'!B328)," ",+'Auditoria CEB'!B328)</f>
        <v xml:space="preserve"> </v>
      </c>
      <c r="D299" s="29" t="str">
        <f>IF(ISBLANK('Auditoria CEB'!D328)," ",+'Auditoria CEB'!D328)</f>
        <v xml:space="preserve"> </v>
      </c>
      <c r="E299" s="29" t="str">
        <f>IF(ISBLANK('Auditoria CEB'!E328)," ",+'Auditoria CEB'!E328)</f>
        <v xml:space="preserve"> </v>
      </c>
      <c r="F299" s="30" t="str">
        <f>IF(ISBLANK('Auditoria CEB'!F308)," ",+'Auditoria CEB'!F308)</f>
        <v xml:space="preserve"> </v>
      </c>
      <c r="G299" s="30" t="str">
        <f>IF(ISBLANK('Auditoria CEB'!I328)," ",+'Auditoria CEB'!I328)</f>
        <v xml:space="preserve"> </v>
      </c>
      <c r="H299" s="30" t="str">
        <f>IF(ISBLANK('Auditoria CEB'!AR328)," ",+'Auditoria CEB'!AR328)</f>
        <v xml:space="preserve"> </v>
      </c>
      <c r="I299" s="45" t="str">
        <f>IF(ISBLANK('Auditoria CEB'!K328)," ",+'Auditoria CEB'!K328)</f>
        <v xml:space="preserve"> </v>
      </c>
      <c r="J299" s="30" t="str">
        <f>IF(ISBLANK('Auditoria CEB'!AM328)," ",+'Auditoria CEB'!AM328)</f>
        <v xml:space="preserve"> </v>
      </c>
    </row>
    <row r="300" spans="1:10">
      <c r="A300" s="30" t="str">
        <f>IF(ISBLANK('Auditoria CEB'!$E$6)," ",'Auditoria CEB'!$E$6)</f>
        <v xml:space="preserve"> </v>
      </c>
      <c r="B300" s="30" t="s">
        <v>161</v>
      </c>
      <c r="C300" s="29" t="str">
        <f>IF(ISBLANK('Auditoria CEB'!B329)," ",+'Auditoria CEB'!B329)</f>
        <v xml:space="preserve"> </v>
      </c>
      <c r="D300" s="29" t="str">
        <f>IF(ISBLANK('Auditoria CEB'!D329)," ",+'Auditoria CEB'!D329)</f>
        <v xml:space="preserve"> </v>
      </c>
      <c r="E300" s="29" t="str">
        <f>IF(ISBLANK('Auditoria CEB'!E329)," ",+'Auditoria CEB'!E329)</f>
        <v xml:space="preserve"> </v>
      </c>
      <c r="F300" s="30" t="str">
        <f>IF(ISBLANK('Auditoria CEB'!F309)," ",+'Auditoria CEB'!F309)</f>
        <v xml:space="preserve"> </v>
      </c>
      <c r="G300" s="30" t="str">
        <f>IF(ISBLANK('Auditoria CEB'!I329)," ",+'Auditoria CEB'!I329)</f>
        <v xml:space="preserve"> </v>
      </c>
      <c r="H300" s="30" t="str">
        <f>IF(ISBLANK('Auditoria CEB'!AR329)," ",+'Auditoria CEB'!AR329)</f>
        <v xml:space="preserve"> </v>
      </c>
      <c r="I300" s="45" t="str">
        <f>IF(ISBLANK('Auditoria CEB'!K329)," ",+'Auditoria CEB'!K329)</f>
        <v xml:space="preserve"> </v>
      </c>
      <c r="J300" s="30" t="str">
        <f>IF(ISBLANK('Auditoria CEB'!AM329)," ",+'Auditoria CEB'!AM329)</f>
        <v xml:space="preserve"> </v>
      </c>
    </row>
    <row r="301" spans="1:10">
      <c r="A301" s="30" t="str">
        <f>IF(ISBLANK('Auditoria CEB'!$E$6)," ",'Auditoria CEB'!$E$6)</f>
        <v xml:space="preserve"> </v>
      </c>
      <c r="B301" s="30" t="s">
        <v>161</v>
      </c>
      <c r="C301" s="29" t="str">
        <f>IF(ISBLANK('Auditoria CEB'!B330)," ",+'Auditoria CEB'!B330)</f>
        <v xml:space="preserve"> </v>
      </c>
      <c r="D301" s="29" t="str">
        <f>IF(ISBLANK('Auditoria CEB'!D330)," ",+'Auditoria CEB'!D330)</f>
        <v xml:space="preserve"> </v>
      </c>
      <c r="E301" s="29" t="str">
        <f>IF(ISBLANK('Auditoria CEB'!E330)," ",+'Auditoria CEB'!E330)</f>
        <v xml:space="preserve"> </v>
      </c>
      <c r="F301" s="30" t="str">
        <f>IF(ISBLANK('Auditoria CEB'!F310)," ",+'Auditoria CEB'!F310)</f>
        <v xml:space="preserve"> </v>
      </c>
      <c r="G301" s="30" t="str">
        <f>IF(ISBLANK('Auditoria CEB'!I330)," ",+'Auditoria CEB'!I330)</f>
        <v xml:space="preserve"> </v>
      </c>
      <c r="H301" s="30" t="str">
        <f>IF(ISBLANK('Auditoria CEB'!AR330)," ",+'Auditoria CEB'!AR330)</f>
        <v xml:space="preserve"> </v>
      </c>
      <c r="I301" s="45" t="str">
        <f>IF(ISBLANK('Auditoria CEB'!K330)," ",+'Auditoria CEB'!K330)</f>
        <v xml:space="preserve"> </v>
      </c>
      <c r="J301" s="30" t="str">
        <f>IF(ISBLANK('Auditoria CEB'!AM330)," ",+'Auditoria CEB'!AM330)</f>
        <v xml:space="preserve"> </v>
      </c>
    </row>
    <row r="302" spans="1:10">
      <c r="A302" s="30" t="str">
        <f>IF(ISBLANK('Auditoria CEB'!$E$6)," ",'Auditoria CEB'!$E$6)</f>
        <v xml:space="preserve"> </v>
      </c>
      <c r="B302" s="30" t="s">
        <v>161</v>
      </c>
      <c r="C302" s="29" t="str">
        <f>IF(ISBLANK('Auditoria CEB'!B331)," ",+'Auditoria CEB'!B331)</f>
        <v xml:space="preserve"> </v>
      </c>
      <c r="D302" s="29" t="str">
        <f>IF(ISBLANK('Auditoria CEB'!D331)," ",+'Auditoria CEB'!D331)</f>
        <v xml:space="preserve"> </v>
      </c>
      <c r="E302" s="29" t="str">
        <f>IF(ISBLANK('Auditoria CEB'!E331)," ",+'Auditoria CEB'!E331)</f>
        <v xml:space="preserve"> </v>
      </c>
      <c r="F302" s="30" t="str">
        <f>IF(ISBLANK('Auditoria CEB'!F311)," ",+'Auditoria CEB'!F311)</f>
        <v xml:space="preserve"> </v>
      </c>
      <c r="G302" s="30" t="str">
        <f>IF(ISBLANK('Auditoria CEB'!I331)," ",+'Auditoria CEB'!I331)</f>
        <v xml:space="preserve"> </v>
      </c>
      <c r="H302" s="30" t="str">
        <f>IF(ISBLANK('Auditoria CEB'!AR331)," ",+'Auditoria CEB'!AR331)</f>
        <v xml:space="preserve"> </v>
      </c>
      <c r="I302" s="45" t="str">
        <f>IF(ISBLANK('Auditoria CEB'!K331)," ",+'Auditoria CEB'!K331)</f>
        <v xml:space="preserve"> </v>
      </c>
      <c r="J302" s="30" t="str">
        <f>IF(ISBLANK('Auditoria CEB'!AM331)," ",+'Auditoria CEB'!AM331)</f>
        <v xml:space="preserve"> </v>
      </c>
    </row>
    <row r="303" spans="1:10">
      <c r="A303" s="30" t="str">
        <f>IF(ISBLANK('Auditoria CEB'!$E$6)," ",'Auditoria CEB'!$E$6)</f>
        <v xml:space="preserve"> </v>
      </c>
      <c r="B303" s="30" t="s">
        <v>161</v>
      </c>
      <c r="C303" s="29" t="str">
        <f>IF(ISBLANK('Auditoria CEB'!B332)," ",+'Auditoria CEB'!B332)</f>
        <v xml:space="preserve"> </v>
      </c>
      <c r="D303" s="29" t="str">
        <f>IF(ISBLANK('Auditoria CEB'!D332)," ",+'Auditoria CEB'!D332)</f>
        <v xml:space="preserve"> </v>
      </c>
      <c r="E303" s="29" t="str">
        <f>IF(ISBLANK('Auditoria CEB'!E332)," ",+'Auditoria CEB'!E332)</f>
        <v xml:space="preserve"> </v>
      </c>
      <c r="F303" s="30" t="str">
        <f>IF(ISBLANK('Auditoria CEB'!F312)," ",+'Auditoria CEB'!F312)</f>
        <v xml:space="preserve"> </v>
      </c>
      <c r="G303" s="30" t="str">
        <f>IF(ISBLANK('Auditoria CEB'!I332)," ",+'Auditoria CEB'!I332)</f>
        <v xml:space="preserve"> </v>
      </c>
      <c r="H303" s="30" t="str">
        <f>IF(ISBLANK('Auditoria CEB'!AR332)," ",+'Auditoria CEB'!AR332)</f>
        <v xml:space="preserve"> </v>
      </c>
      <c r="I303" s="45" t="str">
        <f>IF(ISBLANK('Auditoria CEB'!K332)," ",+'Auditoria CEB'!K332)</f>
        <v xml:space="preserve"> </v>
      </c>
      <c r="J303" s="30" t="str">
        <f>IF(ISBLANK('Auditoria CEB'!AM332)," ",+'Auditoria CEB'!AM332)</f>
        <v xml:space="preserve"> </v>
      </c>
    </row>
    <row r="304" spans="1:10">
      <c r="A304" s="30" t="str">
        <f>IF(ISBLANK('Auditoria CEB'!$E$6)," ",'Auditoria CEB'!$E$6)</f>
        <v xml:space="preserve"> </v>
      </c>
      <c r="B304" s="30" t="s">
        <v>161</v>
      </c>
      <c r="C304" s="29" t="str">
        <f>IF(ISBLANK('Auditoria CEB'!B333)," ",+'Auditoria CEB'!B333)</f>
        <v xml:space="preserve"> </v>
      </c>
      <c r="D304" s="29" t="str">
        <f>IF(ISBLANK('Auditoria CEB'!D333)," ",+'Auditoria CEB'!D333)</f>
        <v xml:space="preserve"> </v>
      </c>
      <c r="E304" s="29" t="str">
        <f>IF(ISBLANK('Auditoria CEB'!E333)," ",+'Auditoria CEB'!E333)</f>
        <v xml:space="preserve"> </v>
      </c>
      <c r="F304" s="30" t="str">
        <f>IF(ISBLANK('Auditoria CEB'!F313)," ",+'Auditoria CEB'!F313)</f>
        <v xml:space="preserve"> </v>
      </c>
      <c r="G304" s="30" t="str">
        <f>IF(ISBLANK('Auditoria CEB'!I333)," ",+'Auditoria CEB'!I333)</f>
        <v xml:space="preserve"> </v>
      </c>
      <c r="H304" s="30" t="str">
        <f>IF(ISBLANK('Auditoria CEB'!AR333)," ",+'Auditoria CEB'!AR333)</f>
        <v xml:space="preserve"> </v>
      </c>
      <c r="I304" s="45" t="str">
        <f>IF(ISBLANK('Auditoria CEB'!K333)," ",+'Auditoria CEB'!K333)</f>
        <v xml:space="preserve"> </v>
      </c>
      <c r="J304" s="30" t="str">
        <f>IF(ISBLANK('Auditoria CEB'!AM333)," ",+'Auditoria CEB'!AM333)</f>
        <v xml:space="preserve"> </v>
      </c>
    </row>
    <row r="305" spans="1:10">
      <c r="A305" s="30" t="str">
        <f>IF(ISBLANK('Auditoria CEB'!$E$6)," ",'Auditoria CEB'!$E$6)</f>
        <v xml:space="preserve"> </v>
      </c>
      <c r="B305" s="30" t="s">
        <v>161</v>
      </c>
      <c r="C305" s="29" t="str">
        <f>IF(ISBLANK('Auditoria CEB'!B334)," ",+'Auditoria CEB'!B334)</f>
        <v xml:space="preserve"> </v>
      </c>
      <c r="D305" s="29" t="str">
        <f>IF(ISBLANK('Auditoria CEB'!D334)," ",+'Auditoria CEB'!D334)</f>
        <v xml:space="preserve"> </v>
      </c>
      <c r="E305" s="29" t="str">
        <f>IF(ISBLANK('Auditoria CEB'!E334)," ",+'Auditoria CEB'!E334)</f>
        <v xml:space="preserve"> </v>
      </c>
      <c r="F305" s="30" t="str">
        <f>IF(ISBLANK('Auditoria CEB'!F314)," ",+'Auditoria CEB'!F314)</f>
        <v xml:space="preserve"> </v>
      </c>
      <c r="G305" s="30" t="str">
        <f>IF(ISBLANK('Auditoria CEB'!I334)," ",+'Auditoria CEB'!I334)</f>
        <v xml:space="preserve"> </v>
      </c>
      <c r="H305" s="30" t="str">
        <f>IF(ISBLANK('Auditoria CEB'!AR334)," ",+'Auditoria CEB'!AR334)</f>
        <v xml:space="preserve"> </v>
      </c>
      <c r="I305" s="45" t="str">
        <f>IF(ISBLANK('Auditoria CEB'!K334)," ",+'Auditoria CEB'!K334)</f>
        <v xml:space="preserve"> </v>
      </c>
      <c r="J305" s="30" t="str">
        <f>IF(ISBLANK('Auditoria CEB'!AM334)," ",+'Auditoria CEB'!AM334)</f>
        <v xml:space="preserve"> </v>
      </c>
    </row>
    <row r="306" spans="1:10">
      <c r="A306" s="30" t="str">
        <f>IF(ISBLANK('Auditoria CEB'!$E$6)," ",'Auditoria CEB'!$E$6)</f>
        <v xml:space="preserve"> </v>
      </c>
      <c r="B306" s="30" t="s">
        <v>161</v>
      </c>
      <c r="C306" s="29" t="str">
        <f>IF(ISBLANK('Auditoria CEB'!B335)," ",+'Auditoria CEB'!B335)</f>
        <v xml:space="preserve"> </v>
      </c>
      <c r="D306" s="29" t="str">
        <f>IF(ISBLANK('Auditoria CEB'!D335)," ",+'Auditoria CEB'!D335)</f>
        <v xml:space="preserve"> </v>
      </c>
      <c r="E306" s="29" t="str">
        <f>IF(ISBLANK('Auditoria CEB'!E335)," ",+'Auditoria CEB'!E335)</f>
        <v xml:space="preserve"> </v>
      </c>
      <c r="F306" s="30" t="str">
        <f>IF(ISBLANK('Auditoria CEB'!F315)," ",+'Auditoria CEB'!F315)</f>
        <v xml:space="preserve"> </v>
      </c>
      <c r="G306" s="30" t="str">
        <f>IF(ISBLANK('Auditoria CEB'!I335)," ",+'Auditoria CEB'!I335)</f>
        <v xml:space="preserve"> </v>
      </c>
      <c r="H306" s="30" t="str">
        <f>IF(ISBLANK('Auditoria CEB'!AR335)," ",+'Auditoria CEB'!AR335)</f>
        <v xml:space="preserve"> </v>
      </c>
      <c r="I306" s="45" t="str">
        <f>IF(ISBLANK('Auditoria CEB'!K335)," ",+'Auditoria CEB'!K335)</f>
        <v xml:space="preserve"> </v>
      </c>
      <c r="J306" s="30" t="str">
        <f>IF(ISBLANK('Auditoria CEB'!AM335)," ",+'Auditoria CEB'!AM335)</f>
        <v xml:space="preserve"> </v>
      </c>
    </row>
    <row r="307" spans="1:10">
      <c r="A307" s="30" t="str">
        <f>IF(ISBLANK('Auditoria CEB'!$E$6)," ",'Auditoria CEB'!$E$6)</f>
        <v xml:space="preserve"> </v>
      </c>
      <c r="B307" s="30" t="s">
        <v>161</v>
      </c>
      <c r="C307" s="29" t="str">
        <f>IF(ISBLANK('Auditoria CEB'!B336)," ",+'Auditoria CEB'!B336)</f>
        <v xml:space="preserve"> </v>
      </c>
      <c r="D307" s="29" t="str">
        <f>IF(ISBLANK('Auditoria CEB'!D336)," ",+'Auditoria CEB'!D336)</f>
        <v xml:space="preserve"> </v>
      </c>
      <c r="E307" s="29" t="str">
        <f>IF(ISBLANK('Auditoria CEB'!E336)," ",+'Auditoria CEB'!E336)</f>
        <v xml:space="preserve"> </v>
      </c>
      <c r="F307" s="30" t="str">
        <f>IF(ISBLANK('Auditoria CEB'!F316)," ",+'Auditoria CEB'!F316)</f>
        <v xml:space="preserve"> </v>
      </c>
      <c r="G307" s="30" t="str">
        <f>IF(ISBLANK('Auditoria CEB'!I336)," ",+'Auditoria CEB'!I336)</f>
        <v xml:space="preserve"> </v>
      </c>
      <c r="H307" s="30" t="str">
        <f>IF(ISBLANK('Auditoria CEB'!AR336)," ",+'Auditoria CEB'!AR336)</f>
        <v xml:space="preserve"> </v>
      </c>
      <c r="I307" s="45" t="str">
        <f>IF(ISBLANK('Auditoria CEB'!K336)," ",+'Auditoria CEB'!K336)</f>
        <v xml:space="preserve"> </v>
      </c>
      <c r="J307" s="30" t="str">
        <f>IF(ISBLANK('Auditoria CEB'!AM336)," ",+'Auditoria CEB'!AM336)</f>
        <v xml:space="preserve"> </v>
      </c>
    </row>
    <row r="308" spans="1:10">
      <c r="A308" s="30" t="str">
        <f>IF(ISBLANK('Auditoria CEB'!$E$6)," ",'Auditoria CEB'!$E$6)</f>
        <v xml:space="preserve"> </v>
      </c>
      <c r="B308" s="30" t="s">
        <v>161</v>
      </c>
      <c r="C308" s="29" t="str">
        <f>IF(ISBLANK('Auditoria CEB'!B337)," ",+'Auditoria CEB'!B337)</f>
        <v xml:space="preserve"> </v>
      </c>
      <c r="D308" s="29" t="str">
        <f>IF(ISBLANK('Auditoria CEB'!D337)," ",+'Auditoria CEB'!D337)</f>
        <v xml:space="preserve"> </v>
      </c>
      <c r="E308" s="29" t="str">
        <f>IF(ISBLANK('Auditoria CEB'!E337)," ",+'Auditoria CEB'!E337)</f>
        <v xml:space="preserve"> </v>
      </c>
      <c r="F308" s="30" t="str">
        <f>IF(ISBLANK('Auditoria CEB'!F317)," ",+'Auditoria CEB'!F317)</f>
        <v xml:space="preserve"> </v>
      </c>
      <c r="G308" s="30" t="str">
        <f>IF(ISBLANK('Auditoria CEB'!I337)," ",+'Auditoria CEB'!I337)</f>
        <v xml:space="preserve"> </v>
      </c>
      <c r="H308" s="30" t="str">
        <f>IF(ISBLANK('Auditoria CEB'!AR337)," ",+'Auditoria CEB'!AR337)</f>
        <v xml:space="preserve"> </v>
      </c>
      <c r="I308" s="45" t="str">
        <f>IF(ISBLANK('Auditoria CEB'!K337)," ",+'Auditoria CEB'!K337)</f>
        <v xml:space="preserve"> </v>
      </c>
      <c r="J308" s="30" t="str">
        <f>IF(ISBLANK('Auditoria CEB'!AM337)," ",+'Auditoria CEB'!AM337)</f>
        <v xml:space="preserve"> </v>
      </c>
    </row>
    <row r="309" spans="1:10">
      <c r="A309" s="30" t="str">
        <f>IF(ISBLANK('Auditoria CEB'!$E$6)," ",'Auditoria CEB'!$E$6)</f>
        <v xml:space="preserve"> </v>
      </c>
      <c r="B309" s="30" t="s">
        <v>161</v>
      </c>
      <c r="C309" s="29" t="str">
        <f>IF(ISBLANK('Auditoria CEB'!B338)," ",+'Auditoria CEB'!B338)</f>
        <v xml:space="preserve"> </v>
      </c>
      <c r="D309" s="29" t="str">
        <f>IF(ISBLANK('Auditoria CEB'!D338)," ",+'Auditoria CEB'!D338)</f>
        <v xml:space="preserve"> </v>
      </c>
      <c r="E309" s="29" t="str">
        <f>IF(ISBLANK('Auditoria CEB'!E338)," ",+'Auditoria CEB'!E338)</f>
        <v xml:space="preserve"> </v>
      </c>
      <c r="F309" s="30" t="str">
        <f>IF(ISBLANK('Auditoria CEB'!F318)," ",+'Auditoria CEB'!F318)</f>
        <v xml:space="preserve"> </v>
      </c>
      <c r="G309" s="30" t="str">
        <f>IF(ISBLANK('Auditoria CEB'!I338)," ",+'Auditoria CEB'!I338)</f>
        <v xml:space="preserve"> </v>
      </c>
      <c r="H309" s="30" t="str">
        <f>IF(ISBLANK('Auditoria CEB'!AR338)," ",+'Auditoria CEB'!AR338)</f>
        <v xml:space="preserve"> </v>
      </c>
      <c r="I309" s="45" t="str">
        <f>IF(ISBLANK('Auditoria CEB'!K338)," ",+'Auditoria CEB'!K338)</f>
        <v xml:space="preserve"> </v>
      </c>
      <c r="J309" s="30" t="str">
        <f>IF(ISBLANK('Auditoria CEB'!AM338)," ",+'Auditoria CEB'!AM338)</f>
        <v xml:space="preserve"> </v>
      </c>
    </row>
    <row r="310" spans="1:10">
      <c r="A310" s="30" t="str">
        <f>IF(ISBLANK('Auditoria CEB'!$E$6)," ",'Auditoria CEB'!$E$6)</f>
        <v xml:space="preserve"> </v>
      </c>
      <c r="B310" s="30" t="s">
        <v>161</v>
      </c>
      <c r="C310" s="29" t="str">
        <f>IF(ISBLANK('Auditoria CEB'!B339)," ",+'Auditoria CEB'!B339)</f>
        <v xml:space="preserve"> </v>
      </c>
      <c r="D310" s="29" t="str">
        <f>IF(ISBLANK('Auditoria CEB'!D339)," ",+'Auditoria CEB'!D339)</f>
        <v xml:space="preserve"> </v>
      </c>
      <c r="E310" s="29" t="str">
        <f>IF(ISBLANK('Auditoria CEB'!E339)," ",+'Auditoria CEB'!E339)</f>
        <v xml:space="preserve"> </v>
      </c>
      <c r="F310" s="30" t="str">
        <f>IF(ISBLANK('Auditoria CEB'!F319)," ",+'Auditoria CEB'!F319)</f>
        <v xml:space="preserve"> </v>
      </c>
      <c r="G310" s="30" t="str">
        <f>IF(ISBLANK('Auditoria CEB'!I339)," ",+'Auditoria CEB'!I339)</f>
        <v xml:space="preserve"> </v>
      </c>
      <c r="H310" s="30" t="str">
        <f>IF(ISBLANK('Auditoria CEB'!AR339)," ",+'Auditoria CEB'!AR339)</f>
        <v xml:space="preserve"> </v>
      </c>
      <c r="I310" s="45" t="str">
        <f>IF(ISBLANK('Auditoria CEB'!K339)," ",+'Auditoria CEB'!K339)</f>
        <v xml:space="preserve"> </v>
      </c>
      <c r="J310" s="30" t="str">
        <f>IF(ISBLANK('Auditoria CEB'!AM339)," ",+'Auditoria CEB'!AM339)</f>
        <v xml:space="preserve"> </v>
      </c>
    </row>
    <row r="311" spans="1:10">
      <c r="A311" s="30" t="str">
        <f>IF(ISBLANK('Auditoria CEB'!$E$6)," ",'Auditoria CEB'!$E$6)</f>
        <v xml:space="preserve"> </v>
      </c>
      <c r="B311" s="30" t="s">
        <v>161</v>
      </c>
      <c r="C311" s="29" t="str">
        <f>IF(ISBLANK('Auditoria CEB'!B340)," ",+'Auditoria CEB'!B340)</f>
        <v xml:space="preserve"> </v>
      </c>
      <c r="D311" s="29" t="str">
        <f>IF(ISBLANK('Auditoria CEB'!D340)," ",+'Auditoria CEB'!D340)</f>
        <v xml:space="preserve"> </v>
      </c>
      <c r="E311" s="29" t="str">
        <f>IF(ISBLANK('Auditoria CEB'!E340)," ",+'Auditoria CEB'!E340)</f>
        <v xml:space="preserve"> </v>
      </c>
      <c r="F311" s="30" t="str">
        <f>IF(ISBLANK('Auditoria CEB'!F320)," ",+'Auditoria CEB'!F320)</f>
        <v xml:space="preserve"> </v>
      </c>
      <c r="G311" s="30" t="str">
        <f>IF(ISBLANK('Auditoria CEB'!I340)," ",+'Auditoria CEB'!I340)</f>
        <v xml:space="preserve"> </v>
      </c>
      <c r="H311" s="30" t="str">
        <f>IF(ISBLANK('Auditoria CEB'!AR340)," ",+'Auditoria CEB'!AR340)</f>
        <v xml:space="preserve"> </v>
      </c>
      <c r="I311" s="45" t="str">
        <f>IF(ISBLANK('Auditoria CEB'!K340)," ",+'Auditoria CEB'!K340)</f>
        <v xml:space="preserve"> </v>
      </c>
      <c r="J311" s="30" t="str">
        <f>IF(ISBLANK('Auditoria CEB'!AM340)," ",+'Auditoria CEB'!AM340)</f>
        <v xml:space="preserve"> </v>
      </c>
    </row>
    <row r="312" spans="1:10">
      <c r="A312" s="30" t="str">
        <f>IF(ISBLANK('Auditoria CEB'!$E$6)," ",'Auditoria CEB'!$E$6)</f>
        <v xml:space="preserve"> </v>
      </c>
      <c r="B312" s="30" t="s">
        <v>161</v>
      </c>
      <c r="C312" s="29" t="str">
        <f>IF(ISBLANK('Auditoria CEB'!B341)," ",+'Auditoria CEB'!B341)</f>
        <v xml:space="preserve"> </v>
      </c>
      <c r="D312" s="29" t="str">
        <f>IF(ISBLANK('Auditoria CEB'!D341)," ",+'Auditoria CEB'!D341)</f>
        <v xml:space="preserve"> </v>
      </c>
      <c r="E312" s="29" t="str">
        <f>IF(ISBLANK('Auditoria CEB'!E341)," ",+'Auditoria CEB'!E341)</f>
        <v xml:space="preserve"> </v>
      </c>
      <c r="F312" s="30" t="str">
        <f>IF(ISBLANK('Auditoria CEB'!F321)," ",+'Auditoria CEB'!F321)</f>
        <v xml:space="preserve"> </v>
      </c>
      <c r="G312" s="30" t="str">
        <f>IF(ISBLANK('Auditoria CEB'!I341)," ",+'Auditoria CEB'!I341)</f>
        <v xml:space="preserve"> </v>
      </c>
      <c r="H312" s="30" t="str">
        <f>IF(ISBLANK('Auditoria CEB'!AR341)," ",+'Auditoria CEB'!AR341)</f>
        <v xml:space="preserve"> </v>
      </c>
      <c r="I312" s="45" t="str">
        <f>IF(ISBLANK('Auditoria CEB'!K341)," ",+'Auditoria CEB'!K341)</f>
        <v xml:space="preserve"> </v>
      </c>
      <c r="J312" s="30" t="str">
        <f>IF(ISBLANK('Auditoria CEB'!AM341)," ",+'Auditoria CEB'!AM341)</f>
        <v xml:space="preserve"> </v>
      </c>
    </row>
    <row r="313" spans="1:10">
      <c r="A313" s="30" t="str">
        <f>IF(ISBLANK('Auditoria CEB'!$E$6)," ",'Auditoria CEB'!$E$6)</f>
        <v xml:space="preserve"> </v>
      </c>
      <c r="B313" s="30" t="s">
        <v>161</v>
      </c>
      <c r="C313" s="29" t="str">
        <f>IF(ISBLANK('Auditoria CEB'!B342)," ",+'Auditoria CEB'!B342)</f>
        <v xml:space="preserve"> </v>
      </c>
      <c r="D313" s="29" t="str">
        <f>IF(ISBLANK('Auditoria CEB'!D342)," ",+'Auditoria CEB'!D342)</f>
        <v xml:space="preserve"> </v>
      </c>
      <c r="E313" s="29" t="str">
        <f>IF(ISBLANK('Auditoria CEB'!E342)," ",+'Auditoria CEB'!E342)</f>
        <v xml:space="preserve"> </v>
      </c>
      <c r="F313" s="30" t="str">
        <f>IF(ISBLANK('Auditoria CEB'!F322)," ",+'Auditoria CEB'!F322)</f>
        <v xml:space="preserve"> </v>
      </c>
      <c r="G313" s="30" t="str">
        <f>IF(ISBLANK('Auditoria CEB'!I342)," ",+'Auditoria CEB'!I342)</f>
        <v xml:space="preserve"> </v>
      </c>
      <c r="H313" s="30" t="str">
        <f>IF(ISBLANK('Auditoria CEB'!AR342)," ",+'Auditoria CEB'!AR342)</f>
        <v xml:space="preserve"> </v>
      </c>
      <c r="I313" s="45" t="str">
        <f>IF(ISBLANK('Auditoria CEB'!K342)," ",+'Auditoria CEB'!K342)</f>
        <v xml:space="preserve"> </v>
      </c>
      <c r="J313" s="30" t="str">
        <f>IF(ISBLANK('Auditoria CEB'!AM342)," ",+'Auditoria CEB'!AM342)</f>
        <v xml:space="preserve"> </v>
      </c>
    </row>
    <row r="314" spans="1:10">
      <c r="A314" s="30" t="str">
        <f>IF(ISBLANK('Auditoria CEB'!$E$6)," ",'Auditoria CEB'!$E$6)</f>
        <v xml:space="preserve"> </v>
      </c>
      <c r="B314" s="30" t="s">
        <v>161</v>
      </c>
      <c r="C314" s="29" t="str">
        <f>IF(ISBLANK('Auditoria CEB'!B343)," ",+'Auditoria CEB'!B343)</f>
        <v xml:space="preserve"> </v>
      </c>
      <c r="D314" s="29" t="str">
        <f>IF(ISBLANK('Auditoria CEB'!D343)," ",+'Auditoria CEB'!D343)</f>
        <v xml:space="preserve"> </v>
      </c>
      <c r="E314" s="29" t="str">
        <f>IF(ISBLANK('Auditoria CEB'!E343)," ",+'Auditoria CEB'!E343)</f>
        <v xml:space="preserve"> </v>
      </c>
      <c r="F314" s="30" t="str">
        <f>IF(ISBLANK('Auditoria CEB'!F323)," ",+'Auditoria CEB'!F323)</f>
        <v xml:space="preserve"> </v>
      </c>
      <c r="G314" s="30" t="str">
        <f>IF(ISBLANK('Auditoria CEB'!I343)," ",+'Auditoria CEB'!I343)</f>
        <v xml:space="preserve"> </v>
      </c>
      <c r="H314" s="30" t="str">
        <f>IF(ISBLANK('Auditoria CEB'!AR343)," ",+'Auditoria CEB'!AR343)</f>
        <v xml:space="preserve"> </v>
      </c>
      <c r="I314" s="45" t="str">
        <f>IF(ISBLANK('Auditoria CEB'!K343)," ",+'Auditoria CEB'!K343)</f>
        <v xml:space="preserve"> </v>
      </c>
      <c r="J314" s="30" t="str">
        <f>IF(ISBLANK('Auditoria CEB'!AM343)," ",+'Auditoria CEB'!AM343)</f>
        <v xml:space="preserve"> </v>
      </c>
    </row>
    <row r="315" spans="1:10">
      <c r="A315" s="30" t="str">
        <f>IF(ISBLANK('Auditoria CEB'!$E$6)," ",'Auditoria CEB'!$E$6)</f>
        <v xml:space="preserve"> </v>
      </c>
      <c r="B315" s="30" t="s">
        <v>161</v>
      </c>
      <c r="C315" s="29" t="str">
        <f>IF(ISBLANK('Auditoria CEB'!B344)," ",+'Auditoria CEB'!B344)</f>
        <v xml:space="preserve"> </v>
      </c>
      <c r="D315" s="29" t="str">
        <f>IF(ISBLANK('Auditoria CEB'!D344)," ",+'Auditoria CEB'!D344)</f>
        <v xml:space="preserve"> </v>
      </c>
      <c r="E315" s="29" t="str">
        <f>IF(ISBLANK('Auditoria CEB'!E344)," ",+'Auditoria CEB'!E344)</f>
        <v xml:space="preserve"> </v>
      </c>
      <c r="F315" s="30" t="str">
        <f>IF(ISBLANK('Auditoria CEB'!F324)," ",+'Auditoria CEB'!F324)</f>
        <v xml:space="preserve"> </v>
      </c>
      <c r="G315" s="30" t="str">
        <f>IF(ISBLANK('Auditoria CEB'!I344)," ",+'Auditoria CEB'!I344)</f>
        <v xml:space="preserve"> </v>
      </c>
      <c r="H315" s="30" t="str">
        <f>IF(ISBLANK('Auditoria CEB'!AR344)," ",+'Auditoria CEB'!AR344)</f>
        <v xml:space="preserve"> </v>
      </c>
      <c r="I315" s="45" t="str">
        <f>IF(ISBLANK('Auditoria CEB'!K344)," ",+'Auditoria CEB'!K344)</f>
        <v xml:space="preserve"> </v>
      </c>
      <c r="J315" s="30" t="str">
        <f>IF(ISBLANK('Auditoria CEB'!AM344)," ",+'Auditoria CEB'!AM344)</f>
        <v xml:space="preserve"> </v>
      </c>
    </row>
    <row r="316" spans="1:10">
      <c r="A316" s="30" t="str">
        <f>IF(ISBLANK('Auditoria CEB'!$E$6)," ",'Auditoria CEB'!$E$6)</f>
        <v xml:space="preserve"> </v>
      </c>
      <c r="B316" s="30" t="s">
        <v>161</v>
      </c>
      <c r="C316" s="29" t="str">
        <f>IF(ISBLANK('Auditoria CEB'!B345)," ",+'Auditoria CEB'!B345)</f>
        <v xml:space="preserve"> </v>
      </c>
      <c r="D316" s="29" t="str">
        <f>IF(ISBLANK('Auditoria CEB'!D345)," ",+'Auditoria CEB'!D345)</f>
        <v xml:space="preserve"> </v>
      </c>
      <c r="E316" s="29" t="str">
        <f>IF(ISBLANK('Auditoria CEB'!E345)," ",+'Auditoria CEB'!E345)</f>
        <v xml:space="preserve"> </v>
      </c>
      <c r="F316" s="30" t="str">
        <f>IF(ISBLANK('Auditoria CEB'!F325)," ",+'Auditoria CEB'!F325)</f>
        <v xml:space="preserve"> </v>
      </c>
      <c r="G316" s="30" t="str">
        <f>IF(ISBLANK('Auditoria CEB'!I345)," ",+'Auditoria CEB'!I345)</f>
        <v xml:space="preserve"> </v>
      </c>
      <c r="H316" s="30" t="str">
        <f>IF(ISBLANK('Auditoria CEB'!AR345)," ",+'Auditoria CEB'!AR345)</f>
        <v xml:space="preserve"> </v>
      </c>
      <c r="I316" s="45" t="str">
        <f>IF(ISBLANK('Auditoria CEB'!K345)," ",+'Auditoria CEB'!K345)</f>
        <v xml:space="preserve"> </v>
      </c>
      <c r="J316" s="30" t="str">
        <f>IF(ISBLANK('Auditoria CEB'!AM345)," ",+'Auditoria CEB'!AM345)</f>
        <v xml:space="preserve"> </v>
      </c>
    </row>
    <row r="317" spans="1:10">
      <c r="A317" s="30" t="str">
        <f>IF(ISBLANK('Auditoria CEB'!$E$6)," ",'Auditoria CEB'!$E$6)</f>
        <v xml:space="preserve"> </v>
      </c>
      <c r="B317" s="30" t="s">
        <v>161</v>
      </c>
      <c r="C317" s="29" t="str">
        <f>IF(ISBLANK('Auditoria CEB'!B346)," ",+'Auditoria CEB'!B346)</f>
        <v xml:space="preserve"> </v>
      </c>
      <c r="D317" s="29" t="str">
        <f>IF(ISBLANK('Auditoria CEB'!D346)," ",+'Auditoria CEB'!D346)</f>
        <v xml:space="preserve"> </v>
      </c>
      <c r="E317" s="29" t="str">
        <f>IF(ISBLANK('Auditoria CEB'!E346)," ",+'Auditoria CEB'!E346)</f>
        <v xml:space="preserve"> </v>
      </c>
      <c r="F317" s="30" t="str">
        <f>IF(ISBLANK('Auditoria CEB'!F326)," ",+'Auditoria CEB'!F326)</f>
        <v xml:space="preserve"> </v>
      </c>
      <c r="G317" s="30" t="str">
        <f>IF(ISBLANK('Auditoria CEB'!I346)," ",+'Auditoria CEB'!I346)</f>
        <v xml:space="preserve"> </v>
      </c>
      <c r="H317" s="30" t="str">
        <f>IF(ISBLANK('Auditoria CEB'!AR346)," ",+'Auditoria CEB'!AR346)</f>
        <v xml:space="preserve"> </v>
      </c>
      <c r="I317" s="45" t="str">
        <f>IF(ISBLANK('Auditoria CEB'!K346)," ",+'Auditoria CEB'!K346)</f>
        <v xml:space="preserve"> </v>
      </c>
      <c r="J317" s="30" t="str">
        <f>IF(ISBLANK('Auditoria CEB'!AM346)," ",+'Auditoria CEB'!AM346)</f>
        <v xml:space="preserve"> </v>
      </c>
    </row>
    <row r="318" spans="1:10">
      <c r="A318" s="30" t="str">
        <f>IF(ISBLANK('Auditoria CEB'!$E$6)," ",'Auditoria CEB'!$E$6)</f>
        <v xml:space="preserve"> </v>
      </c>
      <c r="B318" s="30" t="s">
        <v>161</v>
      </c>
      <c r="C318" s="29" t="str">
        <f>IF(ISBLANK('Auditoria CEB'!B347)," ",+'Auditoria CEB'!B347)</f>
        <v xml:space="preserve"> </v>
      </c>
      <c r="D318" s="29" t="str">
        <f>IF(ISBLANK('Auditoria CEB'!D347)," ",+'Auditoria CEB'!D347)</f>
        <v xml:space="preserve"> </v>
      </c>
      <c r="E318" s="29" t="str">
        <f>IF(ISBLANK('Auditoria CEB'!E347)," ",+'Auditoria CEB'!E347)</f>
        <v xml:space="preserve"> </v>
      </c>
      <c r="F318" s="30" t="str">
        <f>IF(ISBLANK('Auditoria CEB'!F327)," ",+'Auditoria CEB'!F327)</f>
        <v xml:space="preserve"> </v>
      </c>
      <c r="G318" s="30" t="str">
        <f>IF(ISBLANK('Auditoria CEB'!I347)," ",+'Auditoria CEB'!I347)</f>
        <v xml:space="preserve"> </v>
      </c>
      <c r="H318" s="30" t="str">
        <f>IF(ISBLANK('Auditoria CEB'!AR347)," ",+'Auditoria CEB'!AR347)</f>
        <v xml:space="preserve"> </v>
      </c>
      <c r="I318" s="45" t="str">
        <f>IF(ISBLANK('Auditoria CEB'!K347)," ",+'Auditoria CEB'!K347)</f>
        <v xml:space="preserve"> </v>
      </c>
      <c r="J318" s="30" t="str">
        <f>IF(ISBLANK('Auditoria CEB'!AM347)," ",+'Auditoria CEB'!AM347)</f>
        <v xml:space="preserve"> </v>
      </c>
    </row>
    <row r="319" spans="1:10">
      <c r="A319" s="30" t="str">
        <f>IF(ISBLANK('Auditoria CEB'!$E$6)," ",'Auditoria CEB'!$E$6)</f>
        <v xml:space="preserve"> </v>
      </c>
      <c r="B319" s="30" t="s">
        <v>161</v>
      </c>
      <c r="C319" s="29" t="str">
        <f>IF(ISBLANK('Auditoria CEB'!B348)," ",+'Auditoria CEB'!B348)</f>
        <v xml:space="preserve"> </v>
      </c>
      <c r="D319" s="29" t="str">
        <f>IF(ISBLANK('Auditoria CEB'!D348)," ",+'Auditoria CEB'!D348)</f>
        <v xml:space="preserve"> </v>
      </c>
      <c r="E319" s="29" t="str">
        <f>IF(ISBLANK('Auditoria CEB'!E348)," ",+'Auditoria CEB'!E348)</f>
        <v xml:space="preserve"> </v>
      </c>
      <c r="F319" s="30" t="str">
        <f>IF(ISBLANK('Auditoria CEB'!F328)," ",+'Auditoria CEB'!F328)</f>
        <v xml:space="preserve"> </v>
      </c>
      <c r="G319" s="30" t="str">
        <f>IF(ISBLANK('Auditoria CEB'!I348)," ",+'Auditoria CEB'!I348)</f>
        <v xml:space="preserve"> </v>
      </c>
      <c r="H319" s="30" t="str">
        <f>IF(ISBLANK('Auditoria CEB'!AR348)," ",+'Auditoria CEB'!AR348)</f>
        <v xml:space="preserve"> </v>
      </c>
      <c r="I319" s="45" t="str">
        <f>IF(ISBLANK('Auditoria CEB'!K348)," ",+'Auditoria CEB'!K348)</f>
        <v xml:space="preserve"> </v>
      </c>
      <c r="J319" s="30" t="str">
        <f>IF(ISBLANK('Auditoria CEB'!AM348)," ",+'Auditoria CEB'!AM348)</f>
        <v xml:space="preserve"> </v>
      </c>
    </row>
    <row r="320" spans="1:10">
      <c r="A320" s="30" t="str">
        <f>IF(ISBLANK('Auditoria CEB'!$E$6)," ",'Auditoria CEB'!$E$6)</f>
        <v xml:space="preserve"> </v>
      </c>
      <c r="B320" s="30" t="s">
        <v>161</v>
      </c>
      <c r="C320" s="29" t="str">
        <f>IF(ISBLANK('Auditoria CEB'!B349)," ",+'Auditoria CEB'!B349)</f>
        <v xml:space="preserve"> </v>
      </c>
      <c r="D320" s="29" t="str">
        <f>IF(ISBLANK('Auditoria CEB'!D349)," ",+'Auditoria CEB'!D349)</f>
        <v xml:space="preserve"> </v>
      </c>
      <c r="E320" s="29" t="str">
        <f>IF(ISBLANK('Auditoria CEB'!E349)," ",+'Auditoria CEB'!E349)</f>
        <v xml:space="preserve"> </v>
      </c>
      <c r="F320" s="30" t="str">
        <f>IF(ISBLANK('Auditoria CEB'!F329)," ",+'Auditoria CEB'!F329)</f>
        <v xml:space="preserve"> </v>
      </c>
      <c r="G320" s="30" t="str">
        <f>IF(ISBLANK('Auditoria CEB'!I349)," ",+'Auditoria CEB'!I349)</f>
        <v xml:space="preserve"> </v>
      </c>
      <c r="H320" s="30" t="str">
        <f>IF(ISBLANK('Auditoria CEB'!AR349)," ",+'Auditoria CEB'!AR349)</f>
        <v xml:space="preserve"> </v>
      </c>
      <c r="I320" s="45" t="str">
        <f>IF(ISBLANK('Auditoria CEB'!K349)," ",+'Auditoria CEB'!K349)</f>
        <v xml:space="preserve"> </v>
      </c>
      <c r="J320" s="30" t="str">
        <f>IF(ISBLANK('Auditoria CEB'!AM349)," ",+'Auditoria CEB'!AM349)</f>
        <v xml:space="preserve"> </v>
      </c>
    </row>
    <row r="321" spans="1:10">
      <c r="A321" s="30" t="str">
        <f>IF(ISBLANK('Auditoria CEB'!$E$6)," ",'Auditoria CEB'!$E$6)</f>
        <v xml:space="preserve"> </v>
      </c>
      <c r="B321" s="30" t="s">
        <v>161</v>
      </c>
      <c r="C321" s="29" t="str">
        <f>IF(ISBLANK('Auditoria CEB'!B350)," ",+'Auditoria CEB'!B350)</f>
        <v xml:space="preserve"> </v>
      </c>
      <c r="D321" s="29" t="str">
        <f>IF(ISBLANK('Auditoria CEB'!D350)," ",+'Auditoria CEB'!D350)</f>
        <v xml:space="preserve"> </v>
      </c>
      <c r="E321" s="29" t="str">
        <f>IF(ISBLANK('Auditoria CEB'!E350)," ",+'Auditoria CEB'!E350)</f>
        <v xml:space="preserve"> </v>
      </c>
      <c r="F321" s="30" t="str">
        <f>IF(ISBLANK('Auditoria CEB'!F330)," ",+'Auditoria CEB'!F330)</f>
        <v xml:space="preserve"> </v>
      </c>
      <c r="G321" s="30" t="str">
        <f>IF(ISBLANK('Auditoria CEB'!I350)," ",+'Auditoria CEB'!I350)</f>
        <v xml:space="preserve"> </v>
      </c>
      <c r="H321" s="30" t="str">
        <f>IF(ISBLANK('Auditoria CEB'!AR350)," ",+'Auditoria CEB'!AR350)</f>
        <v xml:space="preserve"> </v>
      </c>
      <c r="I321" s="45" t="str">
        <f>IF(ISBLANK('Auditoria CEB'!K350)," ",+'Auditoria CEB'!K350)</f>
        <v xml:space="preserve"> </v>
      </c>
      <c r="J321" s="30" t="str">
        <f>IF(ISBLANK('Auditoria CEB'!AM350)," ",+'Auditoria CEB'!AM350)</f>
        <v xml:space="preserve"> </v>
      </c>
    </row>
    <row r="322" spans="1:10">
      <c r="A322" s="30" t="str">
        <f>IF(ISBLANK('Auditoria CEB'!$E$6)," ",'Auditoria CEB'!$E$6)</f>
        <v xml:space="preserve"> </v>
      </c>
      <c r="B322" s="30" t="s">
        <v>161</v>
      </c>
      <c r="C322" s="29" t="str">
        <f>IF(ISBLANK('Auditoria CEB'!B351)," ",+'Auditoria CEB'!B351)</f>
        <v xml:space="preserve"> </v>
      </c>
      <c r="D322" s="29" t="str">
        <f>IF(ISBLANK('Auditoria CEB'!D351)," ",+'Auditoria CEB'!D351)</f>
        <v xml:space="preserve"> </v>
      </c>
      <c r="E322" s="29" t="str">
        <f>IF(ISBLANK('Auditoria CEB'!E351)," ",+'Auditoria CEB'!E351)</f>
        <v xml:space="preserve"> </v>
      </c>
      <c r="F322" s="30" t="str">
        <f>IF(ISBLANK('Auditoria CEB'!F331)," ",+'Auditoria CEB'!F331)</f>
        <v xml:space="preserve"> </v>
      </c>
      <c r="G322" s="30" t="str">
        <f>IF(ISBLANK('Auditoria CEB'!I351)," ",+'Auditoria CEB'!I351)</f>
        <v xml:space="preserve"> </v>
      </c>
      <c r="H322" s="30" t="str">
        <f>IF(ISBLANK('Auditoria CEB'!AR351)," ",+'Auditoria CEB'!AR351)</f>
        <v xml:space="preserve"> </v>
      </c>
      <c r="I322" s="45" t="str">
        <f>IF(ISBLANK('Auditoria CEB'!K351)," ",+'Auditoria CEB'!K351)</f>
        <v xml:space="preserve"> </v>
      </c>
      <c r="J322" s="30" t="str">
        <f>IF(ISBLANK('Auditoria CEB'!AM351)," ",+'Auditoria CEB'!AM351)</f>
        <v xml:space="preserve"> </v>
      </c>
    </row>
    <row r="323" spans="1:10">
      <c r="A323" s="30" t="str">
        <f>IF(ISBLANK('Auditoria CEB'!$E$6)," ",'Auditoria CEB'!$E$6)</f>
        <v xml:space="preserve"> </v>
      </c>
      <c r="B323" s="30" t="s">
        <v>161</v>
      </c>
      <c r="C323" s="29" t="str">
        <f>IF(ISBLANK('Auditoria CEB'!B352)," ",+'Auditoria CEB'!B352)</f>
        <v xml:space="preserve"> </v>
      </c>
      <c r="D323" s="29" t="str">
        <f>IF(ISBLANK('Auditoria CEB'!D352)," ",+'Auditoria CEB'!D352)</f>
        <v xml:space="preserve"> </v>
      </c>
      <c r="E323" s="29" t="str">
        <f>IF(ISBLANK('Auditoria CEB'!E352)," ",+'Auditoria CEB'!E352)</f>
        <v xml:space="preserve"> </v>
      </c>
      <c r="F323" s="30" t="str">
        <f>IF(ISBLANK('Auditoria CEB'!F332)," ",+'Auditoria CEB'!F332)</f>
        <v xml:space="preserve"> </v>
      </c>
      <c r="G323" s="30" t="str">
        <f>IF(ISBLANK('Auditoria CEB'!I352)," ",+'Auditoria CEB'!I352)</f>
        <v xml:space="preserve"> </v>
      </c>
      <c r="H323" s="30" t="str">
        <f>IF(ISBLANK('Auditoria CEB'!AR352)," ",+'Auditoria CEB'!AR352)</f>
        <v xml:space="preserve"> </v>
      </c>
      <c r="I323" s="45" t="str">
        <f>IF(ISBLANK('Auditoria CEB'!K352)," ",+'Auditoria CEB'!K352)</f>
        <v xml:space="preserve"> </v>
      </c>
      <c r="J323" s="30" t="str">
        <f>IF(ISBLANK('Auditoria CEB'!AM352)," ",+'Auditoria CEB'!AM352)</f>
        <v xml:space="preserve"> </v>
      </c>
    </row>
    <row r="324" spans="1:10">
      <c r="A324" s="30" t="str">
        <f>IF(ISBLANK('Auditoria CEB'!$E$6)," ",'Auditoria CEB'!$E$6)</f>
        <v xml:space="preserve"> </v>
      </c>
      <c r="B324" s="30" t="s">
        <v>161</v>
      </c>
      <c r="C324" s="29" t="str">
        <f>IF(ISBLANK('Auditoria CEB'!B353)," ",+'Auditoria CEB'!B353)</f>
        <v xml:space="preserve"> </v>
      </c>
      <c r="D324" s="29" t="str">
        <f>IF(ISBLANK('Auditoria CEB'!D353)," ",+'Auditoria CEB'!D353)</f>
        <v xml:space="preserve"> </v>
      </c>
      <c r="E324" s="29" t="str">
        <f>IF(ISBLANK('Auditoria CEB'!E353)," ",+'Auditoria CEB'!E353)</f>
        <v xml:space="preserve"> </v>
      </c>
      <c r="F324" s="30" t="str">
        <f>IF(ISBLANK('Auditoria CEB'!F333)," ",+'Auditoria CEB'!F333)</f>
        <v xml:space="preserve"> </v>
      </c>
      <c r="G324" s="30" t="str">
        <f>IF(ISBLANK('Auditoria CEB'!I353)," ",+'Auditoria CEB'!I353)</f>
        <v xml:space="preserve"> </v>
      </c>
      <c r="H324" s="30" t="str">
        <f>IF(ISBLANK('Auditoria CEB'!AR353)," ",+'Auditoria CEB'!AR353)</f>
        <v xml:space="preserve"> </v>
      </c>
      <c r="I324" s="45" t="str">
        <f>IF(ISBLANK('Auditoria CEB'!K353)," ",+'Auditoria CEB'!K353)</f>
        <v xml:space="preserve"> </v>
      </c>
      <c r="J324" s="30" t="str">
        <f>IF(ISBLANK('Auditoria CEB'!AM353)," ",+'Auditoria CEB'!AM353)</f>
        <v xml:space="preserve"> </v>
      </c>
    </row>
    <row r="325" spans="1:10">
      <c r="A325" s="30" t="str">
        <f>IF(ISBLANK('Auditoria CEB'!$E$6)," ",'Auditoria CEB'!$E$6)</f>
        <v xml:space="preserve"> </v>
      </c>
      <c r="B325" s="30" t="s">
        <v>161</v>
      </c>
      <c r="C325" s="29" t="str">
        <f>IF(ISBLANK('Auditoria CEB'!B354)," ",+'Auditoria CEB'!B354)</f>
        <v xml:space="preserve"> </v>
      </c>
      <c r="D325" s="29" t="str">
        <f>IF(ISBLANK('Auditoria CEB'!D354)," ",+'Auditoria CEB'!D354)</f>
        <v xml:space="preserve"> </v>
      </c>
      <c r="E325" s="29" t="str">
        <f>IF(ISBLANK('Auditoria CEB'!E354)," ",+'Auditoria CEB'!E354)</f>
        <v xml:space="preserve"> </v>
      </c>
      <c r="F325" s="30" t="str">
        <f>IF(ISBLANK('Auditoria CEB'!F334)," ",+'Auditoria CEB'!F334)</f>
        <v xml:space="preserve"> </v>
      </c>
      <c r="G325" s="30" t="str">
        <f>IF(ISBLANK('Auditoria CEB'!I354)," ",+'Auditoria CEB'!I354)</f>
        <v xml:space="preserve"> </v>
      </c>
      <c r="H325" s="30" t="str">
        <f>IF(ISBLANK('Auditoria CEB'!AR354)," ",+'Auditoria CEB'!AR354)</f>
        <v xml:space="preserve"> </v>
      </c>
      <c r="I325" s="45" t="str">
        <f>IF(ISBLANK('Auditoria CEB'!K354)," ",+'Auditoria CEB'!K354)</f>
        <v xml:space="preserve"> </v>
      </c>
      <c r="J325" s="30" t="str">
        <f>IF(ISBLANK('Auditoria CEB'!AM354)," ",+'Auditoria CEB'!AM354)</f>
        <v xml:space="preserve"> </v>
      </c>
    </row>
    <row r="326" spans="1:10">
      <c r="A326" s="30" t="str">
        <f>IF(ISBLANK('Auditoria CEB'!$E$6)," ",'Auditoria CEB'!$E$6)</f>
        <v xml:space="preserve"> </v>
      </c>
      <c r="B326" s="30" t="s">
        <v>161</v>
      </c>
      <c r="C326" s="29" t="str">
        <f>IF(ISBLANK('Auditoria CEB'!B355)," ",+'Auditoria CEB'!B355)</f>
        <v xml:space="preserve"> </v>
      </c>
      <c r="D326" s="29" t="str">
        <f>IF(ISBLANK('Auditoria CEB'!D355)," ",+'Auditoria CEB'!D355)</f>
        <v xml:space="preserve"> </v>
      </c>
      <c r="E326" s="29" t="str">
        <f>IF(ISBLANK('Auditoria CEB'!E355)," ",+'Auditoria CEB'!E355)</f>
        <v xml:space="preserve"> </v>
      </c>
      <c r="F326" s="30" t="str">
        <f>IF(ISBLANK('Auditoria CEB'!F335)," ",+'Auditoria CEB'!F335)</f>
        <v xml:space="preserve"> </v>
      </c>
      <c r="G326" s="30" t="str">
        <f>IF(ISBLANK('Auditoria CEB'!I355)," ",+'Auditoria CEB'!I355)</f>
        <v xml:space="preserve"> </v>
      </c>
      <c r="H326" s="30" t="str">
        <f>IF(ISBLANK('Auditoria CEB'!AR355)," ",+'Auditoria CEB'!AR355)</f>
        <v xml:space="preserve"> </v>
      </c>
      <c r="I326" s="45" t="str">
        <f>IF(ISBLANK('Auditoria CEB'!K355)," ",+'Auditoria CEB'!K355)</f>
        <v xml:space="preserve"> </v>
      </c>
      <c r="J326" s="30" t="str">
        <f>IF(ISBLANK('Auditoria CEB'!AM355)," ",+'Auditoria CEB'!AM355)</f>
        <v xml:space="preserve"> </v>
      </c>
    </row>
    <row r="327" spans="1:10">
      <c r="A327" s="30" t="str">
        <f>IF(ISBLANK('Auditoria CEB'!$E$6)," ",'Auditoria CEB'!$E$6)</f>
        <v xml:space="preserve"> </v>
      </c>
      <c r="B327" s="30" t="s">
        <v>161</v>
      </c>
      <c r="C327" s="29" t="str">
        <f>IF(ISBLANK('Auditoria CEB'!B356)," ",+'Auditoria CEB'!B356)</f>
        <v xml:space="preserve"> </v>
      </c>
      <c r="D327" s="29" t="str">
        <f>IF(ISBLANK('Auditoria CEB'!D356)," ",+'Auditoria CEB'!D356)</f>
        <v xml:space="preserve"> </v>
      </c>
      <c r="E327" s="29" t="str">
        <f>IF(ISBLANK('Auditoria CEB'!E356)," ",+'Auditoria CEB'!E356)</f>
        <v xml:space="preserve"> </v>
      </c>
      <c r="F327" s="30" t="str">
        <f>IF(ISBLANK('Auditoria CEB'!F336)," ",+'Auditoria CEB'!F336)</f>
        <v xml:space="preserve"> </v>
      </c>
      <c r="G327" s="30" t="str">
        <f>IF(ISBLANK('Auditoria CEB'!I356)," ",+'Auditoria CEB'!I356)</f>
        <v xml:space="preserve"> </v>
      </c>
      <c r="H327" s="30" t="str">
        <f>IF(ISBLANK('Auditoria CEB'!AR356)," ",+'Auditoria CEB'!AR356)</f>
        <v xml:space="preserve"> </v>
      </c>
      <c r="I327" s="45" t="str">
        <f>IF(ISBLANK('Auditoria CEB'!K356)," ",+'Auditoria CEB'!K356)</f>
        <v xml:space="preserve"> </v>
      </c>
      <c r="J327" s="30" t="str">
        <f>IF(ISBLANK('Auditoria CEB'!AM356)," ",+'Auditoria CEB'!AM356)</f>
        <v xml:space="preserve"> </v>
      </c>
    </row>
    <row r="328" spans="1:10">
      <c r="A328" s="30" t="str">
        <f>IF(ISBLANK('Auditoria CEB'!$E$6)," ",'Auditoria CEB'!$E$6)</f>
        <v xml:space="preserve"> </v>
      </c>
      <c r="B328" s="30" t="s">
        <v>161</v>
      </c>
      <c r="C328" s="29" t="str">
        <f>IF(ISBLANK('Auditoria CEB'!B357)," ",+'Auditoria CEB'!B357)</f>
        <v xml:space="preserve"> </v>
      </c>
      <c r="D328" s="29" t="str">
        <f>IF(ISBLANK('Auditoria CEB'!D357)," ",+'Auditoria CEB'!D357)</f>
        <v xml:space="preserve"> </v>
      </c>
      <c r="E328" s="29" t="str">
        <f>IF(ISBLANK('Auditoria CEB'!E357)," ",+'Auditoria CEB'!E357)</f>
        <v xml:space="preserve"> </v>
      </c>
      <c r="F328" s="30" t="str">
        <f>IF(ISBLANK('Auditoria CEB'!F337)," ",+'Auditoria CEB'!F337)</f>
        <v xml:space="preserve"> </v>
      </c>
      <c r="G328" s="30" t="str">
        <f>IF(ISBLANK('Auditoria CEB'!I357)," ",+'Auditoria CEB'!I357)</f>
        <v xml:space="preserve"> </v>
      </c>
      <c r="H328" s="30" t="str">
        <f>IF(ISBLANK('Auditoria CEB'!AR357)," ",+'Auditoria CEB'!AR357)</f>
        <v xml:space="preserve"> </v>
      </c>
      <c r="I328" s="45" t="str">
        <f>IF(ISBLANK('Auditoria CEB'!K357)," ",+'Auditoria CEB'!K357)</f>
        <v xml:space="preserve"> </v>
      </c>
      <c r="J328" s="30" t="str">
        <f>IF(ISBLANK('Auditoria CEB'!AM357)," ",+'Auditoria CEB'!AM357)</f>
        <v xml:space="preserve"> </v>
      </c>
    </row>
    <row r="329" spans="1:10">
      <c r="A329" s="30" t="str">
        <f>IF(ISBLANK('Auditoria CEB'!$E$6)," ",'Auditoria CEB'!$E$6)</f>
        <v xml:space="preserve"> </v>
      </c>
      <c r="B329" s="30" t="s">
        <v>161</v>
      </c>
      <c r="C329" s="29" t="str">
        <f>IF(ISBLANK('Auditoria CEB'!B358)," ",+'Auditoria CEB'!B358)</f>
        <v xml:space="preserve"> </v>
      </c>
      <c r="D329" s="29" t="str">
        <f>IF(ISBLANK('Auditoria CEB'!D358)," ",+'Auditoria CEB'!D358)</f>
        <v xml:space="preserve"> </v>
      </c>
      <c r="E329" s="29" t="str">
        <f>IF(ISBLANK('Auditoria CEB'!E358)," ",+'Auditoria CEB'!E358)</f>
        <v xml:space="preserve"> </v>
      </c>
      <c r="F329" s="30" t="str">
        <f>IF(ISBLANK('Auditoria CEB'!F338)," ",+'Auditoria CEB'!F338)</f>
        <v xml:space="preserve"> </v>
      </c>
      <c r="G329" s="30" t="str">
        <f>IF(ISBLANK('Auditoria CEB'!I358)," ",+'Auditoria CEB'!I358)</f>
        <v xml:space="preserve"> </v>
      </c>
      <c r="H329" s="30" t="str">
        <f>IF(ISBLANK('Auditoria CEB'!AR358)," ",+'Auditoria CEB'!AR358)</f>
        <v xml:space="preserve"> </v>
      </c>
      <c r="I329" s="45" t="str">
        <f>IF(ISBLANK('Auditoria CEB'!K358)," ",+'Auditoria CEB'!K358)</f>
        <v xml:space="preserve"> </v>
      </c>
      <c r="J329" s="30" t="str">
        <f>IF(ISBLANK('Auditoria CEB'!AM358)," ",+'Auditoria CEB'!AM358)</f>
        <v xml:space="preserve"> </v>
      </c>
    </row>
    <row r="330" spans="1:10">
      <c r="A330" s="30" t="str">
        <f>IF(ISBLANK('Auditoria CEB'!$E$6)," ",'Auditoria CEB'!$E$6)</f>
        <v xml:space="preserve"> </v>
      </c>
      <c r="B330" s="30" t="s">
        <v>161</v>
      </c>
      <c r="C330" s="29" t="str">
        <f>IF(ISBLANK('Auditoria CEB'!B359)," ",+'Auditoria CEB'!B359)</f>
        <v xml:space="preserve"> </v>
      </c>
      <c r="D330" s="29" t="str">
        <f>IF(ISBLANK('Auditoria CEB'!D359)," ",+'Auditoria CEB'!D359)</f>
        <v xml:space="preserve"> </v>
      </c>
      <c r="E330" s="29" t="str">
        <f>IF(ISBLANK('Auditoria CEB'!E359)," ",+'Auditoria CEB'!E359)</f>
        <v xml:space="preserve"> </v>
      </c>
      <c r="F330" s="30" t="str">
        <f>IF(ISBLANK('Auditoria CEB'!F339)," ",+'Auditoria CEB'!F339)</f>
        <v xml:space="preserve"> </v>
      </c>
      <c r="G330" s="30" t="str">
        <f>IF(ISBLANK('Auditoria CEB'!I359)," ",+'Auditoria CEB'!I359)</f>
        <v xml:space="preserve"> </v>
      </c>
      <c r="H330" s="30" t="str">
        <f>IF(ISBLANK('Auditoria CEB'!AR359)," ",+'Auditoria CEB'!AR359)</f>
        <v xml:space="preserve"> </v>
      </c>
      <c r="I330" s="45" t="str">
        <f>IF(ISBLANK('Auditoria CEB'!K359)," ",+'Auditoria CEB'!K359)</f>
        <v xml:space="preserve"> </v>
      </c>
      <c r="J330" s="30" t="str">
        <f>IF(ISBLANK('Auditoria CEB'!AM359)," ",+'Auditoria CEB'!AM359)</f>
        <v xml:space="preserve"> </v>
      </c>
    </row>
    <row r="331" spans="1:10">
      <c r="A331" s="30" t="str">
        <f>IF(ISBLANK('Auditoria CEB'!$E$6)," ",'Auditoria CEB'!$E$6)</f>
        <v xml:space="preserve"> </v>
      </c>
      <c r="B331" s="30" t="s">
        <v>161</v>
      </c>
      <c r="C331" s="29" t="str">
        <f>IF(ISBLANK('Auditoria CEB'!B360)," ",+'Auditoria CEB'!B360)</f>
        <v xml:space="preserve"> </v>
      </c>
      <c r="D331" s="29" t="str">
        <f>IF(ISBLANK('Auditoria CEB'!D360)," ",+'Auditoria CEB'!D360)</f>
        <v xml:space="preserve"> </v>
      </c>
      <c r="E331" s="29" t="str">
        <f>IF(ISBLANK('Auditoria CEB'!E360)," ",+'Auditoria CEB'!E360)</f>
        <v xml:space="preserve"> </v>
      </c>
      <c r="F331" s="30" t="str">
        <f>IF(ISBLANK('Auditoria CEB'!F340)," ",+'Auditoria CEB'!F340)</f>
        <v xml:space="preserve"> </v>
      </c>
      <c r="G331" s="30" t="str">
        <f>IF(ISBLANK('Auditoria CEB'!I360)," ",+'Auditoria CEB'!I360)</f>
        <v xml:space="preserve"> </v>
      </c>
      <c r="H331" s="30" t="str">
        <f>IF(ISBLANK('Auditoria CEB'!AR360)," ",+'Auditoria CEB'!AR360)</f>
        <v xml:space="preserve"> </v>
      </c>
      <c r="I331" s="45" t="str">
        <f>IF(ISBLANK('Auditoria CEB'!K360)," ",+'Auditoria CEB'!K360)</f>
        <v xml:space="preserve"> </v>
      </c>
      <c r="J331" s="30" t="str">
        <f>IF(ISBLANK('Auditoria CEB'!AM360)," ",+'Auditoria CEB'!AM360)</f>
        <v xml:space="preserve"> </v>
      </c>
    </row>
    <row r="332" spans="1:10">
      <c r="A332" s="30" t="str">
        <f>IF(ISBLANK('Auditoria CEB'!$E$6)," ",'Auditoria CEB'!$E$6)</f>
        <v xml:space="preserve"> </v>
      </c>
      <c r="B332" s="30" t="s">
        <v>161</v>
      </c>
      <c r="C332" s="29" t="str">
        <f>IF(ISBLANK('Auditoria CEB'!B361)," ",+'Auditoria CEB'!B361)</f>
        <v xml:space="preserve"> </v>
      </c>
      <c r="D332" s="29" t="str">
        <f>IF(ISBLANK('Auditoria CEB'!D361)," ",+'Auditoria CEB'!D361)</f>
        <v xml:space="preserve"> </v>
      </c>
      <c r="E332" s="29" t="str">
        <f>IF(ISBLANK('Auditoria CEB'!E361)," ",+'Auditoria CEB'!E361)</f>
        <v xml:space="preserve"> </v>
      </c>
      <c r="F332" s="30" t="str">
        <f>IF(ISBLANK('Auditoria CEB'!F341)," ",+'Auditoria CEB'!F341)</f>
        <v xml:space="preserve"> </v>
      </c>
      <c r="G332" s="30" t="str">
        <f>IF(ISBLANK('Auditoria CEB'!I361)," ",+'Auditoria CEB'!I361)</f>
        <v xml:space="preserve"> </v>
      </c>
      <c r="H332" s="30" t="str">
        <f>IF(ISBLANK('Auditoria CEB'!AR361)," ",+'Auditoria CEB'!AR361)</f>
        <v xml:space="preserve"> </v>
      </c>
      <c r="I332" s="45" t="str">
        <f>IF(ISBLANK('Auditoria CEB'!K361)," ",+'Auditoria CEB'!K361)</f>
        <v xml:space="preserve"> </v>
      </c>
      <c r="J332" s="30" t="str">
        <f>IF(ISBLANK('Auditoria CEB'!AM361)," ",+'Auditoria CEB'!AM361)</f>
        <v xml:space="preserve"> </v>
      </c>
    </row>
    <row r="333" spans="1:10">
      <c r="A333" s="30" t="str">
        <f>IF(ISBLANK('Auditoria CEB'!$E$6)," ",'Auditoria CEB'!$E$6)</f>
        <v xml:space="preserve"> </v>
      </c>
      <c r="B333" s="30" t="s">
        <v>161</v>
      </c>
      <c r="C333" s="29" t="str">
        <f>IF(ISBLANK('Auditoria CEB'!B362)," ",+'Auditoria CEB'!B362)</f>
        <v xml:space="preserve"> </v>
      </c>
      <c r="D333" s="29" t="str">
        <f>IF(ISBLANK('Auditoria CEB'!D362)," ",+'Auditoria CEB'!D362)</f>
        <v xml:space="preserve"> </v>
      </c>
      <c r="E333" s="29" t="str">
        <f>IF(ISBLANK('Auditoria CEB'!E362)," ",+'Auditoria CEB'!E362)</f>
        <v xml:space="preserve"> </v>
      </c>
      <c r="F333" s="30" t="str">
        <f>IF(ISBLANK('Auditoria CEB'!F342)," ",+'Auditoria CEB'!F342)</f>
        <v xml:space="preserve"> </v>
      </c>
      <c r="G333" s="30" t="str">
        <f>IF(ISBLANK('Auditoria CEB'!I362)," ",+'Auditoria CEB'!I362)</f>
        <v xml:space="preserve"> </v>
      </c>
      <c r="H333" s="30" t="str">
        <f>IF(ISBLANK('Auditoria CEB'!AR362)," ",+'Auditoria CEB'!AR362)</f>
        <v xml:space="preserve"> </v>
      </c>
      <c r="I333" s="45" t="str">
        <f>IF(ISBLANK('Auditoria CEB'!K362)," ",+'Auditoria CEB'!K362)</f>
        <v xml:space="preserve"> </v>
      </c>
      <c r="J333" s="30" t="str">
        <f>IF(ISBLANK('Auditoria CEB'!AM362)," ",+'Auditoria CEB'!AM362)</f>
        <v xml:space="preserve"> </v>
      </c>
    </row>
    <row r="334" spans="1:10">
      <c r="A334" s="30" t="str">
        <f>IF(ISBLANK('Auditoria CEB'!$E$6)," ",'Auditoria CEB'!$E$6)</f>
        <v xml:space="preserve"> </v>
      </c>
      <c r="B334" s="30" t="s">
        <v>161</v>
      </c>
      <c r="C334" s="29" t="str">
        <f>IF(ISBLANK('Auditoria CEB'!B363)," ",+'Auditoria CEB'!B363)</f>
        <v xml:space="preserve"> </v>
      </c>
      <c r="D334" s="29" t="str">
        <f>IF(ISBLANK('Auditoria CEB'!D363)," ",+'Auditoria CEB'!D363)</f>
        <v xml:space="preserve"> </v>
      </c>
      <c r="E334" s="29" t="str">
        <f>IF(ISBLANK('Auditoria CEB'!E363)," ",+'Auditoria CEB'!E363)</f>
        <v xml:space="preserve"> </v>
      </c>
      <c r="F334" s="30" t="str">
        <f>IF(ISBLANK('Auditoria CEB'!F343)," ",+'Auditoria CEB'!F343)</f>
        <v xml:space="preserve"> </v>
      </c>
      <c r="G334" s="30" t="str">
        <f>IF(ISBLANK('Auditoria CEB'!I363)," ",+'Auditoria CEB'!I363)</f>
        <v xml:space="preserve"> </v>
      </c>
      <c r="H334" s="30" t="str">
        <f>IF(ISBLANK('Auditoria CEB'!AR363)," ",+'Auditoria CEB'!AR363)</f>
        <v xml:space="preserve"> </v>
      </c>
      <c r="I334" s="45" t="str">
        <f>IF(ISBLANK('Auditoria CEB'!K363)," ",+'Auditoria CEB'!K363)</f>
        <v xml:space="preserve"> </v>
      </c>
      <c r="J334" s="30" t="str">
        <f>IF(ISBLANK('Auditoria CEB'!AM363)," ",+'Auditoria CEB'!AM363)</f>
        <v xml:space="preserve"> </v>
      </c>
    </row>
    <row r="335" spans="1:10">
      <c r="A335" s="30" t="str">
        <f>IF(ISBLANK('Auditoria CEB'!$E$6)," ",'Auditoria CEB'!$E$6)</f>
        <v xml:space="preserve"> </v>
      </c>
      <c r="B335" s="30" t="s">
        <v>161</v>
      </c>
      <c r="C335" s="29" t="str">
        <f>IF(ISBLANK('Auditoria CEB'!B364)," ",+'Auditoria CEB'!B364)</f>
        <v xml:space="preserve"> </v>
      </c>
      <c r="D335" s="29" t="str">
        <f>IF(ISBLANK('Auditoria CEB'!D364)," ",+'Auditoria CEB'!D364)</f>
        <v xml:space="preserve"> </v>
      </c>
      <c r="E335" s="29" t="str">
        <f>IF(ISBLANK('Auditoria CEB'!E364)," ",+'Auditoria CEB'!E364)</f>
        <v xml:space="preserve"> </v>
      </c>
      <c r="F335" s="30" t="str">
        <f>IF(ISBLANK('Auditoria CEB'!F344)," ",+'Auditoria CEB'!F344)</f>
        <v xml:space="preserve"> </v>
      </c>
      <c r="G335" s="30" t="str">
        <f>IF(ISBLANK('Auditoria CEB'!I364)," ",+'Auditoria CEB'!I364)</f>
        <v xml:space="preserve"> </v>
      </c>
      <c r="H335" s="30" t="str">
        <f>IF(ISBLANK('Auditoria CEB'!AR364)," ",+'Auditoria CEB'!AR364)</f>
        <v xml:space="preserve"> </v>
      </c>
      <c r="I335" s="45" t="str">
        <f>IF(ISBLANK('Auditoria CEB'!K364)," ",+'Auditoria CEB'!K364)</f>
        <v xml:space="preserve"> </v>
      </c>
      <c r="J335" s="30" t="str">
        <f>IF(ISBLANK('Auditoria CEB'!AM364)," ",+'Auditoria CEB'!AM364)</f>
        <v xml:space="preserve"> </v>
      </c>
    </row>
    <row r="336" spans="1:10">
      <c r="A336" s="30" t="str">
        <f>IF(ISBLANK('Auditoria CEB'!$E$6)," ",'Auditoria CEB'!$E$6)</f>
        <v xml:space="preserve"> </v>
      </c>
      <c r="B336" s="30" t="s">
        <v>161</v>
      </c>
      <c r="C336" s="29" t="str">
        <f>IF(ISBLANK('Auditoria CEB'!B365)," ",+'Auditoria CEB'!B365)</f>
        <v xml:space="preserve"> </v>
      </c>
      <c r="D336" s="29" t="str">
        <f>IF(ISBLANK('Auditoria CEB'!D365)," ",+'Auditoria CEB'!D365)</f>
        <v xml:space="preserve"> </v>
      </c>
      <c r="E336" s="29" t="str">
        <f>IF(ISBLANK('Auditoria CEB'!E365)," ",+'Auditoria CEB'!E365)</f>
        <v xml:space="preserve"> </v>
      </c>
      <c r="F336" s="30" t="str">
        <f>IF(ISBLANK('Auditoria CEB'!F345)," ",+'Auditoria CEB'!F345)</f>
        <v xml:space="preserve"> </v>
      </c>
      <c r="G336" s="30" t="str">
        <f>IF(ISBLANK('Auditoria CEB'!I365)," ",+'Auditoria CEB'!I365)</f>
        <v xml:space="preserve"> </v>
      </c>
      <c r="H336" s="30" t="str">
        <f>IF(ISBLANK('Auditoria CEB'!AR365)," ",+'Auditoria CEB'!AR365)</f>
        <v xml:space="preserve"> </v>
      </c>
      <c r="I336" s="45" t="str">
        <f>IF(ISBLANK('Auditoria CEB'!K365)," ",+'Auditoria CEB'!K365)</f>
        <v xml:space="preserve"> </v>
      </c>
      <c r="J336" s="30" t="str">
        <f>IF(ISBLANK('Auditoria CEB'!AM365)," ",+'Auditoria CEB'!AM365)</f>
        <v xml:space="preserve"> </v>
      </c>
    </row>
    <row r="337" spans="1:10">
      <c r="A337" s="30" t="str">
        <f>IF(ISBLANK('Auditoria CEB'!$E$6)," ",'Auditoria CEB'!$E$6)</f>
        <v xml:space="preserve"> </v>
      </c>
      <c r="B337" s="30" t="s">
        <v>161</v>
      </c>
      <c r="C337" s="29" t="str">
        <f>IF(ISBLANK('Auditoria CEB'!B366)," ",+'Auditoria CEB'!B366)</f>
        <v xml:space="preserve"> </v>
      </c>
      <c r="D337" s="29" t="str">
        <f>IF(ISBLANK('Auditoria CEB'!D366)," ",+'Auditoria CEB'!D366)</f>
        <v xml:space="preserve"> </v>
      </c>
      <c r="E337" s="29" t="str">
        <f>IF(ISBLANK('Auditoria CEB'!E366)," ",+'Auditoria CEB'!E366)</f>
        <v xml:space="preserve"> </v>
      </c>
      <c r="F337" s="30" t="str">
        <f>IF(ISBLANK('Auditoria CEB'!F346)," ",+'Auditoria CEB'!F346)</f>
        <v xml:space="preserve"> </v>
      </c>
      <c r="G337" s="30" t="str">
        <f>IF(ISBLANK('Auditoria CEB'!I366)," ",+'Auditoria CEB'!I366)</f>
        <v xml:space="preserve"> </v>
      </c>
      <c r="H337" s="30" t="str">
        <f>IF(ISBLANK('Auditoria CEB'!AR366)," ",+'Auditoria CEB'!AR366)</f>
        <v xml:space="preserve"> </v>
      </c>
      <c r="I337" s="45" t="str">
        <f>IF(ISBLANK('Auditoria CEB'!K366)," ",+'Auditoria CEB'!K366)</f>
        <v xml:space="preserve"> </v>
      </c>
      <c r="J337" s="30" t="str">
        <f>IF(ISBLANK('Auditoria CEB'!AM366)," ",+'Auditoria CEB'!AM366)</f>
        <v xml:space="preserve"> </v>
      </c>
    </row>
    <row r="338" spans="1:10">
      <c r="A338" s="30" t="str">
        <f>IF(ISBLANK('Auditoria CEB'!$E$6)," ",'Auditoria CEB'!$E$6)</f>
        <v xml:space="preserve"> </v>
      </c>
      <c r="B338" s="30" t="s">
        <v>161</v>
      </c>
      <c r="C338" s="29" t="str">
        <f>IF(ISBLANK('Auditoria CEB'!B367)," ",+'Auditoria CEB'!B367)</f>
        <v xml:space="preserve"> </v>
      </c>
      <c r="D338" s="29" t="str">
        <f>IF(ISBLANK('Auditoria CEB'!D367)," ",+'Auditoria CEB'!D367)</f>
        <v xml:space="preserve"> </v>
      </c>
      <c r="E338" s="29" t="str">
        <f>IF(ISBLANK('Auditoria CEB'!E367)," ",+'Auditoria CEB'!E367)</f>
        <v xml:space="preserve"> </v>
      </c>
      <c r="F338" s="30" t="str">
        <f>IF(ISBLANK('Auditoria CEB'!F347)," ",+'Auditoria CEB'!F347)</f>
        <v xml:space="preserve"> </v>
      </c>
      <c r="G338" s="30" t="str">
        <f>IF(ISBLANK('Auditoria CEB'!I367)," ",+'Auditoria CEB'!I367)</f>
        <v xml:space="preserve"> </v>
      </c>
      <c r="H338" s="30" t="str">
        <f>IF(ISBLANK('Auditoria CEB'!AR367)," ",+'Auditoria CEB'!AR367)</f>
        <v xml:space="preserve"> </v>
      </c>
      <c r="I338" s="45" t="str">
        <f>IF(ISBLANK('Auditoria CEB'!K367)," ",+'Auditoria CEB'!K367)</f>
        <v xml:space="preserve"> </v>
      </c>
      <c r="J338" s="30" t="str">
        <f>IF(ISBLANK('Auditoria CEB'!AM367)," ",+'Auditoria CEB'!AM367)</f>
        <v xml:space="preserve"> </v>
      </c>
    </row>
    <row r="339" spans="1:10">
      <c r="A339" s="30" t="str">
        <f>IF(ISBLANK('Auditoria CEB'!$E$6)," ",'Auditoria CEB'!$E$6)</f>
        <v xml:space="preserve"> </v>
      </c>
      <c r="B339" s="30" t="s">
        <v>161</v>
      </c>
      <c r="C339" s="29" t="str">
        <f>IF(ISBLANK('Auditoria CEB'!B368)," ",+'Auditoria CEB'!B368)</f>
        <v xml:space="preserve"> </v>
      </c>
      <c r="D339" s="29" t="str">
        <f>IF(ISBLANK('Auditoria CEB'!D368)," ",+'Auditoria CEB'!D368)</f>
        <v xml:space="preserve"> </v>
      </c>
      <c r="E339" s="29" t="str">
        <f>IF(ISBLANK('Auditoria CEB'!E368)," ",+'Auditoria CEB'!E368)</f>
        <v xml:space="preserve"> </v>
      </c>
      <c r="F339" s="30" t="str">
        <f>IF(ISBLANK('Auditoria CEB'!F348)," ",+'Auditoria CEB'!F348)</f>
        <v xml:space="preserve"> </v>
      </c>
      <c r="G339" s="30" t="str">
        <f>IF(ISBLANK('Auditoria CEB'!I368)," ",+'Auditoria CEB'!I368)</f>
        <v xml:space="preserve"> </v>
      </c>
      <c r="H339" s="30" t="str">
        <f>IF(ISBLANK('Auditoria CEB'!AR368)," ",+'Auditoria CEB'!AR368)</f>
        <v xml:space="preserve"> </v>
      </c>
      <c r="I339" s="45" t="str">
        <f>IF(ISBLANK('Auditoria CEB'!K368)," ",+'Auditoria CEB'!K368)</f>
        <v xml:space="preserve"> </v>
      </c>
      <c r="J339" s="30" t="str">
        <f>IF(ISBLANK('Auditoria CEB'!AM368)," ",+'Auditoria CEB'!AM368)</f>
        <v xml:space="preserve"> </v>
      </c>
    </row>
    <row r="340" spans="1:10">
      <c r="A340" s="30" t="str">
        <f>IF(ISBLANK('Auditoria CEB'!$E$6)," ",'Auditoria CEB'!$E$6)</f>
        <v xml:space="preserve"> </v>
      </c>
      <c r="B340" s="30" t="s">
        <v>161</v>
      </c>
      <c r="C340" s="29" t="str">
        <f>IF(ISBLANK('Auditoria CEB'!B369)," ",+'Auditoria CEB'!B369)</f>
        <v xml:space="preserve"> </v>
      </c>
      <c r="D340" s="29" t="str">
        <f>IF(ISBLANK('Auditoria CEB'!D369)," ",+'Auditoria CEB'!D369)</f>
        <v xml:space="preserve"> </v>
      </c>
      <c r="E340" s="29" t="str">
        <f>IF(ISBLANK('Auditoria CEB'!E369)," ",+'Auditoria CEB'!E369)</f>
        <v xml:space="preserve"> </v>
      </c>
      <c r="F340" s="30" t="str">
        <f>IF(ISBLANK('Auditoria CEB'!F349)," ",+'Auditoria CEB'!F349)</f>
        <v xml:space="preserve"> </v>
      </c>
      <c r="G340" s="30" t="str">
        <f>IF(ISBLANK('Auditoria CEB'!I369)," ",+'Auditoria CEB'!I369)</f>
        <v xml:space="preserve"> </v>
      </c>
      <c r="H340" s="30" t="str">
        <f>IF(ISBLANK('Auditoria CEB'!AR369)," ",+'Auditoria CEB'!AR369)</f>
        <v xml:space="preserve"> </v>
      </c>
      <c r="I340" s="45" t="str">
        <f>IF(ISBLANK('Auditoria CEB'!K369)," ",+'Auditoria CEB'!K369)</f>
        <v xml:space="preserve"> </v>
      </c>
      <c r="J340" s="30" t="str">
        <f>IF(ISBLANK('Auditoria CEB'!AM369)," ",+'Auditoria CEB'!AM369)</f>
        <v xml:space="preserve"> </v>
      </c>
    </row>
    <row r="341" spans="1:10">
      <c r="A341" s="30" t="str">
        <f>IF(ISBLANK('Auditoria CEB'!$E$6)," ",'Auditoria CEB'!$E$6)</f>
        <v xml:space="preserve"> </v>
      </c>
      <c r="B341" s="30" t="s">
        <v>161</v>
      </c>
      <c r="C341" s="29" t="str">
        <f>IF(ISBLANK('Auditoria CEB'!B370)," ",+'Auditoria CEB'!B370)</f>
        <v xml:space="preserve"> </v>
      </c>
      <c r="D341" s="29" t="str">
        <f>IF(ISBLANK('Auditoria CEB'!D370)," ",+'Auditoria CEB'!D370)</f>
        <v xml:space="preserve"> </v>
      </c>
      <c r="E341" s="29" t="str">
        <f>IF(ISBLANK('Auditoria CEB'!E370)," ",+'Auditoria CEB'!E370)</f>
        <v xml:space="preserve"> </v>
      </c>
      <c r="F341" s="30" t="str">
        <f>IF(ISBLANK('Auditoria CEB'!F350)," ",+'Auditoria CEB'!F350)</f>
        <v xml:space="preserve"> </v>
      </c>
      <c r="G341" s="30" t="str">
        <f>IF(ISBLANK('Auditoria CEB'!I370)," ",+'Auditoria CEB'!I370)</f>
        <v xml:space="preserve"> </v>
      </c>
      <c r="H341" s="30" t="str">
        <f>IF(ISBLANK('Auditoria CEB'!AR370)," ",+'Auditoria CEB'!AR370)</f>
        <v xml:space="preserve"> </v>
      </c>
      <c r="I341" s="45" t="str">
        <f>IF(ISBLANK('Auditoria CEB'!K370)," ",+'Auditoria CEB'!K370)</f>
        <v xml:space="preserve"> </v>
      </c>
      <c r="J341" s="30" t="str">
        <f>IF(ISBLANK('Auditoria CEB'!AM370)," ",+'Auditoria CEB'!AM370)</f>
        <v xml:space="preserve"> </v>
      </c>
    </row>
    <row r="342" spans="1:10">
      <c r="A342" s="30" t="str">
        <f>IF(ISBLANK('Auditoria CEB'!$E$6)," ",'Auditoria CEB'!$E$6)</f>
        <v xml:space="preserve"> </v>
      </c>
      <c r="B342" s="30" t="s">
        <v>161</v>
      </c>
      <c r="C342" s="29" t="str">
        <f>IF(ISBLANK('Auditoria CEB'!B371)," ",+'Auditoria CEB'!B371)</f>
        <v xml:space="preserve"> </v>
      </c>
      <c r="D342" s="29" t="str">
        <f>IF(ISBLANK('Auditoria CEB'!D371)," ",+'Auditoria CEB'!D371)</f>
        <v xml:space="preserve"> </v>
      </c>
      <c r="E342" s="29" t="str">
        <f>IF(ISBLANK('Auditoria CEB'!E371)," ",+'Auditoria CEB'!E371)</f>
        <v xml:space="preserve"> </v>
      </c>
      <c r="F342" s="30" t="str">
        <f>IF(ISBLANK('Auditoria CEB'!F351)," ",+'Auditoria CEB'!F351)</f>
        <v xml:space="preserve"> </v>
      </c>
      <c r="G342" s="30" t="str">
        <f>IF(ISBLANK('Auditoria CEB'!I371)," ",+'Auditoria CEB'!I371)</f>
        <v xml:space="preserve"> </v>
      </c>
      <c r="H342" s="30" t="str">
        <f>IF(ISBLANK('Auditoria CEB'!AR371)," ",+'Auditoria CEB'!AR371)</f>
        <v xml:space="preserve"> </v>
      </c>
      <c r="I342" s="45" t="str">
        <f>IF(ISBLANK('Auditoria CEB'!K371)," ",+'Auditoria CEB'!K371)</f>
        <v xml:space="preserve"> </v>
      </c>
      <c r="J342" s="30" t="str">
        <f>IF(ISBLANK('Auditoria CEB'!AM371)," ",+'Auditoria CEB'!AM371)</f>
        <v xml:space="preserve"> </v>
      </c>
    </row>
    <row r="343" spans="1:10">
      <c r="A343" s="30" t="str">
        <f>IF(ISBLANK('Auditoria CEB'!$E$6)," ",'Auditoria CEB'!$E$6)</f>
        <v xml:space="preserve"> </v>
      </c>
      <c r="B343" s="30" t="s">
        <v>161</v>
      </c>
      <c r="C343" s="29" t="str">
        <f>IF(ISBLANK('Auditoria CEB'!B372)," ",+'Auditoria CEB'!B372)</f>
        <v xml:space="preserve"> </v>
      </c>
      <c r="D343" s="29" t="str">
        <f>IF(ISBLANK('Auditoria CEB'!D372)," ",+'Auditoria CEB'!D372)</f>
        <v xml:space="preserve"> </v>
      </c>
      <c r="E343" s="29" t="str">
        <f>IF(ISBLANK('Auditoria CEB'!E372)," ",+'Auditoria CEB'!E372)</f>
        <v xml:space="preserve"> </v>
      </c>
      <c r="F343" s="30" t="str">
        <f>IF(ISBLANK('Auditoria CEB'!F352)," ",+'Auditoria CEB'!F352)</f>
        <v xml:space="preserve"> </v>
      </c>
      <c r="G343" s="30" t="str">
        <f>IF(ISBLANK('Auditoria CEB'!I372)," ",+'Auditoria CEB'!I372)</f>
        <v xml:space="preserve"> </v>
      </c>
      <c r="H343" s="30" t="str">
        <f>IF(ISBLANK('Auditoria CEB'!AR372)," ",+'Auditoria CEB'!AR372)</f>
        <v xml:space="preserve"> </v>
      </c>
      <c r="I343" s="45" t="str">
        <f>IF(ISBLANK('Auditoria CEB'!K372)," ",+'Auditoria CEB'!K372)</f>
        <v xml:space="preserve"> </v>
      </c>
      <c r="J343" s="30" t="str">
        <f>IF(ISBLANK('Auditoria CEB'!AM372)," ",+'Auditoria CEB'!AM372)</f>
        <v xml:space="preserve"> </v>
      </c>
    </row>
    <row r="344" spans="1:10">
      <c r="A344" s="30" t="str">
        <f>IF(ISBLANK('Auditoria CEB'!$E$6)," ",'Auditoria CEB'!$E$6)</f>
        <v xml:space="preserve"> </v>
      </c>
      <c r="B344" s="30" t="s">
        <v>161</v>
      </c>
      <c r="C344" s="29" t="str">
        <f>IF(ISBLANK('Auditoria CEB'!B373)," ",+'Auditoria CEB'!B373)</f>
        <v xml:space="preserve"> </v>
      </c>
      <c r="D344" s="29" t="str">
        <f>IF(ISBLANK('Auditoria CEB'!D373)," ",+'Auditoria CEB'!D373)</f>
        <v xml:space="preserve"> </v>
      </c>
      <c r="E344" s="29" t="str">
        <f>IF(ISBLANK('Auditoria CEB'!E373)," ",+'Auditoria CEB'!E373)</f>
        <v xml:space="preserve"> </v>
      </c>
      <c r="F344" s="30" t="str">
        <f>IF(ISBLANK('Auditoria CEB'!F353)," ",+'Auditoria CEB'!F353)</f>
        <v xml:space="preserve"> </v>
      </c>
      <c r="G344" s="30" t="str">
        <f>IF(ISBLANK('Auditoria CEB'!I373)," ",+'Auditoria CEB'!I373)</f>
        <v xml:space="preserve"> </v>
      </c>
      <c r="H344" s="30" t="str">
        <f>IF(ISBLANK('Auditoria CEB'!AR373)," ",+'Auditoria CEB'!AR373)</f>
        <v xml:space="preserve"> </v>
      </c>
      <c r="I344" s="45" t="str">
        <f>IF(ISBLANK('Auditoria CEB'!K373)," ",+'Auditoria CEB'!K373)</f>
        <v xml:space="preserve"> </v>
      </c>
      <c r="J344" s="30" t="str">
        <f>IF(ISBLANK('Auditoria CEB'!AM373)," ",+'Auditoria CEB'!AM373)</f>
        <v xml:space="preserve"> </v>
      </c>
    </row>
    <row r="345" spans="1:10">
      <c r="A345" s="30" t="str">
        <f>IF(ISBLANK('Auditoria CEB'!$E$6)," ",'Auditoria CEB'!$E$6)</f>
        <v xml:space="preserve"> </v>
      </c>
      <c r="B345" s="30" t="s">
        <v>161</v>
      </c>
      <c r="C345" s="29" t="str">
        <f>IF(ISBLANK('Auditoria CEB'!B374)," ",+'Auditoria CEB'!B374)</f>
        <v xml:space="preserve"> </v>
      </c>
      <c r="D345" s="29" t="str">
        <f>IF(ISBLANK('Auditoria CEB'!D374)," ",+'Auditoria CEB'!D374)</f>
        <v xml:space="preserve"> </v>
      </c>
      <c r="E345" s="29" t="str">
        <f>IF(ISBLANK('Auditoria CEB'!E374)," ",+'Auditoria CEB'!E374)</f>
        <v xml:space="preserve"> </v>
      </c>
      <c r="F345" s="30" t="str">
        <f>IF(ISBLANK('Auditoria CEB'!F354)," ",+'Auditoria CEB'!F354)</f>
        <v xml:space="preserve"> </v>
      </c>
      <c r="G345" s="30" t="str">
        <f>IF(ISBLANK('Auditoria CEB'!I374)," ",+'Auditoria CEB'!I374)</f>
        <v xml:space="preserve"> </v>
      </c>
      <c r="H345" s="30" t="str">
        <f>IF(ISBLANK('Auditoria CEB'!AR374)," ",+'Auditoria CEB'!AR374)</f>
        <v xml:space="preserve"> </v>
      </c>
      <c r="I345" s="45" t="str">
        <f>IF(ISBLANK('Auditoria CEB'!K374)," ",+'Auditoria CEB'!K374)</f>
        <v xml:space="preserve"> </v>
      </c>
      <c r="J345" s="30" t="str">
        <f>IF(ISBLANK('Auditoria CEB'!AM374)," ",+'Auditoria CEB'!AM374)</f>
        <v xml:space="preserve"> </v>
      </c>
    </row>
    <row r="346" spans="1:10">
      <c r="A346" s="30" t="str">
        <f>IF(ISBLANK('Auditoria CEB'!$E$6)," ",'Auditoria CEB'!$E$6)</f>
        <v xml:space="preserve"> </v>
      </c>
      <c r="B346" s="30" t="s">
        <v>161</v>
      </c>
      <c r="C346" s="29" t="str">
        <f>IF(ISBLANK('Auditoria CEB'!B375)," ",+'Auditoria CEB'!B375)</f>
        <v xml:space="preserve"> </v>
      </c>
      <c r="D346" s="29" t="str">
        <f>IF(ISBLANK('Auditoria CEB'!D375)," ",+'Auditoria CEB'!D375)</f>
        <v xml:space="preserve"> </v>
      </c>
      <c r="E346" s="29" t="str">
        <f>IF(ISBLANK('Auditoria CEB'!E375)," ",+'Auditoria CEB'!E375)</f>
        <v xml:space="preserve"> </v>
      </c>
      <c r="F346" s="30" t="str">
        <f>IF(ISBLANK('Auditoria CEB'!F355)," ",+'Auditoria CEB'!F355)</f>
        <v xml:space="preserve"> </v>
      </c>
      <c r="G346" s="30" t="str">
        <f>IF(ISBLANK('Auditoria CEB'!I375)," ",+'Auditoria CEB'!I375)</f>
        <v xml:space="preserve"> </v>
      </c>
      <c r="H346" s="30" t="str">
        <f>IF(ISBLANK('Auditoria CEB'!AR375)," ",+'Auditoria CEB'!AR375)</f>
        <v xml:space="preserve"> </v>
      </c>
      <c r="I346" s="45" t="str">
        <f>IF(ISBLANK('Auditoria CEB'!K375)," ",+'Auditoria CEB'!K375)</f>
        <v xml:space="preserve"> </v>
      </c>
      <c r="J346" s="30" t="str">
        <f>IF(ISBLANK('Auditoria CEB'!AM375)," ",+'Auditoria CEB'!AM375)</f>
        <v xml:space="preserve"> </v>
      </c>
    </row>
    <row r="347" spans="1:10">
      <c r="A347" s="30" t="str">
        <f>IF(ISBLANK('Auditoria CEB'!$E$6)," ",'Auditoria CEB'!$E$6)</f>
        <v xml:space="preserve"> </v>
      </c>
      <c r="B347" s="30" t="s">
        <v>161</v>
      </c>
      <c r="C347" s="29" t="str">
        <f>IF(ISBLANK('Auditoria CEB'!B376)," ",+'Auditoria CEB'!B376)</f>
        <v xml:space="preserve"> </v>
      </c>
      <c r="D347" s="29" t="str">
        <f>IF(ISBLANK('Auditoria CEB'!D376)," ",+'Auditoria CEB'!D376)</f>
        <v xml:space="preserve"> </v>
      </c>
      <c r="E347" s="29" t="str">
        <f>IF(ISBLANK('Auditoria CEB'!E376)," ",+'Auditoria CEB'!E376)</f>
        <v xml:space="preserve"> </v>
      </c>
      <c r="F347" s="30" t="str">
        <f>IF(ISBLANK('Auditoria CEB'!F356)," ",+'Auditoria CEB'!F356)</f>
        <v xml:space="preserve"> </v>
      </c>
      <c r="G347" s="30" t="str">
        <f>IF(ISBLANK('Auditoria CEB'!I376)," ",+'Auditoria CEB'!I376)</f>
        <v xml:space="preserve"> </v>
      </c>
      <c r="H347" s="30" t="str">
        <f>IF(ISBLANK('Auditoria CEB'!AR376)," ",+'Auditoria CEB'!AR376)</f>
        <v xml:space="preserve"> </v>
      </c>
      <c r="I347" s="45" t="str">
        <f>IF(ISBLANK('Auditoria CEB'!K376)," ",+'Auditoria CEB'!K376)</f>
        <v xml:space="preserve"> </v>
      </c>
      <c r="J347" s="30" t="str">
        <f>IF(ISBLANK('Auditoria CEB'!AM376)," ",+'Auditoria CEB'!AM376)</f>
        <v xml:space="preserve"> </v>
      </c>
    </row>
    <row r="348" spans="1:10">
      <c r="A348" s="30" t="str">
        <f>IF(ISBLANK('Auditoria CEB'!$E$6)," ",'Auditoria CEB'!$E$6)</f>
        <v xml:space="preserve"> </v>
      </c>
      <c r="B348" s="30" t="s">
        <v>161</v>
      </c>
      <c r="C348" s="29" t="str">
        <f>IF(ISBLANK('Auditoria CEB'!B377)," ",+'Auditoria CEB'!B377)</f>
        <v xml:space="preserve"> </v>
      </c>
      <c r="D348" s="29" t="str">
        <f>IF(ISBLANK('Auditoria CEB'!D377)," ",+'Auditoria CEB'!D377)</f>
        <v xml:space="preserve"> </v>
      </c>
      <c r="E348" s="29" t="str">
        <f>IF(ISBLANK('Auditoria CEB'!E377)," ",+'Auditoria CEB'!E377)</f>
        <v xml:space="preserve"> </v>
      </c>
      <c r="F348" s="30" t="str">
        <f>IF(ISBLANK('Auditoria CEB'!F357)," ",+'Auditoria CEB'!F357)</f>
        <v xml:space="preserve"> </v>
      </c>
      <c r="G348" s="30" t="str">
        <f>IF(ISBLANK('Auditoria CEB'!I377)," ",+'Auditoria CEB'!I377)</f>
        <v xml:space="preserve"> </v>
      </c>
      <c r="H348" s="30" t="str">
        <f>IF(ISBLANK('Auditoria CEB'!AR377)," ",+'Auditoria CEB'!AR377)</f>
        <v xml:space="preserve"> </v>
      </c>
      <c r="I348" s="45" t="str">
        <f>IF(ISBLANK('Auditoria CEB'!K377)," ",+'Auditoria CEB'!K377)</f>
        <v xml:space="preserve"> </v>
      </c>
      <c r="J348" s="30" t="str">
        <f>IF(ISBLANK('Auditoria CEB'!AM377)," ",+'Auditoria CEB'!AM377)</f>
        <v xml:space="preserve"> </v>
      </c>
    </row>
    <row r="349" spans="1:10">
      <c r="A349" s="30" t="str">
        <f>IF(ISBLANK('Auditoria CEB'!$E$6)," ",'Auditoria CEB'!$E$6)</f>
        <v xml:space="preserve"> </v>
      </c>
      <c r="B349" s="30" t="s">
        <v>161</v>
      </c>
      <c r="C349" s="29" t="str">
        <f>IF(ISBLANK('Auditoria CEB'!B378)," ",+'Auditoria CEB'!B378)</f>
        <v xml:space="preserve"> </v>
      </c>
      <c r="D349" s="29" t="str">
        <f>IF(ISBLANK('Auditoria CEB'!D378)," ",+'Auditoria CEB'!D378)</f>
        <v xml:space="preserve"> </v>
      </c>
      <c r="E349" s="29" t="str">
        <f>IF(ISBLANK('Auditoria CEB'!E378)," ",+'Auditoria CEB'!E378)</f>
        <v xml:space="preserve"> </v>
      </c>
      <c r="F349" s="30" t="str">
        <f>IF(ISBLANK('Auditoria CEB'!F358)," ",+'Auditoria CEB'!F358)</f>
        <v xml:space="preserve"> </v>
      </c>
      <c r="G349" s="30" t="str">
        <f>IF(ISBLANK('Auditoria CEB'!I378)," ",+'Auditoria CEB'!I378)</f>
        <v xml:space="preserve"> </v>
      </c>
      <c r="H349" s="30" t="str">
        <f>IF(ISBLANK('Auditoria CEB'!AR378)," ",+'Auditoria CEB'!AR378)</f>
        <v xml:space="preserve"> </v>
      </c>
      <c r="I349" s="45" t="str">
        <f>IF(ISBLANK('Auditoria CEB'!K378)," ",+'Auditoria CEB'!K378)</f>
        <v xml:space="preserve"> </v>
      </c>
      <c r="J349" s="30" t="str">
        <f>IF(ISBLANK('Auditoria CEB'!AM378)," ",+'Auditoria CEB'!AM378)</f>
        <v xml:space="preserve"> </v>
      </c>
    </row>
    <row r="350" spans="1:10">
      <c r="A350" s="30" t="str">
        <f>IF(ISBLANK('Auditoria CEB'!$E$6)," ",'Auditoria CEB'!$E$6)</f>
        <v xml:space="preserve"> </v>
      </c>
      <c r="B350" s="30" t="s">
        <v>161</v>
      </c>
      <c r="C350" s="29" t="str">
        <f>IF(ISBLANK('Auditoria CEB'!B379)," ",+'Auditoria CEB'!B379)</f>
        <v xml:space="preserve"> </v>
      </c>
      <c r="D350" s="29" t="str">
        <f>IF(ISBLANK('Auditoria CEB'!D379)," ",+'Auditoria CEB'!D379)</f>
        <v xml:space="preserve"> </v>
      </c>
      <c r="E350" s="29" t="str">
        <f>IF(ISBLANK('Auditoria CEB'!E379)," ",+'Auditoria CEB'!E379)</f>
        <v xml:space="preserve"> </v>
      </c>
      <c r="F350" s="30" t="str">
        <f>IF(ISBLANK('Auditoria CEB'!F359)," ",+'Auditoria CEB'!F359)</f>
        <v xml:space="preserve"> </v>
      </c>
      <c r="G350" s="30" t="str">
        <f>IF(ISBLANK('Auditoria CEB'!I379)," ",+'Auditoria CEB'!I379)</f>
        <v xml:space="preserve"> </v>
      </c>
      <c r="H350" s="30" t="str">
        <f>IF(ISBLANK('Auditoria CEB'!AR379)," ",+'Auditoria CEB'!AR379)</f>
        <v xml:space="preserve"> </v>
      </c>
      <c r="I350" s="45" t="str">
        <f>IF(ISBLANK('Auditoria CEB'!K379)," ",+'Auditoria CEB'!K379)</f>
        <v xml:space="preserve"> </v>
      </c>
      <c r="J350" s="30" t="str">
        <f>IF(ISBLANK('Auditoria CEB'!AM379)," ",+'Auditoria CEB'!AM379)</f>
        <v xml:space="preserve"> </v>
      </c>
    </row>
    <row r="351" spans="1:10">
      <c r="A351" s="30" t="str">
        <f>IF(ISBLANK('Auditoria CEB'!$E$6)," ",'Auditoria CEB'!$E$6)</f>
        <v xml:space="preserve"> </v>
      </c>
      <c r="B351" s="30" t="s">
        <v>161</v>
      </c>
      <c r="C351" s="29" t="str">
        <f>IF(ISBLANK('Auditoria CEB'!B380)," ",+'Auditoria CEB'!B380)</f>
        <v xml:space="preserve"> </v>
      </c>
      <c r="D351" s="29" t="str">
        <f>IF(ISBLANK('Auditoria CEB'!D380)," ",+'Auditoria CEB'!D380)</f>
        <v xml:space="preserve"> </v>
      </c>
      <c r="E351" s="29" t="str">
        <f>IF(ISBLANK('Auditoria CEB'!E380)," ",+'Auditoria CEB'!E380)</f>
        <v xml:space="preserve"> </v>
      </c>
      <c r="F351" s="30" t="str">
        <f>IF(ISBLANK('Auditoria CEB'!F360)," ",+'Auditoria CEB'!F360)</f>
        <v xml:space="preserve"> </v>
      </c>
      <c r="G351" s="30" t="str">
        <f>IF(ISBLANK('Auditoria CEB'!I380)," ",+'Auditoria CEB'!I380)</f>
        <v xml:space="preserve"> </v>
      </c>
      <c r="H351" s="30" t="str">
        <f>IF(ISBLANK('Auditoria CEB'!AR380)," ",+'Auditoria CEB'!AR380)</f>
        <v xml:space="preserve"> </v>
      </c>
      <c r="I351" s="45" t="str">
        <f>IF(ISBLANK('Auditoria CEB'!K380)," ",+'Auditoria CEB'!K380)</f>
        <v xml:space="preserve"> </v>
      </c>
      <c r="J351" s="30" t="str">
        <f>IF(ISBLANK('Auditoria CEB'!AM380)," ",+'Auditoria CEB'!AM380)</f>
        <v xml:space="preserve"> </v>
      </c>
    </row>
    <row r="352" spans="1:10">
      <c r="A352" s="30" t="str">
        <f>IF(ISBLANK('Auditoria CEB'!$E$6)," ",'Auditoria CEB'!$E$6)</f>
        <v xml:space="preserve"> </v>
      </c>
      <c r="B352" s="30" t="s">
        <v>161</v>
      </c>
      <c r="C352" s="29" t="str">
        <f>IF(ISBLANK('Auditoria CEB'!B381)," ",+'Auditoria CEB'!B381)</f>
        <v xml:space="preserve"> </v>
      </c>
      <c r="D352" s="29" t="str">
        <f>IF(ISBLANK('Auditoria CEB'!D381)," ",+'Auditoria CEB'!D381)</f>
        <v xml:space="preserve"> </v>
      </c>
      <c r="E352" s="29" t="str">
        <f>IF(ISBLANK('Auditoria CEB'!E381)," ",+'Auditoria CEB'!E381)</f>
        <v xml:space="preserve"> </v>
      </c>
      <c r="F352" s="30" t="str">
        <f>IF(ISBLANK('Auditoria CEB'!F361)," ",+'Auditoria CEB'!F361)</f>
        <v xml:space="preserve"> </v>
      </c>
      <c r="G352" s="30" t="str">
        <f>IF(ISBLANK('Auditoria CEB'!I381)," ",+'Auditoria CEB'!I381)</f>
        <v xml:space="preserve"> </v>
      </c>
      <c r="H352" s="30" t="str">
        <f>IF(ISBLANK('Auditoria CEB'!AR381)," ",+'Auditoria CEB'!AR381)</f>
        <v xml:space="preserve"> </v>
      </c>
      <c r="I352" s="45" t="str">
        <f>IF(ISBLANK('Auditoria CEB'!K381)," ",+'Auditoria CEB'!K381)</f>
        <v xml:space="preserve"> </v>
      </c>
      <c r="J352" s="30" t="str">
        <f>IF(ISBLANK('Auditoria CEB'!AM381)," ",+'Auditoria CEB'!AM381)</f>
        <v xml:space="preserve"> </v>
      </c>
    </row>
    <row r="353" spans="1:10">
      <c r="A353" s="30" t="str">
        <f>IF(ISBLANK('Auditoria CEB'!$E$6)," ",'Auditoria CEB'!$E$6)</f>
        <v xml:space="preserve"> </v>
      </c>
      <c r="B353" s="30" t="s">
        <v>161</v>
      </c>
      <c r="C353" s="29" t="str">
        <f>IF(ISBLANK('Auditoria CEB'!B382)," ",+'Auditoria CEB'!B382)</f>
        <v xml:space="preserve"> </v>
      </c>
      <c r="D353" s="29" t="str">
        <f>IF(ISBLANK('Auditoria CEB'!D382)," ",+'Auditoria CEB'!D382)</f>
        <v xml:space="preserve"> </v>
      </c>
      <c r="E353" s="29" t="str">
        <f>IF(ISBLANK('Auditoria CEB'!E382)," ",+'Auditoria CEB'!E382)</f>
        <v xml:space="preserve"> </v>
      </c>
      <c r="F353" s="30" t="str">
        <f>IF(ISBLANK('Auditoria CEB'!F362)," ",+'Auditoria CEB'!F362)</f>
        <v xml:space="preserve"> </v>
      </c>
      <c r="G353" s="30" t="str">
        <f>IF(ISBLANK('Auditoria CEB'!I382)," ",+'Auditoria CEB'!I382)</f>
        <v xml:space="preserve"> </v>
      </c>
      <c r="H353" s="30" t="str">
        <f>IF(ISBLANK('Auditoria CEB'!AR382)," ",+'Auditoria CEB'!AR382)</f>
        <v xml:space="preserve"> </v>
      </c>
      <c r="I353" s="45" t="str">
        <f>IF(ISBLANK('Auditoria CEB'!K382)," ",+'Auditoria CEB'!K382)</f>
        <v xml:space="preserve"> </v>
      </c>
      <c r="J353" s="30" t="str">
        <f>IF(ISBLANK('Auditoria CEB'!AM382)," ",+'Auditoria CEB'!AM382)</f>
        <v xml:space="preserve"> </v>
      </c>
    </row>
    <row r="354" spans="1:10">
      <c r="A354" s="30" t="str">
        <f>IF(ISBLANK('Auditoria CEB'!$E$6)," ",'Auditoria CEB'!$E$6)</f>
        <v xml:space="preserve"> </v>
      </c>
      <c r="B354" s="30" t="s">
        <v>161</v>
      </c>
      <c r="C354" s="29" t="str">
        <f>IF(ISBLANK('Auditoria CEB'!B383)," ",+'Auditoria CEB'!B383)</f>
        <v xml:space="preserve"> </v>
      </c>
      <c r="D354" s="29" t="str">
        <f>IF(ISBLANK('Auditoria CEB'!D383)," ",+'Auditoria CEB'!D383)</f>
        <v xml:space="preserve"> </v>
      </c>
      <c r="E354" s="29" t="str">
        <f>IF(ISBLANK('Auditoria CEB'!E383)," ",+'Auditoria CEB'!E383)</f>
        <v xml:space="preserve"> </v>
      </c>
      <c r="F354" s="30" t="str">
        <f>IF(ISBLANK('Auditoria CEB'!F363)," ",+'Auditoria CEB'!F363)</f>
        <v xml:space="preserve"> </v>
      </c>
      <c r="G354" s="30" t="str">
        <f>IF(ISBLANK('Auditoria CEB'!I383)," ",+'Auditoria CEB'!I383)</f>
        <v xml:space="preserve"> </v>
      </c>
      <c r="H354" s="30" t="str">
        <f>IF(ISBLANK('Auditoria CEB'!AR383)," ",+'Auditoria CEB'!AR383)</f>
        <v xml:space="preserve"> </v>
      </c>
      <c r="I354" s="45" t="str">
        <f>IF(ISBLANK('Auditoria CEB'!K383)," ",+'Auditoria CEB'!K383)</f>
        <v xml:space="preserve"> </v>
      </c>
      <c r="J354" s="30" t="str">
        <f>IF(ISBLANK('Auditoria CEB'!AM383)," ",+'Auditoria CEB'!AM383)</f>
        <v xml:space="preserve"> </v>
      </c>
    </row>
    <row r="355" spans="1:10">
      <c r="A355" s="30" t="str">
        <f>IF(ISBLANK('Auditoria CEB'!$E$6)," ",'Auditoria CEB'!$E$6)</f>
        <v xml:space="preserve"> </v>
      </c>
      <c r="B355" s="30" t="s">
        <v>161</v>
      </c>
      <c r="C355" s="29" t="str">
        <f>IF(ISBLANK('Auditoria CEB'!B384)," ",+'Auditoria CEB'!B384)</f>
        <v xml:space="preserve"> </v>
      </c>
      <c r="D355" s="29" t="str">
        <f>IF(ISBLANK('Auditoria CEB'!D384)," ",+'Auditoria CEB'!D384)</f>
        <v xml:space="preserve"> </v>
      </c>
      <c r="E355" s="29" t="str">
        <f>IF(ISBLANK('Auditoria CEB'!E384)," ",+'Auditoria CEB'!E384)</f>
        <v xml:space="preserve"> </v>
      </c>
      <c r="F355" s="30" t="str">
        <f>IF(ISBLANK('Auditoria CEB'!F364)," ",+'Auditoria CEB'!F364)</f>
        <v xml:space="preserve"> </v>
      </c>
      <c r="G355" s="30" t="str">
        <f>IF(ISBLANK('Auditoria CEB'!I384)," ",+'Auditoria CEB'!I384)</f>
        <v xml:space="preserve"> </v>
      </c>
      <c r="H355" s="30" t="str">
        <f>IF(ISBLANK('Auditoria CEB'!AR384)," ",+'Auditoria CEB'!AR384)</f>
        <v xml:space="preserve"> </v>
      </c>
      <c r="I355" s="45" t="str">
        <f>IF(ISBLANK('Auditoria CEB'!K384)," ",+'Auditoria CEB'!K384)</f>
        <v xml:space="preserve"> </v>
      </c>
      <c r="J355" s="30" t="str">
        <f>IF(ISBLANK('Auditoria CEB'!AM384)," ",+'Auditoria CEB'!AM384)</f>
        <v xml:space="preserve"> </v>
      </c>
    </row>
    <row r="356" spans="1:10">
      <c r="A356" s="30" t="str">
        <f>IF(ISBLANK('Auditoria CEB'!$E$6)," ",'Auditoria CEB'!$E$6)</f>
        <v xml:space="preserve"> </v>
      </c>
      <c r="B356" s="30" t="s">
        <v>161</v>
      </c>
      <c r="C356" s="29" t="str">
        <f>IF(ISBLANK('Auditoria CEB'!B385)," ",+'Auditoria CEB'!B385)</f>
        <v xml:space="preserve"> </v>
      </c>
      <c r="D356" s="29" t="str">
        <f>IF(ISBLANK('Auditoria CEB'!D385)," ",+'Auditoria CEB'!D385)</f>
        <v xml:space="preserve"> </v>
      </c>
      <c r="E356" s="29" t="str">
        <f>IF(ISBLANK('Auditoria CEB'!E385)," ",+'Auditoria CEB'!E385)</f>
        <v xml:space="preserve"> </v>
      </c>
      <c r="F356" s="30" t="str">
        <f>IF(ISBLANK('Auditoria CEB'!F365)," ",+'Auditoria CEB'!F365)</f>
        <v xml:space="preserve"> </v>
      </c>
      <c r="G356" s="30" t="str">
        <f>IF(ISBLANK('Auditoria CEB'!I385)," ",+'Auditoria CEB'!I385)</f>
        <v xml:space="preserve"> </v>
      </c>
      <c r="H356" s="30" t="str">
        <f>IF(ISBLANK('Auditoria CEB'!AR385)," ",+'Auditoria CEB'!AR385)</f>
        <v xml:space="preserve"> </v>
      </c>
      <c r="I356" s="45" t="str">
        <f>IF(ISBLANK('Auditoria CEB'!K385)," ",+'Auditoria CEB'!K385)</f>
        <v xml:space="preserve"> </v>
      </c>
      <c r="J356" s="30" t="str">
        <f>IF(ISBLANK('Auditoria CEB'!AM385)," ",+'Auditoria CEB'!AM385)</f>
        <v xml:space="preserve"> </v>
      </c>
    </row>
    <row r="357" spans="1:10">
      <c r="A357" s="30" t="str">
        <f>IF(ISBLANK('Auditoria CEB'!$E$6)," ",'Auditoria CEB'!$E$6)</f>
        <v xml:space="preserve"> </v>
      </c>
      <c r="B357" s="30" t="s">
        <v>161</v>
      </c>
      <c r="C357" s="29" t="str">
        <f>IF(ISBLANK('Auditoria CEB'!B386)," ",+'Auditoria CEB'!B386)</f>
        <v xml:space="preserve"> </v>
      </c>
      <c r="D357" s="29" t="str">
        <f>IF(ISBLANK('Auditoria CEB'!D386)," ",+'Auditoria CEB'!D386)</f>
        <v xml:space="preserve"> </v>
      </c>
      <c r="E357" s="29" t="str">
        <f>IF(ISBLANK('Auditoria CEB'!E386)," ",+'Auditoria CEB'!E386)</f>
        <v xml:space="preserve"> </v>
      </c>
      <c r="F357" s="30" t="str">
        <f>IF(ISBLANK('Auditoria CEB'!F366)," ",+'Auditoria CEB'!F366)</f>
        <v xml:space="preserve"> </v>
      </c>
      <c r="G357" s="30" t="str">
        <f>IF(ISBLANK('Auditoria CEB'!I386)," ",+'Auditoria CEB'!I386)</f>
        <v xml:space="preserve"> </v>
      </c>
      <c r="H357" s="30" t="str">
        <f>IF(ISBLANK('Auditoria CEB'!AR386)," ",+'Auditoria CEB'!AR386)</f>
        <v xml:space="preserve"> </v>
      </c>
      <c r="I357" s="45" t="str">
        <f>IF(ISBLANK('Auditoria CEB'!K386)," ",+'Auditoria CEB'!K386)</f>
        <v xml:space="preserve"> </v>
      </c>
      <c r="J357" s="30" t="str">
        <f>IF(ISBLANK('Auditoria CEB'!AM386)," ",+'Auditoria CEB'!AM386)</f>
        <v xml:space="preserve"> </v>
      </c>
    </row>
    <row r="358" spans="1:10">
      <c r="A358" s="30" t="str">
        <f>IF(ISBLANK('Auditoria CEB'!$E$6)," ",'Auditoria CEB'!$E$6)</f>
        <v xml:space="preserve"> </v>
      </c>
      <c r="B358" s="30" t="s">
        <v>161</v>
      </c>
      <c r="C358" s="29" t="str">
        <f>IF(ISBLANK('Auditoria CEB'!B387)," ",+'Auditoria CEB'!B387)</f>
        <v xml:space="preserve"> </v>
      </c>
      <c r="D358" s="29" t="str">
        <f>IF(ISBLANK('Auditoria CEB'!D387)," ",+'Auditoria CEB'!D387)</f>
        <v xml:space="preserve"> </v>
      </c>
      <c r="E358" s="29" t="str">
        <f>IF(ISBLANK('Auditoria CEB'!E387)," ",+'Auditoria CEB'!E387)</f>
        <v xml:space="preserve"> </v>
      </c>
      <c r="F358" s="30" t="str">
        <f>IF(ISBLANK('Auditoria CEB'!F367)," ",+'Auditoria CEB'!F367)</f>
        <v xml:space="preserve"> </v>
      </c>
      <c r="G358" s="30" t="str">
        <f>IF(ISBLANK('Auditoria CEB'!I387)," ",+'Auditoria CEB'!I387)</f>
        <v xml:space="preserve"> </v>
      </c>
      <c r="H358" s="30" t="str">
        <f>IF(ISBLANK('Auditoria CEB'!AR387)," ",+'Auditoria CEB'!AR387)</f>
        <v xml:space="preserve"> </v>
      </c>
      <c r="I358" s="45" t="str">
        <f>IF(ISBLANK('Auditoria CEB'!K387)," ",+'Auditoria CEB'!K387)</f>
        <v xml:space="preserve"> </v>
      </c>
      <c r="J358" s="30" t="str">
        <f>IF(ISBLANK('Auditoria CEB'!AM387)," ",+'Auditoria CEB'!AM387)</f>
        <v xml:space="preserve"> </v>
      </c>
    </row>
    <row r="359" spans="1:10">
      <c r="A359" s="30" t="str">
        <f>IF(ISBLANK('Auditoria CEB'!$E$6)," ",'Auditoria CEB'!$E$6)</f>
        <v xml:space="preserve"> </v>
      </c>
      <c r="B359" s="30" t="s">
        <v>161</v>
      </c>
      <c r="C359" s="29" t="str">
        <f>IF(ISBLANK('Auditoria CEB'!B388)," ",+'Auditoria CEB'!B388)</f>
        <v xml:space="preserve"> </v>
      </c>
      <c r="D359" s="29" t="str">
        <f>IF(ISBLANK('Auditoria CEB'!D388)," ",+'Auditoria CEB'!D388)</f>
        <v xml:space="preserve"> </v>
      </c>
      <c r="E359" s="29" t="str">
        <f>IF(ISBLANK('Auditoria CEB'!E388)," ",+'Auditoria CEB'!E388)</f>
        <v xml:space="preserve"> </v>
      </c>
      <c r="F359" s="30" t="str">
        <f>IF(ISBLANK('Auditoria CEB'!F368)," ",+'Auditoria CEB'!F368)</f>
        <v xml:space="preserve"> </v>
      </c>
      <c r="G359" s="30" t="str">
        <f>IF(ISBLANK('Auditoria CEB'!I388)," ",+'Auditoria CEB'!I388)</f>
        <v xml:space="preserve"> </v>
      </c>
      <c r="H359" s="30" t="str">
        <f>IF(ISBLANK('Auditoria CEB'!AR388)," ",+'Auditoria CEB'!AR388)</f>
        <v xml:space="preserve"> </v>
      </c>
      <c r="I359" s="45" t="str">
        <f>IF(ISBLANK('Auditoria CEB'!K388)," ",+'Auditoria CEB'!K388)</f>
        <v xml:space="preserve"> </v>
      </c>
      <c r="J359" s="30" t="str">
        <f>IF(ISBLANK('Auditoria CEB'!AM388)," ",+'Auditoria CEB'!AM388)</f>
        <v xml:space="preserve"> </v>
      </c>
    </row>
    <row r="360" spans="1:10">
      <c r="A360" s="30" t="str">
        <f>IF(ISBLANK('Auditoria CEB'!$E$6)," ",'Auditoria CEB'!$E$6)</f>
        <v xml:space="preserve"> </v>
      </c>
      <c r="B360" s="30" t="s">
        <v>161</v>
      </c>
      <c r="C360" s="29" t="str">
        <f>IF(ISBLANK('Auditoria CEB'!B389)," ",+'Auditoria CEB'!B389)</f>
        <v xml:space="preserve"> </v>
      </c>
      <c r="D360" s="29" t="str">
        <f>IF(ISBLANK('Auditoria CEB'!D389)," ",+'Auditoria CEB'!D389)</f>
        <v xml:space="preserve"> </v>
      </c>
      <c r="E360" s="29" t="str">
        <f>IF(ISBLANK('Auditoria CEB'!E389)," ",+'Auditoria CEB'!E389)</f>
        <v xml:space="preserve"> </v>
      </c>
      <c r="F360" s="30" t="str">
        <f>IF(ISBLANK('Auditoria CEB'!F369)," ",+'Auditoria CEB'!F369)</f>
        <v xml:space="preserve"> </v>
      </c>
      <c r="G360" s="30" t="str">
        <f>IF(ISBLANK('Auditoria CEB'!I389)," ",+'Auditoria CEB'!I389)</f>
        <v xml:space="preserve"> </v>
      </c>
      <c r="H360" s="30" t="str">
        <f>IF(ISBLANK('Auditoria CEB'!AR389)," ",+'Auditoria CEB'!AR389)</f>
        <v xml:space="preserve"> </v>
      </c>
      <c r="I360" s="45" t="str">
        <f>IF(ISBLANK('Auditoria CEB'!K389)," ",+'Auditoria CEB'!K389)</f>
        <v xml:space="preserve"> </v>
      </c>
      <c r="J360" s="30" t="str">
        <f>IF(ISBLANK('Auditoria CEB'!AM389)," ",+'Auditoria CEB'!AM389)</f>
        <v xml:space="preserve"> </v>
      </c>
    </row>
    <row r="361" spans="1:10">
      <c r="A361" s="30" t="str">
        <f>IF(ISBLANK('Auditoria CEB'!$E$6)," ",'Auditoria CEB'!$E$6)</f>
        <v xml:space="preserve"> </v>
      </c>
      <c r="B361" s="30" t="s">
        <v>161</v>
      </c>
      <c r="C361" s="29" t="str">
        <f>IF(ISBLANK('Auditoria CEB'!B390)," ",+'Auditoria CEB'!B390)</f>
        <v xml:space="preserve"> </v>
      </c>
      <c r="D361" s="29" t="str">
        <f>IF(ISBLANK('Auditoria CEB'!D390)," ",+'Auditoria CEB'!D390)</f>
        <v xml:space="preserve"> </v>
      </c>
      <c r="E361" s="29" t="str">
        <f>IF(ISBLANK('Auditoria CEB'!E390)," ",+'Auditoria CEB'!E390)</f>
        <v xml:space="preserve"> </v>
      </c>
      <c r="F361" s="30" t="str">
        <f>IF(ISBLANK('Auditoria CEB'!F370)," ",+'Auditoria CEB'!F370)</f>
        <v xml:space="preserve"> </v>
      </c>
      <c r="G361" s="30" t="str">
        <f>IF(ISBLANK('Auditoria CEB'!I390)," ",+'Auditoria CEB'!I390)</f>
        <v xml:space="preserve"> </v>
      </c>
      <c r="H361" s="30" t="str">
        <f>IF(ISBLANK('Auditoria CEB'!AR390)," ",+'Auditoria CEB'!AR390)</f>
        <v xml:space="preserve"> </v>
      </c>
      <c r="I361" s="45" t="str">
        <f>IF(ISBLANK('Auditoria CEB'!K390)," ",+'Auditoria CEB'!K390)</f>
        <v xml:space="preserve"> </v>
      </c>
      <c r="J361" s="30" t="str">
        <f>IF(ISBLANK('Auditoria CEB'!AM390)," ",+'Auditoria CEB'!AM390)</f>
        <v xml:space="preserve"> </v>
      </c>
    </row>
    <row r="362" spans="1:10">
      <c r="A362" s="30" t="str">
        <f>IF(ISBLANK('Auditoria CEB'!$E$6)," ",'Auditoria CEB'!$E$6)</f>
        <v xml:space="preserve"> </v>
      </c>
      <c r="B362" s="30" t="s">
        <v>161</v>
      </c>
      <c r="C362" s="29" t="str">
        <f>IF(ISBLANK('Auditoria CEB'!B391)," ",+'Auditoria CEB'!B391)</f>
        <v xml:space="preserve"> </v>
      </c>
      <c r="D362" s="29" t="str">
        <f>IF(ISBLANK('Auditoria CEB'!D391)," ",+'Auditoria CEB'!D391)</f>
        <v xml:space="preserve"> </v>
      </c>
      <c r="E362" s="29" t="str">
        <f>IF(ISBLANK('Auditoria CEB'!E391)," ",+'Auditoria CEB'!E391)</f>
        <v xml:space="preserve"> </v>
      </c>
      <c r="F362" s="30" t="str">
        <f>IF(ISBLANK('Auditoria CEB'!F371)," ",+'Auditoria CEB'!F371)</f>
        <v xml:space="preserve"> </v>
      </c>
      <c r="G362" s="30" t="str">
        <f>IF(ISBLANK('Auditoria CEB'!I391)," ",+'Auditoria CEB'!I391)</f>
        <v xml:space="preserve"> </v>
      </c>
      <c r="H362" s="30" t="str">
        <f>IF(ISBLANK('Auditoria CEB'!AR391)," ",+'Auditoria CEB'!AR391)</f>
        <v xml:space="preserve"> </v>
      </c>
      <c r="I362" s="45" t="str">
        <f>IF(ISBLANK('Auditoria CEB'!K391)," ",+'Auditoria CEB'!K391)</f>
        <v xml:space="preserve"> </v>
      </c>
      <c r="J362" s="30" t="str">
        <f>IF(ISBLANK('Auditoria CEB'!AM391)," ",+'Auditoria CEB'!AM391)</f>
        <v xml:space="preserve"> </v>
      </c>
    </row>
    <row r="363" spans="1:10">
      <c r="A363" s="30" t="str">
        <f>IF(ISBLANK('Auditoria CEB'!$E$6)," ",'Auditoria CEB'!$E$6)</f>
        <v xml:space="preserve"> </v>
      </c>
      <c r="B363" s="30" t="s">
        <v>161</v>
      </c>
      <c r="C363" s="29" t="str">
        <f>IF(ISBLANK('Auditoria CEB'!B392)," ",+'Auditoria CEB'!B392)</f>
        <v xml:space="preserve"> </v>
      </c>
      <c r="D363" s="29" t="str">
        <f>IF(ISBLANK('Auditoria CEB'!D392)," ",+'Auditoria CEB'!D392)</f>
        <v xml:space="preserve"> </v>
      </c>
      <c r="E363" s="29" t="str">
        <f>IF(ISBLANK('Auditoria CEB'!E392)," ",+'Auditoria CEB'!E392)</f>
        <v xml:space="preserve"> </v>
      </c>
      <c r="F363" s="30" t="str">
        <f>IF(ISBLANK('Auditoria CEB'!F372)," ",+'Auditoria CEB'!F372)</f>
        <v xml:space="preserve"> </v>
      </c>
      <c r="G363" s="30" t="str">
        <f>IF(ISBLANK('Auditoria CEB'!I392)," ",+'Auditoria CEB'!I392)</f>
        <v xml:space="preserve"> </v>
      </c>
      <c r="H363" s="30" t="str">
        <f>IF(ISBLANK('Auditoria CEB'!AR392)," ",+'Auditoria CEB'!AR392)</f>
        <v xml:space="preserve"> </v>
      </c>
      <c r="I363" s="45" t="str">
        <f>IF(ISBLANK('Auditoria CEB'!K392)," ",+'Auditoria CEB'!K392)</f>
        <v xml:space="preserve"> </v>
      </c>
      <c r="J363" s="30" t="str">
        <f>IF(ISBLANK('Auditoria CEB'!AM392)," ",+'Auditoria CEB'!AM392)</f>
        <v xml:space="preserve"> </v>
      </c>
    </row>
    <row r="364" spans="1:10">
      <c r="A364" s="30" t="str">
        <f>IF(ISBLANK('Auditoria CEB'!$E$6)," ",'Auditoria CEB'!$E$6)</f>
        <v xml:space="preserve"> </v>
      </c>
      <c r="B364" s="30" t="s">
        <v>161</v>
      </c>
      <c r="C364" s="29" t="str">
        <f>IF(ISBLANK('Auditoria CEB'!B393)," ",+'Auditoria CEB'!B393)</f>
        <v xml:space="preserve"> </v>
      </c>
      <c r="D364" s="29" t="str">
        <f>IF(ISBLANK('Auditoria CEB'!D393)," ",+'Auditoria CEB'!D393)</f>
        <v xml:space="preserve"> </v>
      </c>
      <c r="E364" s="29" t="str">
        <f>IF(ISBLANK('Auditoria CEB'!E393)," ",+'Auditoria CEB'!E393)</f>
        <v xml:space="preserve"> </v>
      </c>
      <c r="F364" s="30" t="str">
        <f>IF(ISBLANK('Auditoria CEB'!F373)," ",+'Auditoria CEB'!F373)</f>
        <v xml:space="preserve"> </v>
      </c>
      <c r="G364" s="30" t="str">
        <f>IF(ISBLANK('Auditoria CEB'!I393)," ",+'Auditoria CEB'!I393)</f>
        <v xml:space="preserve"> </v>
      </c>
      <c r="H364" s="30" t="str">
        <f>IF(ISBLANK('Auditoria CEB'!AR393)," ",+'Auditoria CEB'!AR393)</f>
        <v xml:space="preserve"> </v>
      </c>
      <c r="I364" s="45" t="str">
        <f>IF(ISBLANK('Auditoria CEB'!K393)," ",+'Auditoria CEB'!K393)</f>
        <v xml:space="preserve"> </v>
      </c>
      <c r="J364" s="30" t="str">
        <f>IF(ISBLANK('Auditoria CEB'!AM393)," ",+'Auditoria CEB'!AM393)</f>
        <v xml:space="preserve"> </v>
      </c>
    </row>
    <row r="365" spans="1:10">
      <c r="A365" s="30" t="str">
        <f>IF(ISBLANK('Auditoria CEB'!$E$6)," ",'Auditoria CEB'!$E$6)</f>
        <v xml:space="preserve"> </v>
      </c>
      <c r="B365" s="30" t="s">
        <v>161</v>
      </c>
      <c r="C365" s="29" t="str">
        <f>IF(ISBLANK('Auditoria CEB'!B394)," ",+'Auditoria CEB'!B394)</f>
        <v xml:space="preserve"> </v>
      </c>
      <c r="D365" s="29" t="str">
        <f>IF(ISBLANK('Auditoria CEB'!D394)," ",+'Auditoria CEB'!D394)</f>
        <v xml:space="preserve"> </v>
      </c>
      <c r="E365" s="29" t="str">
        <f>IF(ISBLANK('Auditoria CEB'!E394)," ",+'Auditoria CEB'!E394)</f>
        <v xml:space="preserve"> </v>
      </c>
      <c r="F365" s="30" t="str">
        <f>IF(ISBLANK('Auditoria CEB'!F374)," ",+'Auditoria CEB'!F374)</f>
        <v xml:space="preserve"> </v>
      </c>
      <c r="G365" s="30" t="str">
        <f>IF(ISBLANK('Auditoria CEB'!I394)," ",+'Auditoria CEB'!I394)</f>
        <v xml:space="preserve"> </v>
      </c>
      <c r="H365" s="30" t="str">
        <f>IF(ISBLANK('Auditoria CEB'!AR394)," ",+'Auditoria CEB'!AR394)</f>
        <v xml:space="preserve"> </v>
      </c>
      <c r="I365" s="45" t="str">
        <f>IF(ISBLANK('Auditoria CEB'!K394)," ",+'Auditoria CEB'!K394)</f>
        <v xml:space="preserve"> </v>
      </c>
      <c r="J365" s="30" t="str">
        <f>IF(ISBLANK('Auditoria CEB'!AM394)," ",+'Auditoria CEB'!AM394)</f>
        <v xml:space="preserve"> </v>
      </c>
    </row>
    <row r="366" spans="1:10">
      <c r="A366" s="30" t="str">
        <f>IF(ISBLANK('Auditoria CEB'!$E$6)," ",'Auditoria CEB'!$E$6)</f>
        <v xml:space="preserve"> </v>
      </c>
      <c r="B366" s="30" t="s">
        <v>161</v>
      </c>
      <c r="C366" s="29" t="str">
        <f>IF(ISBLANK('Auditoria CEB'!B395)," ",+'Auditoria CEB'!B395)</f>
        <v xml:space="preserve"> </v>
      </c>
      <c r="D366" s="29" t="str">
        <f>IF(ISBLANK('Auditoria CEB'!D395)," ",+'Auditoria CEB'!D395)</f>
        <v xml:space="preserve"> </v>
      </c>
      <c r="E366" s="29" t="str">
        <f>IF(ISBLANK('Auditoria CEB'!E395)," ",+'Auditoria CEB'!E395)</f>
        <v xml:space="preserve"> </v>
      </c>
      <c r="F366" s="30" t="str">
        <f>IF(ISBLANK('Auditoria CEB'!F375)," ",+'Auditoria CEB'!F375)</f>
        <v xml:space="preserve"> </v>
      </c>
      <c r="G366" s="30" t="str">
        <f>IF(ISBLANK('Auditoria CEB'!I395)," ",+'Auditoria CEB'!I395)</f>
        <v xml:space="preserve"> </v>
      </c>
      <c r="H366" s="30" t="str">
        <f>IF(ISBLANK('Auditoria CEB'!AR395)," ",+'Auditoria CEB'!AR395)</f>
        <v xml:space="preserve"> </v>
      </c>
      <c r="I366" s="45" t="str">
        <f>IF(ISBLANK('Auditoria CEB'!K395)," ",+'Auditoria CEB'!K395)</f>
        <v xml:space="preserve"> </v>
      </c>
      <c r="J366" s="30" t="str">
        <f>IF(ISBLANK('Auditoria CEB'!AM395)," ",+'Auditoria CEB'!AM395)</f>
        <v xml:space="preserve"> </v>
      </c>
    </row>
    <row r="367" spans="1:10">
      <c r="A367" s="30" t="str">
        <f>IF(ISBLANK('Auditoria CEB'!$E$6)," ",'Auditoria CEB'!$E$6)</f>
        <v xml:space="preserve"> </v>
      </c>
      <c r="B367" s="30" t="s">
        <v>161</v>
      </c>
      <c r="C367" s="29" t="str">
        <f>IF(ISBLANK('Auditoria CEB'!B396)," ",+'Auditoria CEB'!B396)</f>
        <v xml:space="preserve"> </v>
      </c>
      <c r="D367" s="29" t="str">
        <f>IF(ISBLANK('Auditoria CEB'!D396)," ",+'Auditoria CEB'!D396)</f>
        <v xml:space="preserve"> </v>
      </c>
      <c r="E367" s="29" t="str">
        <f>IF(ISBLANK('Auditoria CEB'!E396)," ",+'Auditoria CEB'!E396)</f>
        <v xml:space="preserve"> </v>
      </c>
      <c r="F367" s="30" t="str">
        <f>IF(ISBLANK('Auditoria CEB'!F376)," ",+'Auditoria CEB'!F376)</f>
        <v xml:space="preserve"> </v>
      </c>
      <c r="G367" s="30" t="str">
        <f>IF(ISBLANK('Auditoria CEB'!I396)," ",+'Auditoria CEB'!I396)</f>
        <v xml:space="preserve"> </v>
      </c>
      <c r="H367" s="30" t="str">
        <f>IF(ISBLANK('Auditoria CEB'!AR396)," ",+'Auditoria CEB'!AR396)</f>
        <v xml:space="preserve"> </v>
      </c>
      <c r="I367" s="45" t="str">
        <f>IF(ISBLANK('Auditoria CEB'!K396)," ",+'Auditoria CEB'!K396)</f>
        <v xml:space="preserve"> </v>
      </c>
      <c r="J367" s="30" t="str">
        <f>IF(ISBLANK('Auditoria CEB'!AM396)," ",+'Auditoria CEB'!AM396)</f>
        <v xml:space="preserve"> </v>
      </c>
    </row>
    <row r="368" spans="1:10">
      <c r="A368" s="30" t="str">
        <f>IF(ISBLANK('Auditoria CEB'!$E$6)," ",'Auditoria CEB'!$E$6)</f>
        <v xml:space="preserve"> </v>
      </c>
      <c r="B368" s="30" t="s">
        <v>161</v>
      </c>
      <c r="C368" s="29" t="str">
        <f>IF(ISBLANK('Auditoria CEB'!B397)," ",+'Auditoria CEB'!B397)</f>
        <v xml:space="preserve"> </v>
      </c>
      <c r="D368" s="29" t="str">
        <f>IF(ISBLANK('Auditoria CEB'!D397)," ",+'Auditoria CEB'!D397)</f>
        <v xml:space="preserve"> </v>
      </c>
      <c r="E368" s="29" t="str">
        <f>IF(ISBLANK('Auditoria CEB'!E397)," ",+'Auditoria CEB'!E397)</f>
        <v xml:space="preserve"> </v>
      </c>
      <c r="F368" s="30" t="str">
        <f>IF(ISBLANK('Auditoria CEB'!F377)," ",+'Auditoria CEB'!F377)</f>
        <v xml:space="preserve"> </v>
      </c>
      <c r="G368" s="30" t="str">
        <f>IF(ISBLANK('Auditoria CEB'!I397)," ",+'Auditoria CEB'!I397)</f>
        <v xml:space="preserve"> </v>
      </c>
      <c r="H368" s="30" t="str">
        <f>IF(ISBLANK('Auditoria CEB'!AR397)," ",+'Auditoria CEB'!AR397)</f>
        <v xml:space="preserve"> </v>
      </c>
      <c r="I368" s="45" t="str">
        <f>IF(ISBLANK('Auditoria CEB'!K397)," ",+'Auditoria CEB'!K397)</f>
        <v xml:space="preserve"> </v>
      </c>
      <c r="J368" s="30" t="str">
        <f>IF(ISBLANK('Auditoria CEB'!AM397)," ",+'Auditoria CEB'!AM397)</f>
        <v xml:space="preserve"> </v>
      </c>
    </row>
    <row r="369" spans="1:10">
      <c r="A369" s="30" t="str">
        <f>IF(ISBLANK('Auditoria CEB'!$E$6)," ",'Auditoria CEB'!$E$6)</f>
        <v xml:space="preserve"> </v>
      </c>
      <c r="B369" s="30" t="s">
        <v>161</v>
      </c>
      <c r="C369" s="29" t="str">
        <f>IF(ISBLANK('Auditoria CEB'!B398)," ",+'Auditoria CEB'!B398)</f>
        <v xml:space="preserve"> </v>
      </c>
      <c r="D369" s="29" t="str">
        <f>IF(ISBLANK('Auditoria CEB'!D398)," ",+'Auditoria CEB'!D398)</f>
        <v xml:space="preserve"> </v>
      </c>
      <c r="E369" s="29" t="str">
        <f>IF(ISBLANK('Auditoria CEB'!E398)," ",+'Auditoria CEB'!E398)</f>
        <v xml:space="preserve"> </v>
      </c>
      <c r="F369" s="30" t="str">
        <f>IF(ISBLANK('Auditoria CEB'!F378)," ",+'Auditoria CEB'!F378)</f>
        <v xml:space="preserve"> </v>
      </c>
      <c r="G369" s="30" t="str">
        <f>IF(ISBLANK('Auditoria CEB'!I398)," ",+'Auditoria CEB'!I398)</f>
        <v xml:space="preserve"> </v>
      </c>
      <c r="H369" s="30" t="str">
        <f>IF(ISBLANK('Auditoria CEB'!AR398)," ",+'Auditoria CEB'!AR398)</f>
        <v xml:space="preserve"> </v>
      </c>
      <c r="I369" s="45" t="str">
        <f>IF(ISBLANK('Auditoria CEB'!K398)," ",+'Auditoria CEB'!K398)</f>
        <v xml:space="preserve"> </v>
      </c>
      <c r="J369" s="30" t="str">
        <f>IF(ISBLANK('Auditoria CEB'!AM398)," ",+'Auditoria CEB'!AM398)</f>
        <v xml:space="preserve"> </v>
      </c>
    </row>
    <row r="370" spans="1:10">
      <c r="A370" s="30" t="str">
        <f>IF(ISBLANK('Auditoria CEB'!$E$6)," ",'Auditoria CEB'!$E$6)</f>
        <v xml:space="preserve"> </v>
      </c>
      <c r="B370" s="30" t="s">
        <v>161</v>
      </c>
      <c r="C370" s="29" t="str">
        <f>IF(ISBLANK('Auditoria CEB'!B399)," ",+'Auditoria CEB'!B399)</f>
        <v xml:space="preserve"> </v>
      </c>
      <c r="D370" s="29" t="str">
        <f>IF(ISBLANK('Auditoria CEB'!D399)," ",+'Auditoria CEB'!D399)</f>
        <v xml:space="preserve"> </v>
      </c>
      <c r="E370" s="29" t="str">
        <f>IF(ISBLANK('Auditoria CEB'!E399)," ",+'Auditoria CEB'!E399)</f>
        <v xml:space="preserve"> </v>
      </c>
      <c r="F370" s="30" t="str">
        <f>IF(ISBLANK('Auditoria CEB'!F379)," ",+'Auditoria CEB'!F379)</f>
        <v xml:space="preserve"> </v>
      </c>
      <c r="G370" s="30" t="str">
        <f>IF(ISBLANK('Auditoria CEB'!I399)," ",+'Auditoria CEB'!I399)</f>
        <v xml:space="preserve"> </v>
      </c>
      <c r="H370" s="30" t="str">
        <f>IF(ISBLANK('Auditoria CEB'!AR399)," ",+'Auditoria CEB'!AR399)</f>
        <v xml:space="preserve"> </v>
      </c>
      <c r="I370" s="45" t="str">
        <f>IF(ISBLANK('Auditoria CEB'!K399)," ",+'Auditoria CEB'!K399)</f>
        <v xml:space="preserve"> </v>
      </c>
      <c r="J370" s="30" t="str">
        <f>IF(ISBLANK('Auditoria CEB'!AM399)," ",+'Auditoria CEB'!AM399)</f>
        <v xml:space="preserve"> </v>
      </c>
    </row>
    <row r="371" spans="1:10">
      <c r="A371" s="30" t="str">
        <f>IF(ISBLANK('Auditoria CEB'!$E$6)," ",'Auditoria CEB'!$E$6)</f>
        <v xml:space="preserve"> </v>
      </c>
      <c r="B371" s="30" t="s">
        <v>161</v>
      </c>
      <c r="C371" s="29" t="str">
        <f>IF(ISBLANK('Auditoria CEB'!B400)," ",+'Auditoria CEB'!B400)</f>
        <v xml:space="preserve"> </v>
      </c>
      <c r="D371" s="29" t="str">
        <f>IF(ISBLANK('Auditoria CEB'!D400)," ",+'Auditoria CEB'!D400)</f>
        <v xml:space="preserve"> </v>
      </c>
      <c r="E371" s="29" t="str">
        <f>IF(ISBLANK('Auditoria CEB'!E400)," ",+'Auditoria CEB'!E400)</f>
        <v xml:space="preserve"> </v>
      </c>
      <c r="F371" s="30" t="str">
        <f>IF(ISBLANK('Auditoria CEB'!F380)," ",+'Auditoria CEB'!F380)</f>
        <v xml:space="preserve"> </v>
      </c>
      <c r="G371" s="30" t="str">
        <f>IF(ISBLANK('Auditoria CEB'!I400)," ",+'Auditoria CEB'!I400)</f>
        <v xml:space="preserve"> </v>
      </c>
      <c r="H371" s="30" t="str">
        <f>IF(ISBLANK('Auditoria CEB'!AR400)," ",+'Auditoria CEB'!AR400)</f>
        <v xml:space="preserve"> </v>
      </c>
      <c r="I371" s="45" t="str">
        <f>IF(ISBLANK('Auditoria CEB'!K400)," ",+'Auditoria CEB'!K400)</f>
        <v xml:space="preserve"> </v>
      </c>
      <c r="J371" s="30" t="str">
        <f>IF(ISBLANK('Auditoria CEB'!AM400)," ",+'Auditoria CEB'!AM400)</f>
        <v xml:space="preserve"> </v>
      </c>
    </row>
    <row r="372" spans="1:10">
      <c r="A372" s="30" t="str">
        <f>IF(ISBLANK('Auditoria CEB'!$E$6)," ",'Auditoria CEB'!$E$6)</f>
        <v xml:space="preserve"> </v>
      </c>
      <c r="B372" s="30" t="s">
        <v>161</v>
      </c>
      <c r="C372" s="29" t="str">
        <f>IF(ISBLANK('Auditoria CEB'!B401)," ",+'Auditoria CEB'!B401)</f>
        <v xml:space="preserve"> </v>
      </c>
      <c r="D372" s="29" t="str">
        <f>IF(ISBLANK('Auditoria CEB'!D401)," ",+'Auditoria CEB'!D401)</f>
        <v xml:space="preserve"> </v>
      </c>
      <c r="E372" s="29" t="str">
        <f>IF(ISBLANK('Auditoria CEB'!E401)," ",+'Auditoria CEB'!E401)</f>
        <v xml:space="preserve"> </v>
      </c>
      <c r="F372" s="30" t="str">
        <f>IF(ISBLANK('Auditoria CEB'!F381)," ",+'Auditoria CEB'!F381)</f>
        <v xml:space="preserve"> </v>
      </c>
      <c r="G372" s="30" t="str">
        <f>IF(ISBLANK('Auditoria CEB'!I401)," ",+'Auditoria CEB'!I401)</f>
        <v xml:space="preserve"> </v>
      </c>
      <c r="H372" s="30" t="str">
        <f>IF(ISBLANK('Auditoria CEB'!AR401)," ",+'Auditoria CEB'!AR401)</f>
        <v xml:space="preserve"> </v>
      </c>
      <c r="I372" s="45" t="str">
        <f>IF(ISBLANK('Auditoria CEB'!K401)," ",+'Auditoria CEB'!K401)</f>
        <v xml:space="preserve"> </v>
      </c>
      <c r="J372" s="30" t="str">
        <f>IF(ISBLANK('Auditoria CEB'!AM401)," ",+'Auditoria CEB'!AM401)</f>
        <v xml:space="preserve"> </v>
      </c>
    </row>
    <row r="373" spans="1:10">
      <c r="A373" s="30" t="str">
        <f>IF(ISBLANK('Auditoria CEB'!$E$6)," ",'Auditoria CEB'!$E$6)</f>
        <v xml:space="preserve"> </v>
      </c>
      <c r="B373" s="30" t="s">
        <v>161</v>
      </c>
      <c r="C373" s="29" t="str">
        <f>IF(ISBLANK('Auditoria CEB'!B402)," ",+'Auditoria CEB'!B402)</f>
        <v xml:space="preserve"> </v>
      </c>
      <c r="D373" s="29" t="str">
        <f>IF(ISBLANK('Auditoria CEB'!D402)," ",+'Auditoria CEB'!D402)</f>
        <v xml:space="preserve"> </v>
      </c>
      <c r="E373" s="29" t="str">
        <f>IF(ISBLANK('Auditoria CEB'!E402)," ",+'Auditoria CEB'!E402)</f>
        <v xml:space="preserve"> </v>
      </c>
      <c r="F373" s="30" t="str">
        <f>IF(ISBLANK('Auditoria CEB'!F382)," ",+'Auditoria CEB'!F382)</f>
        <v xml:space="preserve"> </v>
      </c>
      <c r="G373" s="30" t="str">
        <f>IF(ISBLANK('Auditoria CEB'!I402)," ",+'Auditoria CEB'!I402)</f>
        <v xml:space="preserve"> </v>
      </c>
      <c r="H373" s="30" t="str">
        <f>IF(ISBLANK('Auditoria CEB'!AR402)," ",+'Auditoria CEB'!AR402)</f>
        <v xml:space="preserve"> </v>
      </c>
      <c r="I373" s="45" t="str">
        <f>IF(ISBLANK('Auditoria CEB'!K402)," ",+'Auditoria CEB'!K402)</f>
        <v xml:space="preserve"> </v>
      </c>
      <c r="J373" s="30" t="str">
        <f>IF(ISBLANK('Auditoria CEB'!AM402)," ",+'Auditoria CEB'!AM402)</f>
        <v xml:space="preserve"> </v>
      </c>
    </row>
    <row r="374" spans="1:10">
      <c r="A374" s="30" t="str">
        <f>IF(ISBLANK('Auditoria CEB'!$E$6)," ",'Auditoria CEB'!$E$6)</f>
        <v xml:space="preserve"> </v>
      </c>
      <c r="B374" s="30" t="s">
        <v>161</v>
      </c>
      <c r="C374" s="29" t="str">
        <f>IF(ISBLANK('Auditoria CEB'!B403)," ",+'Auditoria CEB'!B403)</f>
        <v xml:space="preserve"> </v>
      </c>
      <c r="D374" s="29" t="str">
        <f>IF(ISBLANK('Auditoria CEB'!D403)," ",+'Auditoria CEB'!D403)</f>
        <v xml:space="preserve"> </v>
      </c>
      <c r="E374" s="29" t="str">
        <f>IF(ISBLANK('Auditoria CEB'!E403)," ",+'Auditoria CEB'!E403)</f>
        <v xml:space="preserve"> </v>
      </c>
      <c r="F374" s="30" t="str">
        <f>IF(ISBLANK('Auditoria CEB'!F383)," ",+'Auditoria CEB'!F383)</f>
        <v xml:space="preserve"> </v>
      </c>
      <c r="G374" s="30" t="str">
        <f>IF(ISBLANK('Auditoria CEB'!I403)," ",+'Auditoria CEB'!I403)</f>
        <v xml:space="preserve"> </v>
      </c>
      <c r="H374" s="30" t="str">
        <f>IF(ISBLANK('Auditoria CEB'!AR403)," ",+'Auditoria CEB'!AR403)</f>
        <v xml:space="preserve"> </v>
      </c>
      <c r="I374" s="45" t="str">
        <f>IF(ISBLANK('Auditoria CEB'!K403)," ",+'Auditoria CEB'!K403)</f>
        <v xml:space="preserve"> </v>
      </c>
      <c r="J374" s="30" t="str">
        <f>IF(ISBLANK('Auditoria CEB'!AM403)," ",+'Auditoria CEB'!AM403)</f>
        <v xml:space="preserve"> </v>
      </c>
    </row>
    <row r="375" spans="1:10">
      <c r="A375" s="30" t="str">
        <f>IF(ISBLANK('Auditoria CEB'!$E$6)," ",'Auditoria CEB'!$E$6)</f>
        <v xml:space="preserve"> </v>
      </c>
      <c r="B375" s="30" t="s">
        <v>161</v>
      </c>
      <c r="C375" s="29" t="str">
        <f>IF(ISBLANK('Auditoria CEB'!B404)," ",+'Auditoria CEB'!B404)</f>
        <v xml:space="preserve"> </v>
      </c>
      <c r="D375" s="29" t="str">
        <f>IF(ISBLANK('Auditoria CEB'!D404)," ",+'Auditoria CEB'!D404)</f>
        <v xml:space="preserve"> </v>
      </c>
      <c r="E375" s="29" t="str">
        <f>IF(ISBLANK('Auditoria CEB'!E404)," ",+'Auditoria CEB'!E404)</f>
        <v xml:space="preserve"> </v>
      </c>
      <c r="F375" s="30" t="str">
        <f>IF(ISBLANK('Auditoria CEB'!F384)," ",+'Auditoria CEB'!F384)</f>
        <v xml:space="preserve"> </v>
      </c>
      <c r="G375" s="30" t="str">
        <f>IF(ISBLANK('Auditoria CEB'!I404)," ",+'Auditoria CEB'!I404)</f>
        <v xml:space="preserve"> </v>
      </c>
      <c r="H375" s="30" t="str">
        <f>IF(ISBLANK('Auditoria CEB'!AR404)," ",+'Auditoria CEB'!AR404)</f>
        <v xml:space="preserve"> </v>
      </c>
      <c r="I375" s="45" t="str">
        <f>IF(ISBLANK('Auditoria CEB'!K404)," ",+'Auditoria CEB'!K404)</f>
        <v xml:space="preserve"> </v>
      </c>
      <c r="J375" s="30" t="str">
        <f>IF(ISBLANK('Auditoria CEB'!AM404)," ",+'Auditoria CEB'!AM404)</f>
        <v xml:space="preserve"> </v>
      </c>
    </row>
    <row r="376" spans="1:10">
      <c r="A376" s="30" t="str">
        <f>IF(ISBLANK('Auditoria CEB'!$E$6)," ",'Auditoria CEB'!$E$6)</f>
        <v xml:space="preserve"> </v>
      </c>
      <c r="B376" s="30" t="s">
        <v>161</v>
      </c>
      <c r="C376" s="29" t="str">
        <f>IF(ISBLANK('Auditoria CEB'!B405)," ",+'Auditoria CEB'!B405)</f>
        <v xml:space="preserve"> </v>
      </c>
      <c r="D376" s="29" t="str">
        <f>IF(ISBLANK('Auditoria CEB'!D405)," ",+'Auditoria CEB'!D405)</f>
        <v xml:space="preserve"> </v>
      </c>
      <c r="E376" s="29" t="str">
        <f>IF(ISBLANK('Auditoria CEB'!E405)," ",+'Auditoria CEB'!E405)</f>
        <v xml:space="preserve"> </v>
      </c>
      <c r="F376" s="30" t="str">
        <f>IF(ISBLANK('Auditoria CEB'!F385)," ",+'Auditoria CEB'!F385)</f>
        <v xml:space="preserve"> </v>
      </c>
      <c r="G376" s="30" t="str">
        <f>IF(ISBLANK('Auditoria CEB'!I405)," ",+'Auditoria CEB'!I405)</f>
        <v xml:space="preserve"> </v>
      </c>
      <c r="H376" s="30" t="str">
        <f>IF(ISBLANK('Auditoria CEB'!AR405)," ",+'Auditoria CEB'!AR405)</f>
        <v xml:space="preserve"> </v>
      </c>
      <c r="I376" s="45" t="str">
        <f>IF(ISBLANK('Auditoria CEB'!K405)," ",+'Auditoria CEB'!K405)</f>
        <v xml:space="preserve"> </v>
      </c>
      <c r="J376" s="30" t="str">
        <f>IF(ISBLANK('Auditoria CEB'!AM405)," ",+'Auditoria CEB'!AM405)</f>
        <v xml:space="preserve"> </v>
      </c>
    </row>
    <row r="377" spans="1:10">
      <c r="A377" s="30" t="str">
        <f>IF(ISBLANK('Auditoria CEB'!$E$6)," ",'Auditoria CEB'!$E$6)</f>
        <v xml:space="preserve"> </v>
      </c>
      <c r="B377" s="30" t="s">
        <v>161</v>
      </c>
      <c r="C377" s="29" t="str">
        <f>IF(ISBLANK('Auditoria CEB'!B406)," ",+'Auditoria CEB'!B406)</f>
        <v xml:space="preserve"> </v>
      </c>
      <c r="D377" s="29" t="str">
        <f>IF(ISBLANK('Auditoria CEB'!D406)," ",+'Auditoria CEB'!D406)</f>
        <v xml:space="preserve"> </v>
      </c>
      <c r="E377" s="29" t="str">
        <f>IF(ISBLANK('Auditoria CEB'!E406)," ",+'Auditoria CEB'!E406)</f>
        <v xml:space="preserve"> </v>
      </c>
      <c r="F377" s="30" t="str">
        <f>IF(ISBLANK('Auditoria CEB'!F386)," ",+'Auditoria CEB'!F386)</f>
        <v xml:space="preserve"> </v>
      </c>
      <c r="G377" s="30" t="str">
        <f>IF(ISBLANK('Auditoria CEB'!I406)," ",+'Auditoria CEB'!I406)</f>
        <v xml:space="preserve"> </v>
      </c>
      <c r="H377" s="30" t="str">
        <f>IF(ISBLANK('Auditoria CEB'!AR406)," ",+'Auditoria CEB'!AR406)</f>
        <v xml:space="preserve"> </v>
      </c>
      <c r="I377" s="45" t="str">
        <f>IF(ISBLANK('Auditoria CEB'!K406)," ",+'Auditoria CEB'!K406)</f>
        <v xml:space="preserve"> </v>
      </c>
      <c r="J377" s="30" t="str">
        <f>IF(ISBLANK('Auditoria CEB'!AM406)," ",+'Auditoria CEB'!AM406)</f>
        <v xml:space="preserve"> </v>
      </c>
    </row>
    <row r="378" spans="1:10">
      <c r="A378" s="30" t="str">
        <f>IF(ISBLANK('Auditoria CEB'!$E$6)," ",'Auditoria CEB'!$E$6)</f>
        <v xml:space="preserve"> </v>
      </c>
      <c r="B378" s="30" t="s">
        <v>161</v>
      </c>
      <c r="C378" s="29" t="str">
        <f>IF(ISBLANK('Auditoria CEB'!B407)," ",+'Auditoria CEB'!B407)</f>
        <v xml:space="preserve"> </v>
      </c>
      <c r="D378" s="29" t="str">
        <f>IF(ISBLANK('Auditoria CEB'!D407)," ",+'Auditoria CEB'!D407)</f>
        <v xml:space="preserve"> </v>
      </c>
      <c r="E378" s="29" t="str">
        <f>IF(ISBLANK('Auditoria CEB'!E407)," ",+'Auditoria CEB'!E407)</f>
        <v xml:space="preserve"> </v>
      </c>
      <c r="F378" s="30" t="str">
        <f>IF(ISBLANK('Auditoria CEB'!F387)," ",+'Auditoria CEB'!F387)</f>
        <v xml:space="preserve"> </v>
      </c>
      <c r="G378" s="30" t="str">
        <f>IF(ISBLANK('Auditoria CEB'!I407)," ",+'Auditoria CEB'!I407)</f>
        <v xml:space="preserve"> </v>
      </c>
      <c r="H378" s="30" t="str">
        <f>IF(ISBLANK('Auditoria CEB'!AR407)," ",+'Auditoria CEB'!AR407)</f>
        <v xml:space="preserve"> </v>
      </c>
      <c r="I378" s="45" t="str">
        <f>IF(ISBLANK('Auditoria CEB'!K407)," ",+'Auditoria CEB'!K407)</f>
        <v xml:space="preserve"> </v>
      </c>
      <c r="J378" s="30" t="str">
        <f>IF(ISBLANK('Auditoria CEB'!AM407)," ",+'Auditoria CEB'!AM407)</f>
        <v xml:space="preserve"> </v>
      </c>
    </row>
    <row r="379" spans="1:10">
      <c r="A379" s="30" t="str">
        <f>IF(ISBLANK('Auditoria CEB'!$E$6)," ",'Auditoria CEB'!$E$6)</f>
        <v xml:space="preserve"> </v>
      </c>
      <c r="B379" s="30" t="s">
        <v>161</v>
      </c>
      <c r="C379" s="29" t="str">
        <f>IF(ISBLANK('Auditoria CEB'!B408)," ",+'Auditoria CEB'!B408)</f>
        <v xml:space="preserve"> </v>
      </c>
      <c r="D379" s="29" t="str">
        <f>IF(ISBLANK('Auditoria CEB'!D408)," ",+'Auditoria CEB'!D408)</f>
        <v xml:space="preserve"> </v>
      </c>
      <c r="E379" s="29" t="str">
        <f>IF(ISBLANK('Auditoria CEB'!E408)," ",+'Auditoria CEB'!E408)</f>
        <v xml:space="preserve"> </v>
      </c>
      <c r="F379" s="30" t="str">
        <f>IF(ISBLANK('Auditoria CEB'!F388)," ",+'Auditoria CEB'!F388)</f>
        <v xml:space="preserve"> </v>
      </c>
      <c r="G379" s="30" t="str">
        <f>IF(ISBLANK('Auditoria CEB'!I408)," ",+'Auditoria CEB'!I408)</f>
        <v xml:space="preserve"> </v>
      </c>
      <c r="H379" s="30" t="str">
        <f>IF(ISBLANK('Auditoria CEB'!AR408)," ",+'Auditoria CEB'!AR408)</f>
        <v xml:space="preserve"> </v>
      </c>
      <c r="I379" s="45" t="str">
        <f>IF(ISBLANK('Auditoria CEB'!K408)," ",+'Auditoria CEB'!K408)</f>
        <v xml:space="preserve"> </v>
      </c>
      <c r="J379" s="30" t="str">
        <f>IF(ISBLANK('Auditoria CEB'!AM408)," ",+'Auditoria CEB'!AM408)</f>
        <v xml:space="preserve"> </v>
      </c>
    </row>
    <row r="380" spans="1:10">
      <c r="A380" s="30" t="str">
        <f>IF(ISBLANK('Auditoria CEB'!$E$6)," ",'Auditoria CEB'!$E$6)</f>
        <v xml:space="preserve"> </v>
      </c>
      <c r="B380" s="30" t="s">
        <v>161</v>
      </c>
      <c r="C380" s="29" t="str">
        <f>IF(ISBLANK('Auditoria CEB'!B409)," ",+'Auditoria CEB'!B409)</f>
        <v xml:space="preserve"> </v>
      </c>
      <c r="D380" s="29" t="str">
        <f>IF(ISBLANK('Auditoria CEB'!D409)," ",+'Auditoria CEB'!D409)</f>
        <v xml:space="preserve"> </v>
      </c>
      <c r="E380" s="29" t="str">
        <f>IF(ISBLANK('Auditoria CEB'!E409)," ",+'Auditoria CEB'!E409)</f>
        <v xml:space="preserve"> </v>
      </c>
      <c r="F380" s="30" t="str">
        <f>IF(ISBLANK('Auditoria CEB'!F389)," ",+'Auditoria CEB'!F389)</f>
        <v xml:space="preserve"> </v>
      </c>
      <c r="G380" s="30" t="str">
        <f>IF(ISBLANK('Auditoria CEB'!I409)," ",+'Auditoria CEB'!I409)</f>
        <v xml:space="preserve"> </v>
      </c>
      <c r="H380" s="30" t="str">
        <f>IF(ISBLANK('Auditoria CEB'!AR409)," ",+'Auditoria CEB'!AR409)</f>
        <v xml:space="preserve"> </v>
      </c>
      <c r="I380" s="45" t="str">
        <f>IF(ISBLANK('Auditoria CEB'!K409)," ",+'Auditoria CEB'!K409)</f>
        <v xml:space="preserve"> </v>
      </c>
      <c r="J380" s="30" t="str">
        <f>IF(ISBLANK('Auditoria CEB'!AM409)," ",+'Auditoria CEB'!AM409)</f>
        <v xml:space="preserve"> </v>
      </c>
    </row>
    <row r="381" spans="1:10">
      <c r="A381" s="30" t="str">
        <f>IF(ISBLANK('Auditoria CEB'!$E$6)," ",'Auditoria CEB'!$E$6)</f>
        <v xml:space="preserve"> </v>
      </c>
      <c r="B381" s="30" t="s">
        <v>161</v>
      </c>
      <c r="C381" s="29" t="str">
        <f>IF(ISBLANK('Auditoria CEB'!B410)," ",+'Auditoria CEB'!B410)</f>
        <v xml:space="preserve"> </v>
      </c>
      <c r="D381" s="29" t="str">
        <f>IF(ISBLANK('Auditoria CEB'!D410)," ",+'Auditoria CEB'!D410)</f>
        <v xml:space="preserve"> </v>
      </c>
      <c r="E381" s="29" t="str">
        <f>IF(ISBLANK('Auditoria CEB'!E410)," ",+'Auditoria CEB'!E410)</f>
        <v xml:space="preserve"> </v>
      </c>
      <c r="F381" s="30" t="str">
        <f>IF(ISBLANK('Auditoria CEB'!F390)," ",+'Auditoria CEB'!F390)</f>
        <v xml:space="preserve"> </v>
      </c>
      <c r="G381" s="30" t="str">
        <f>IF(ISBLANK('Auditoria CEB'!I410)," ",+'Auditoria CEB'!I410)</f>
        <v xml:space="preserve"> </v>
      </c>
      <c r="H381" s="30" t="str">
        <f>IF(ISBLANK('Auditoria CEB'!AR410)," ",+'Auditoria CEB'!AR410)</f>
        <v xml:space="preserve"> </v>
      </c>
      <c r="I381" s="45" t="str">
        <f>IF(ISBLANK('Auditoria CEB'!K410)," ",+'Auditoria CEB'!K410)</f>
        <v xml:space="preserve"> </v>
      </c>
      <c r="J381" s="30" t="str">
        <f>IF(ISBLANK('Auditoria CEB'!AM410)," ",+'Auditoria CEB'!AM410)</f>
        <v xml:space="preserve"> </v>
      </c>
    </row>
    <row r="382" spans="1:10">
      <c r="A382" s="30" t="str">
        <f>IF(ISBLANK('Auditoria CEB'!$E$6)," ",'Auditoria CEB'!$E$6)</f>
        <v xml:space="preserve"> </v>
      </c>
      <c r="B382" s="30" t="s">
        <v>161</v>
      </c>
      <c r="C382" s="29" t="str">
        <f>IF(ISBLANK('Auditoria CEB'!B411)," ",+'Auditoria CEB'!B411)</f>
        <v xml:space="preserve"> </v>
      </c>
      <c r="D382" s="29" t="str">
        <f>IF(ISBLANK('Auditoria CEB'!D411)," ",+'Auditoria CEB'!D411)</f>
        <v xml:space="preserve"> </v>
      </c>
      <c r="E382" s="29" t="str">
        <f>IF(ISBLANK('Auditoria CEB'!E411)," ",+'Auditoria CEB'!E411)</f>
        <v xml:space="preserve"> </v>
      </c>
      <c r="F382" s="30" t="str">
        <f>IF(ISBLANK('Auditoria CEB'!F391)," ",+'Auditoria CEB'!F391)</f>
        <v xml:space="preserve"> </v>
      </c>
      <c r="G382" s="30" t="str">
        <f>IF(ISBLANK('Auditoria CEB'!I411)," ",+'Auditoria CEB'!I411)</f>
        <v xml:space="preserve"> </v>
      </c>
      <c r="H382" s="30" t="str">
        <f>IF(ISBLANK('Auditoria CEB'!AR411)," ",+'Auditoria CEB'!AR411)</f>
        <v xml:space="preserve"> </v>
      </c>
      <c r="I382" s="45" t="str">
        <f>IF(ISBLANK('Auditoria CEB'!K411)," ",+'Auditoria CEB'!K411)</f>
        <v xml:space="preserve"> </v>
      </c>
      <c r="J382" s="30" t="str">
        <f>IF(ISBLANK('Auditoria CEB'!AM411)," ",+'Auditoria CEB'!AM411)</f>
        <v xml:space="preserve"> </v>
      </c>
    </row>
    <row r="383" spans="1:10">
      <c r="A383" s="30" t="str">
        <f>IF(ISBLANK('Auditoria CEB'!$E$6)," ",'Auditoria CEB'!$E$6)</f>
        <v xml:space="preserve"> </v>
      </c>
      <c r="B383" s="30" t="s">
        <v>161</v>
      </c>
      <c r="C383" s="29" t="str">
        <f>IF(ISBLANK('Auditoria CEB'!B412)," ",+'Auditoria CEB'!B412)</f>
        <v xml:space="preserve"> </v>
      </c>
      <c r="D383" s="29" t="str">
        <f>IF(ISBLANK('Auditoria CEB'!D412)," ",+'Auditoria CEB'!D412)</f>
        <v xml:space="preserve"> </v>
      </c>
      <c r="E383" s="29" t="str">
        <f>IF(ISBLANK('Auditoria CEB'!E412)," ",+'Auditoria CEB'!E412)</f>
        <v xml:space="preserve"> </v>
      </c>
      <c r="F383" s="30" t="str">
        <f>IF(ISBLANK('Auditoria CEB'!F392)," ",+'Auditoria CEB'!F392)</f>
        <v xml:space="preserve"> </v>
      </c>
      <c r="G383" s="30" t="str">
        <f>IF(ISBLANK('Auditoria CEB'!I412)," ",+'Auditoria CEB'!I412)</f>
        <v xml:space="preserve"> </v>
      </c>
      <c r="H383" s="30" t="str">
        <f>IF(ISBLANK('Auditoria CEB'!AR412)," ",+'Auditoria CEB'!AR412)</f>
        <v xml:space="preserve"> </v>
      </c>
      <c r="I383" s="45" t="str">
        <f>IF(ISBLANK('Auditoria CEB'!K412)," ",+'Auditoria CEB'!K412)</f>
        <v xml:space="preserve"> </v>
      </c>
      <c r="J383" s="30" t="str">
        <f>IF(ISBLANK('Auditoria CEB'!AM412)," ",+'Auditoria CEB'!AM412)</f>
        <v xml:space="preserve"> </v>
      </c>
    </row>
    <row r="384" spans="1:10">
      <c r="A384" s="30" t="str">
        <f>IF(ISBLANK('Auditoria CEB'!$E$6)," ",'Auditoria CEB'!$E$6)</f>
        <v xml:space="preserve"> </v>
      </c>
      <c r="B384" s="30" t="s">
        <v>161</v>
      </c>
      <c r="C384" s="29" t="str">
        <f>IF(ISBLANK('Auditoria CEB'!B413)," ",+'Auditoria CEB'!B413)</f>
        <v xml:space="preserve"> </v>
      </c>
      <c r="D384" s="29" t="str">
        <f>IF(ISBLANK('Auditoria CEB'!D413)," ",+'Auditoria CEB'!D413)</f>
        <v xml:space="preserve"> </v>
      </c>
      <c r="E384" s="29" t="str">
        <f>IF(ISBLANK('Auditoria CEB'!E413)," ",+'Auditoria CEB'!E413)</f>
        <v xml:space="preserve"> </v>
      </c>
      <c r="F384" s="30" t="str">
        <f>IF(ISBLANK('Auditoria CEB'!F393)," ",+'Auditoria CEB'!F393)</f>
        <v xml:space="preserve"> </v>
      </c>
      <c r="G384" s="30" t="str">
        <f>IF(ISBLANK('Auditoria CEB'!I413)," ",+'Auditoria CEB'!I413)</f>
        <v xml:space="preserve"> </v>
      </c>
      <c r="H384" s="30" t="str">
        <f>IF(ISBLANK('Auditoria CEB'!AR413)," ",+'Auditoria CEB'!AR413)</f>
        <v xml:space="preserve"> </v>
      </c>
      <c r="I384" s="45" t="str">
        <f>IF(ISBLANK('Auditoria CEB'!K413)," ",+'Auditoria CEB'!K413)</f>
        <v xml:space="preserve"> </v>
      </c>
      <c r="J384" s="30" t="str">
        <f>IF(ISBLANK('Auditoria CEB'!AM413)," ",+'Auditoria CEB'!AM413)</f>
        <v xml:space="preserve"> </v>
      </c>
    </row>
    <row r="385" spans="1:10">
      <c r="A385" s="30" t="str">
        <f>IF(ISBLANK('Auditoria CEB'!$E$6)," ",'Auditoria CEB'!$E$6)</f>
        <v xml:space="preserve"> </v>
      </c>
      <c r="B385" s="30" t="s">
        <v>161</v>
      </c>
      <c r="C385" s="29" t="str">
        <f>IF(ISBLANK('Auditoria CEB'!B414)," ",+'Auditoria CEB'!B414)</f>
        <v xml:space="preserve"> </v>
      </c>
      <c r="D385" s="29" t="str">
        <f>IF(ISBLANK('Auditoria CEB'!D414)," ",+'Auditoria CEB'!D414)</f>
        <v xml:space="preserve"> </v>
      </c>
      <c r="E385" s="29" t="str">
        <f>IF(ISBLANK('Auditoria CEB'!E414)," ",+'Auditoria CEB'!E414)</f>
        <v xml:space="preserve"> </v>
      </c>
      <c r="F385" s="30" t="str">
        <f>IF(ISBLANK('Auditoria CEB'!F394)," ",+'Auditoria CEB'!F394)</f>
        <v xml:space="preserve"> </v>
      </c>
      <c r="G385" s="30" t="str">
        <f>IF(ISBLANK('Auditoria CEB'!I414)," ",+'Auditoria CEB'!I414)</f>
        <v xml:space="preserve"> </v>
      </c>
      <c r="H385" s="30" t="str">
        <f>IF(ISBLANK('Auditoria CEB'!AR414)," ",+'Auditoria CEB'!AR414)</f>
        <v xml:space="preserve"> </v>
      </c>
      <c r="I385" s="45" t="str">
        <f>IF(ISBLANK('Auditoria CEB'!K414)," ",+'Auditoria CEB'!K414)</f>
        <v xml:space="preserve"> </v>
      </c>
      <c r="J385" s="30" t="str">
        <f>IF(ISBLANK('Auditoria CEB'!AM414)," ",+'Auditoria CEB'!AM414)</f>
        <v xml:space="preserve"> </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L9"/>
  <sheetViews>
    <sheetView zoomScale="90" zoomScaleNormal="90" workbookViewId="0">
      <selection activeCell="K8" sqref="K8"/>
    </sheetView>
  </sheetViews>
  <sheetFormatPr baseColWidth="10" defaultColWidth="11.42578125" defaultRowHeight="15"/>
  <cols>
    <col min="1" max="1" width="13.140625" style="31" customWidth="1"/>
    <col min="2" max="2" width="13" style="31" customWidth="1"/>
    <col min="3" max="3" width="15.85546875" style="31" customWidth="1"/>
    <col min="4" max="4" width="12.42578125" style="31" bestFit="1" customWidth="1"/>
    <col min="5" max="5" width="13.5703125" style="31" bestFit="1" customWidth="1"/>
    <col min="6" max="6" width="21" style="31" bestFit="1" customWidth="1"/>
    <col min="7" max="7" width="22" style="31" bestFit="1" customWidth="1"/>
    <col min="8" max="8" width="23.7109375" style="31" bestFit="1" customWidth="1"/>
    <col min="9" max="9" width="2.85546875" style="31" customWidth="1"/>
    <col min="10" max="10" width="36.28515625" style="31" bestFit="1" customWidth="1"/>
    <col min="11" max="11" width="13.85546875" style="31" bestFit="1" customWidth="1"/>
    <col min="12" max="12" width="19.42578125" style="31" customWidth="1"/>
    <col min="13" max="16384" width="11.42578125" style="31"/>
  </cols>
  <sheetData>
    <row r="1" spans="1:12" s="204" customFormat="1" ht="30">
      <c r="A1" s="203" t="s">
        <v>734</v>
      </c>
      <c r="B1" s="203" t="s">
        <v>161</v>
      </c>
      <c r="C1" s="203" t="s">
        <v>735</v>
      </c>
      <c r="D1" s="203" t="s">
        <v>736</v>
      </c>
      <c r="E1" s="203" t="s">
        <v>737</v>
      </c>
      <c r="F1" s="203" t="s">
        <v>738</v>
      </c>
      <c r="G1" s="203" t="s">
        <v>739</v>
      </c>
      <c r="H1" s="203" t="s">
        <v>740</v>
      </c>
      <c r="J1" s="203" t="s">
        <v>741</v>
      </c>
      <c r="K1" s="203" t="s">
        <v>742</v>
      </c>
      <c r="L1" s="205" t="s">
        <v>743</v>
      </c>
    </row>
    <row r="2" spans="1:12" s="30" customFormat="1">
      <c r="A2" s="29"/>
      <c r="B2" s="30">
        <v>2</v>
      </c>
      <c r="C2" s="29" t="s">
        <v>744</v>
      </c>
      <c r="F2" s="30" t="str">
        <f>IF(AND(ISBLANK(Tabla2[[#This Row],[Válidos]]),ISBLANK(Tabla2[[#This Row],[Inválidos]]))," ",Tabla2[[#This Row],[Válidos]]+Tabla2[[#This Row],[Inválidos]])</f>
        <v xml:space="preserve"> </v>
      </c>
      <c r="G2" s="206" t="str">
        <f>IFERROR(Tabla2[[#This Row],[Válidos]]/Tabla2[[#This Row],[Total del periodo]]," ")</f>
        <v xml:space="preserve"> </v>
      </c>
      <c r="H2" s="206" t="str">
        <f>IFERROR(Tabla2[[#This Row],[Inválidos]]/Tabla2[[#This Row],[Total del periodo]]," ")</f>
        <v xml:space="preserve"> </v>
      </c>
      <c r="J2" s="29" t="s">
        <v>736</v>
      </c>
      <c r="K2" s="30">
        <f>COUNTIF('Auditoria CEB'!$AM$11:$AM$414,0)</f>
        <v>0</v>
      </c>
      <c r="L2" s="207"/>
    </row>
    <row r="3" spans="1:12" s="30" customFormat="1">
      <c r="A3" s="29"/>
      <c r="B3" s="30">
        <v>3</v>
      </c>
      <c r="C3" s="29" t="s">
        <v>745</v>
      </c>
      <c r="F3" s="30" t="str">
        <f>IF(AND(ISBLANK(Tabla2[[#This Row],[Válidos]]),ISBLANK(Tabla2[[#This Row],[Inválidos]]))," ",Tabla2[[#This Row],[Válidos]]+Tabla2[[#This Row],[Inválidos]])</f>
        <v xml:space="preserve"> </v>
      </c>
      <c r="G3" s="206" t="str">
        <f>IFERROR(Tabla2[[#This Row],[Válidos]]/Tabla2[[#This Row],[Total del periodo]]," ")</f>
        <v xml:space="preserve"> </v>
      </c>
      <c r="H3" s="206" t="str">
        <f>IFERROR(Tabla2[[#This Row],[Inválidos]]/Tabla2[[#This Row],[Total del periodo]]," ")</f>
        <v xml:space="preserve"> </v>
      </c>
      <c r="J3" s="29" t="s">
        <v>746</v>
      </c>
      <c r="K3" s="30">
        <f>COUNTIF('Auditoria CEB'!$AM$11:$AM$414,1)</f>
        <v>0</v>
      </c>
      <c r="L3" s="206" t="str">
        <f>IFERROR(Tabla4[[#This Row],[Cantidad]]/Tabla4[[#Totals],[Cantidad]]," ")</f>
        <v xml:space="preserve"> </v>
      </c>
    </row>
    <row r="4" spans="1:12" s="30" customFormat="1">
      <c r="A4" s="29"/>
      <c r="B4" s="30">
        <v>4</v>
      </c>
      <c r="C4" s="29" t="s">
        <v>747</v>
      </c>
      <c r="F4" s="30" t="str">
        <f>IF(AND(ISBLANK(Tabla2[[#This Row],[Válidos]]),ISBLANK(Tabla2[[#This Row],[Inválidos]]))," ",Tabla2[[#This Row],[Válidos]]+Tabla2[[#This Row],[Inválidos]])</f>
        <v xml:space="preserve"> </v>
      </c>
      <c r="G4" s="206" t="str">
        <f>IFERROR(Tabla2[[#This Row],[Válidos]]/Tabla2[[#This Row],[Total del periodo]]," ")</f>
        <v xml:space="preserve"> </v>
      </c>
      <c r="H4" s="206" t="str">
        <f>IFERROR(Tabla2[[#This Row],[Inválidos]]/Tabla2[[#This Row],[Total del periodo]]," ")</f>
        <v xml:space="preserve"> </v>
      </c>
      <c r="J4" s="29" t="s">
        <v>748</v>
      </c>
      <c r="K4" s="30">
        <f>COUNTIF('Auditoria CEB'!$AM$11:$AM$414,2)</f>
        <v>0</v>
      </c>
      <c r="L4" s="206" t="str">
        <f>IFERROR(Tabla4[[#This Row],[Cantidad]]/Tabla4[[#Totals],[Cantidad]]," ")</f>
        <v xml:space="preserve"> </v>
      </c>
    </row>
    <row r="5" spans="1:12" s="30" customFormat="1">
      <c r="A5" s="29"/>
      <c r="B5" s="30">
        <v>5</v>
      </c>
      <c r="C5" s="29" t="s">
        <v>749</v>
      </c>
      <c r="F5" s="30" t="str">
        <f>IF(AND(ISBLANK(Tabla2[[#This Row],[Válidos]]),ISBLANK(Tabla2[[#This Row],[Inválidos]]))," ",Tabla2[[#This Row],[Válidos]]+Tabla2[[#This Row],[Inválidos]])</f>
        <v xml:space="preserve"> </v>
      </c>
      <c r="G5" s="206" t="str">
        <f>IFERROR(Tabla2[[#This Row],[Válidos]]/Tabla2[[#This Row],[Total del periodo]]," ")</f>
        <v xml:space="preserve"> </v>
      </c>
      <c r="H5" s="206" t="str">
        <f>IFERROR(Tabla2[[#This Row],[Inválidos]]/Tabla2[[#This Row],[Total del periodo]]," ")</f>
        <v xml:space="preserve"> </v>
      </c>
      <c r="J5" s="29" t="s">
        <v>750</v>
      </c>
      <c r="K5" s="30">
        <f>COUNTIF('Auditoria CEB'!$AM$11:$AM$414,3)</f>
        <v>0</v>
      </c>
      <c r="L5" s="206" t="str">
        <f>IFERROR(Tabla4[[#This Row],[Cantidad]]/Tabla4[[#Totals],[Cantidad]]," ")</f>
        <v xml:space="preserve"> </v>
      </c>
    </row>
    <row r="6" spans="1:12" s="30" customFormat="1">
      <c r="A6" s="29"/>
      <c r="B6" s="30">
        <v>6</v>
      </c>
      <c r="C6" s="29" t="s">
        <v>751</v>
      </c>
      <c r="F6" s="30" t="str">
        <f>IF(AND(ISBLANK(Tabla2[[#This Row],[Válidos]]),ISBLANK(Tabla2[[#This Row],[Inválidos]]))," ",Tabla2[[#This Row],[Válidos]]+Tabla2[[#This Row],[Inválidos]])</f>
        <v xml:space="preserve"> </v>
      </c>
      <c r="G6" s="206" t="str">
        <f>IFERROR(Tabla2[[#This Row],[Válidos]]/Tabla2[[#This Row],[Total del periodo]]," ")</f>
        <v xml:space="preserve"> </v>
      </c>
      <c r="H6" s="206" t="str">
        <f>IFERROR(Tabla2[[#This Row],[Inválidos]]/Tabla2[[#This Row],[Total del periodo]]," ")</f>
        <v xml:space="preserve"> </v>
      </c>
      <c r="J6" s="29" t="s">
        <v>752</v>
      </c>
      <c r="K6" s="30">
        <f>COUNTIF('Auditoria CEB'!$AM$11:$AM$414,4)</f>
        <v>0</v>
      </c>
      <c r="L6" s="206" t="str">
        <f>IFERROR(Tabla4[[#This Row],[Cantidad]]/Tabla4[[#Totals],[Cantidad]]," ")</f>
        <v xml:space="preserve"> </v>
      </c>
    </row>
    <row r="7" spans="1:12" s="30" customFormat="1">
      <c r="A7" s="29"/>
      <c r="B7" s="30">
        <v>7</v>
      </c>
      <c r="C7" s="29" t="s">
        <v>753</v>
      </c>
      <c r="F7" s="30" t="str">
        <f>IF(AND(ISBLANK(Tabla2[[#This Row],[Válidos]]),ISBLANK(Tabla2[[#This Row],[Inválidos]]))," ",Tabla2[[#This Row],[Válidos]]+Tabla2[[#This Row],[Inválidos]])</f>
        <v xml:space="preserve"> </v>
      </c>
      <c r="G7" s="206" t="str">
        <f>IFERROR(Tabla2[[#This Row],[Válidos]]/Tabla2[[#This Row],[Total del periodo]]," ")</f>
        <v xml:space="preserve"> </v>
      </c>
      <c r="H7" s="206" t="str">
        <f>IFERROR(Tabla2[[#This Row],[Inválidos]]/Tabla2[[#This Row],[Total del periodo]]," ")</f>
        <v xml:space="preserve"> </v>
      </c>
      <c r="J7" s="29" t="s">
        <v>754</v>
      </c>
      <c r="K7" s="30">
        <f>COUNTIF('Auditoria CEB'!$AM$11:$AM$414,5)</f>
        <v>0</v>
      </c>
      <c r="L7" s="206" t="str">
        <f>IFERROR(Tabla4[[#This Row],[Cantidad]]/Tabla4[[#Totals],[Cantidad]]," ")</f>
        <v xml:space="preserve"> </v>
      </c>
    </row>
    <row r="8" spans="1:12" s="30" customFormat="1">
      <c r="A8" s="31"/>
      <c r="B8" s="31"/>
      <c r="C8" s="31"/>
      <c r="D8" s="31"/>
      <c r="E8" s="31"/>
      <c r="F8" s="31"/>
      <c r="G8" s="31"/>
      <c r="H8" s="31"/>
      <c r="J8" s="29" t="s">
        <v>755</v>
      </c>
      <c r="K8" s="30">
        <f>SUM(K3:K7)</f>
        <v>0</v>
      </c>
      <c r="L8" s="208"/>
    </row>
    <row r="9" spans="1:12">
      <c r="J9" s="30"/>
      <c r="K9" s="30"/>
      <c r="L9" s="30"/>
    </row>
  </sheetData>
  <pageMargins left="0.7" right="0.7" top="0.75" bottom="0.75" header="0.3" footer="0.3"/>
  <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9</vt:i4>
      </vt:variant>
    </vt:vector>
  </HeadingPairs>
  <TitlesOfParts>
    <vt:vector size="9" baseType="lpstr">
      <vt:lpstr>Instructivo</vt:lpstr>
      <vt:lpstr>Auditoria CEB</vt:lpstr>
      <vt:lpstr>Cuadros para informe</vt:lpstr>
      <vt:lpstr>Resumen</vt:lpstr>
      <vt:lpstr>Cruce sistemas</vt:lpstr>
      <vt:lpstr>Requerimientos</vt:lpstr>
      <vt:lpstr>Prestaciones</vt:lpstr>
      <vt:lpstr>Base de datos</vt:lpstr>
      <vt:lpstr>Graficos para informe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Basualdo Matias Nicolás</dc:creator>
  <cp:lastModifiedBy>Allegue Jose Maria</cp:lastModifiedBy>
  <cp:lastPrinted>2017-04-12T19:45:14Z</cp:lastPrinted>
  <dcterms:created xsi:type="dcterms:W3CDTF">2014-10-15T15:09:14Z</dcterms:created>
  <dcterms:modified xsi:type="dcterms:W3CDTF">2018-06-15T15:06:01Z</dcterms:modified>
</cp:coreProperties>
</file>